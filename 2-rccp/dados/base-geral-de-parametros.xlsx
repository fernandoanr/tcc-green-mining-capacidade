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uabr-my.sharepoint.com/personal/22_00968-0_maua_br/Documents/5ºAno/TCC/Dados Utilizados (Tratados)/"/>
    </mc:Choice>
  </mc:AlternateContent>
  <xr:revisionPtr revIDLastSave="394" documentId="8_{DA3E7F8E-A781-CB47-8CF9-852FEC339A73}" xr6:coauthVersionLast="47" xr6:coauthVersionMax="47" xr10:uidLastSave="{2C7FC887-5AB4-794B-BE0A-6B880FE989D5}"/>
  <bookViews>
    <workbookView xWindow="0" yWindow="600" windowWidth="28800" windowHeight="15620" xr2:uid="{067CC0D5-E15C-2945-B09A-5E6C80C23B3D}"/>
  </bookViews>
  <sheets>
    <sheet name="Parâmetros" sheetId="1" r:id="rId1"/>
    <sheet name="Critérios de Acionamento" sheetId="2" r:id="rId2"/>
    <sheet name="Cálculo Densidade Aparente" sheetId="6" r:id="rId3"/>
    <sheet name="Volumes e Mixing" sheetId="7" r:id="rId4"/>
    <sheet name="Distribuição de Chegada" sheetId="4" r:id="rId5"/>
    <sheet name="Matriz de Transporte" sheetId="3" r:id="rId6"/>
    <sheet name="Cálculos de Capacidade" sheetId="9" r:id="rId7"/>
    <sheet name="Validação RCCP e SIMUL8" sheetId="8" r:id="rId8"/>
  </sheets>
  <definedNames>
    <definedName name="_xlnm._FilterDatabase" localSheetId="2" hidden="1">'Cálculo Densidade Aparente'!$A$1:$F$19</definedName>
    <definedName name="_xlnm._FilterDatabase" localSheetId="0" hidden="1">Parâmetros!$A$1:$F$84</definedName>
    <definedName name="_xlnm._FilterDatabase" localSheetId="7" hidden="1">'Validação RCCP e SIMUL8'!$A$1:$G$29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5" i="7" l="1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6" i="7"/>
  <c r="I6" i="7"/>
  <c r="G29" i="8"/>
  <c r="G28" i="8"/>
  <c r="G27" i="8"/>
  <c r="F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E6" i="7"/>
  <c r="D6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tc={91763A03-9F58-D84A-804B-1CDF8D4E3537}</author>
  </authors>
  <commentList>
    <comment ref="D1" authorId="0" shapeId="0" xr:uid="{91763A03-9F58-D84A-804B-1CDF8D4E3537}">
      <text>
        <t>[Threaded comment]
Your version of Excel allows you to read this threaded comment; however, any edits to it will get removed if the file is opened in a newer version of Excel. Learn more: https://go.microsoft.com/fwlink/?linkid=870924
Comment:
    Densidade aparente = Volume anual (kg) / (tamanho do baú do caminhão (m3)*nº de viagens por semana do CC para o Hub*nº de semanas úteis no ano).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Rodrigues</author>
  </authors>
  <commentList>
    <comment ref="A21" authorId="0" shapeId="0" xr:uid="{7AE68BEC-4BC3-8D40-94B9-74D878145C0D}">
      <text>
        <r>
          <rPr>
            <b/>
            <sz val="10"/>
            <color rgb="FF000000"/>
            <rFont val="Tahoma"/>
            <family val="2"/>
          </rPr>
          <t>Fernando Rodrigues: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 resultado sai em kg, não em m³: é o peso que cabe dentro do volume do caminhão, dada a densidade daquele material.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 Passo 2, esse valor é comparado com o limite fixo de peso do veículo (1.800 kg). Vale o menor dos dois:
</t>
        </r>
        <r>
          <rPr>
            <sz val="10"/>
            <color rgb="FF000000"/>
            <rFont val="Tahoma"/>
            <family val="2"/>
          </rPr>
          <t xml:space="preserve">- Material leve/volumoso: os 15 m³ enchem antes de chegar a 1.800 kg → quem limita é o volume.
</t>
        </r>
        <r>
          <rPr>
            <sz val="10"/>
            <color rgb="FF000000"/>
            <rFont val="Tahoma"/>
            <family val="2"/>
          </rPr>
          <t xml:space="preserve">- Material denso: os 1.800 kg são atingidos antes de ocupar os 15 m³ → quem limita é o peso.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Por isso o cálculo é feito por par centro/material: a mesma capacidade do caminhão pode ser limitada por volume num material e por peso em outro.</t>
        </r>
      </text>
    </comment>
  </commentList>
</comments>
</file>

<file path=xl/sharedStrings.xml><?xml version="1.0" encoding="utf-8"?>
<sst xmlns="http://schemas.openxmlformats.org/spreadsheetml/2006/main" count="901" uniqueCount="346">
  <si>
    <t>Etapa</t>
  </si>
  <si>
    <t>Parâmetro</t>
  </si>
  <si>
    <t>Valor</t>
  </si>
  <si>
    <t>Unidade de Medida</t>
  </si>
  <si>
    <t>Origem</t>
  </si>
  <si>
    <t>Observação</t>
  </si>
  <si>
    <t>CC</t>
  </si>
  <si>
    <t>Tempo de operação de segunda a sexta (diário)</t>
  </si>
  <si>
    <t>Min</t>
  </si>
  <si>
    <t>Informado pela operação</t>
  </si>
  <si>
    <t>Revezamento no horário de almoço, não para a operação. Operação das 8hrs as 17hrs.</t>
  </si>
  <si>
    <t>Tempo de operação de sábado</t>
  </si>
  <si>
    <t>Operação das 8hrs as 12hrs.</t>
  </si>
  <si>
    <t>Dias de operação no ano</t>
  </si>
  <si>
    <t>Dias</t>
  </si>
  <si>
    <t>Não foi considerado feriados, foram retitirados 52 domingos de um ano.</t>
  </si>
  <si>
    <t>Caminhão</t>
  </si>
  <si>
    <t>Considera 1 hora de almoço por dia e operação das 8h as 17hrs</t>
  </si>
  <si>
    <t>Hub</t>
  </si>
  <si>
    <t>Recebimento e identificação de carga de cliente</t>
  </si>
  <si>
    <t>Pesagem da carga</t>
  </si>
  <si>
    <t>Registro da carga no sistema</t>
  </si>
  <si>
    <t>Separação e armazenamento da carga</t>
  </si>
  <si>
    <t>Eficiência das equipes dos centros</t>
  </si>
  <si>
    <t>%</t>
  </si>
  <si>
    <t>Determinado pela equipe do TCC</t>
  </si>
  <si>
    <t>Consideramos 100% para o cálculo da capacidade nominal</t>
  </si>
  <si>
    <t>Carregar o caminhão em Pinheiros</t>
  </si>
  <si>
    <t>Carregar o caminhão em Jabaquara</t>
  </si>
  <si>
    <t>Carregar o caminhão em Embu das Artes</t>
  </si>
  <si>
    <t>Carregar o caminhão em Brooklin</t>
  </si>
  <si>
    <t>Carregar o caminhão em Paraisópolis</t>
  </si>
  <si>
    <t>Estoque de Pinheiros</t>
  </si>
  <si>
    <t>m3</t>
  </si>
  <si>
    <t>Medido em visita técnica</t>
  </si>
  <si>
    <t>Estoque de Jabaquara</t>
  </si>
  <si>
    <t>Estoque de Embu das Artes</t>
  </si>
  <si>
    <t>Estoque de Brooklin</t>
  </si>
  <si>
    <t>Estoque de Paraisópolis</t>
  </si>
  <si>
    <t>Quantidade de operadores do CC de Pinheiros</t>
  </si>
  <si>
    <t>Pessoas</t>
  </si>
  <si>
    <t>Quantidade de operadores do CC de Jabaquara</t>
  </si>
  <si>
    <t>Quantidade de operadores do CC de Embu das Artes</t>
  </si>
  <si>
    <t>Quantidade de operadores do CC de Brooklin</t>
  </si>
  <si>
    <t>Quantidade de operadores do CC de Paraisópolis</t>
  </si>
  <si>
    <t>Operadores do CC que ajudam a carregar o caminhão em Pinheiros</t>
  </si>
  <si>
    <t>Operadores do CC que ajudam a carregar o caminhão em Jabaquara</t>
  </si>
  <si>
    <t>Operadores do CC que ajudam a carregar o caminhão em Embu das Artes</t>
  </si>
  <si>
    <t>Operadores do CC que ajudam a carregar o caminhão em Brooklin</t>
  </si>
  <si>
    <t>Operadores do CC que ajudam a carregar o caminhão em Paraisópolis</t>
  </si>
  <si>
    <t>Quantidade de caminhões na operação para as viras</t>
  </si>
  <si>
    <t>Unidades</t>
  </si>
  <si>
    <t>Eficiência do caminhão</t>
  </si>
  <si>
    <t>Peso máximo para o caminhão transportar</t>
  </si>
  <si>
    <t>Kg</t>
  </si>
  <si>
    <t>Espaço do baú do caminhão</t>
  </si>
  <si>
    <t>Ocupação média do caminhão em cada coleta</t>
  </si>
  <si>
    <t>Premissa operacional definida devido aos espaços com ar que ficam no baú do caminhão.</t>
  </si>
  <si>
    <t>Descarga do caminhão no Hub</t>
  </si>
  <si>
    <t>Espera do caminhão para carregar nos CC's</t>
  </si>
  <si>
    <t>Quando o caminão chega já inicia o caregamentos, eventuais atrasos denvem ser englobados pela eficiencia da operação.</t>
  </si>
  <si>
    <t>Espera do caminhão para descarregar no Hub</t>
  </si>
  <si>
    <t>Quantidade de viagens Hub-Pinheiros</t>
  </si>
  <si>
    <t>Pode variar de acordo com a chegada semanal em cada CC.</t>
  </si>
  <si>
    <t>Quantidade de viagens Hub-Jabaquara</t>
  </si>
  <si>
    <t>Quantidade de viagens Hub-Paraisópolis</t>
  </si>
  <si>
    <t>Quantidade de viagens Hub-Brooklin</t>
  </si>
  <si>
    <t>Quantidade de viagens Hub-Embu das Artes</t>
  </si>
  <si>
    <t>Eficiência do Hub</t>
  </si>
  <si>
    <t>Quantidade de operadores do Hub</t>
  </si>
  <si>
    <t xml:space="preserve">Operadores do Hub que ajudam a descarregar o caminhão </t>
  </si>
  <si>
    <t>Operadores do Hub que fazem a triagem do material recebido dos CC's</t>
  </si>
  <si>
    <t>Não é feito triagem de materiais que vem diretamente dos CC</t>
  </si>
  <si>
    <t>Operadores do Hub que ajudam na expedição</t>
  </si>
  <si>
    <t>Tempo de carregamento do caminhão do parceiro na expedição</t>
  </si>
  <si>
    <t>Considerando a presença do Bobcat que é alugado pela empresa</t>
  </si>
  <si>
    <t>Estoque do Hub (prensado e não prensado)</t>
  </si>
  <si>
    <t>Não existe um espaço determinado para cada tipo (intermediário e prensado), tem-se o valor do estoque e é distribuido de acordo com a necessidade de cada dia</t>
  </si>
  <si>
    <t>Quantidade de prensas grandes no Hub</t>
  </si>
  <si>
    <t>Quantidade de prensas pequenas no Hub</t>
  </si>
  <si>
    <t>Operadores que trabalham em cada prensa grande do Hub</t>
  </si>
  <si>
    <t>Operadores que trabalham em cada prensa pequena do Hub</t>
  </si>
  <si>
    <t>Quantidade de papelão que cabe na prensa grande do Hub</t>
  </si>
  <si>
    <t>Peso médio do fardo</t>
  </si>
  <si>
    <t>Quantidade de plástico que cabe na prensa pequena do Hub</t>
  </si>
  <si>
    <t>Quantidade de longa vida que cabe na prensa pequena do Hub</t>
  </si>
  <si>
    <t>Volume do fardo prensado de paeplão (prensa grande)</t>
  </si>
  <si>
    <t>Volume do fardo prensado de plástico (prensa pequena)</t>
  </si>
  <si>
    <t>Volume do fardo prensado de longa vida (prensa pequena)</t>
  </si>
  <si>
    <t>Tempo de levar o papelão até a prensa</t>
  </si>
  <si>
    <t>Tempo de levar o plástico até a prensa</t>
  </si>
  <si>
    <t>Tempo de levar o longa vida até a prensa</t>
  </si>
  <si>
    <t>Tempo de prensar o papelão</t>
  </si>
  <si>
    <t>Tempo de prensar o plástico</t>
  </si>
  <si>
    <t>Tempo de prensar o longa vida</t>
  </si>
  <si>
    <t>Quantidade de fardos de papelão para acionar o parceiro para coletar o material no Hub</t>
  </si>
  <si>
    <t>Calculado a partir da base de expedições/faturamento informada pela empresa</t>
  </si>
  <si>
    <t>Cada fardo é de 200kg</t>
  </si>
  <si>
    <t>Quantidade de fardos de plástico para acionar o parceiro para coletar o material no Hub</t>
  </si>
  <si>
    <t>Cada fardo é de 100kg</t>
  </si>
  <si>
    <t>Quantidade de fardos de longa vida para acionar o parceiro para coletar o material no Hub</t>
  </si>
  <si>
    <t>Cada fardo é de 120kg</t>
  </si>
  <si>
    <t>Recebimento e identificação de carga de cliente direto</t>
  </si>
  <si>
    <t>Pesagem da carga de cliente direto</t>
  </si>
  <si>
    <t>Separação e armazenamento da carga de cliente direto</t>
  </si>
  <si>
    <t>Critério</t>
  </si>
  <si>
    <t>Premissa</t>
  </si>
  <si>
    <t>Acionamento de coleta de carga nos CC's para o Hub</t>
  </si>
  <si>
    <t>Priorização de atendimento de CC</t>
  </si>
  <si>
    <t>O que estiver com o estoque mais cheio</t>
  </si>
  <si>
    <t>CC/Caminhão</t>
  </si>
  <si>
    <t>Carregamento do Caminhão no CC</t>
  </si>
  <si>
    <t>O caminhão é carregado com o material com maior volume no centro em m³</t>
  </si>
  <si>
    <t>Coleta de material do parceiro</t>
  </si>
  <si>
    <t>O parceiro é acionado quando o volume mínimo de fardos é atingido e ele vem coletar 1 dia depois</t>
  </si>
  <si>
    <t>Centro</t>
  </si>
  <si>
    <t>Material</t>
  </si>
  <si>
    <t>Densidade Aparente</t>
  </si>
  <si>
    <t>Observações</t>
  </si>
  <si>
    <t>Brooklin</t>
  </si>
  <si>
    <t>Longa Vida</t>
  </si>
  <si>
    <t>Calculado pela equipe do TCC</t>
  </si>
  <si>
    <t>Cálculado a partir do peso por Big Bag do material</t>
  </si>
  <si>
    <t>Papelão</t>
  </si>
  <si>
    <t>Cálculado a partir do peso por caminhão fechado do material</t>
  </si>
  <si>
    <t>Plástico</t>
  </si>
  <si>
    <t>Embu das Artes</t>
  </si>
  <si>
    <t>Jabaquara</t>
  </si>
  <si>
    <t>Paraisópolis</t>
  </si>
  <si>
    <t>Pinheiros</t>
  </si>
  <si>
    <t>Santo Amaro</t>
  </si>
  <si>
    <t>Base de chegadas consolidada a partir dos dados fornecidos pela Green Mining, Dados tratados com o código Python elaborado pelo Pinceli, Somente eventos de 2025,</t>
  </si>
  <si>
    <t>Peso médio por chegada e representatividade no mixing são fórmulas sobre as colunas D e E, enquanto que chegadas, peso total e intervalo médio vêm do processamento da base,</t>
  </si>
  <si>
    <t>Quantidade de Chegadas</t>
  </si>
  <si>
    <t>Quantidade total de material ()</t>
  </si>
  <si>
    <t>Peso médio por chegada ()</t>
  </si>
  <si>
    <t>Intervalo entre chegadas (min)</t>
  </si>
  <si>
    <t>Representatividade no Mixing do Centro (%)</t>
  </si>
  <si>
    <t>SIMUL8 (Volume de entrada )</t>
  </si>
  <si>
    <t>Erro</t>
  </si>
  <si>
    <t>–</t>
  </si>
  <si>
    <t>Metodologia utilizada (passo a passo)</t>
  </si>
  <si>
    <t>Passo 1</t>
  </si>
  <si>
    <t>Leitura da Base_Chegadas.xlsx com 116.816 linhas e padronização dos campos Data, Horário, Família, Peso, Destino, Coletor e demais campos utilizados no tratamento.</t>
  </si>
  <si>
    <t>Passo 2</t>
  </si>
  <si>
    <t>Construção e validação da DataHora e aplicação do recorte temporal de 2025 antes das análises estatísticas. Permanecem 55.613 registros brutos de 2025.</t>
  </si>
  <si>
    <t>Passo 3</t>
  </si>
  <si>
    <t>Definição do local de chegada pela coluna Destino (Hub_Chegada). A coluna Coletor é utilizada somente como informação da origem operacional da carga.</t>
  </si>
  <si>
    <t>Passo 4</t>
  </si>
  <si>
    <t>Auditoria de duplicidades: foram identificadas 38 duplicidades exatas em 2025, mantidas na base por não haver evidência operacional suficiente para classificá-las automaticamente como erros.</t>
  </si>
  <si>
    <t>Passo 5</t>
  </si>
  <si>
    <t>Aplicação dos filtros do escopo: mantidas somente as famílias Papelão, Plástico e Longa Vida, nos HUBs Brooklin, Embu, Jabaquara, Paraisópolis, Pinheiros e Santo Amaro, com DataHora válida e Peso maior que zero. Após os filtros permanecem 32.348 linhas válidas.</t>
  </si>
  <si>
    <t>Passo 6</t>
  </si>
  <si>
    <t>Agrupamento dos eventos: linhas com o mesmo Hub_Chegada + Família + DataHora são consideradas uma única chegada e seus pesos são somados. O resultado é de 22.043 chegadas agrupadas e 397.079,90 kg em 2025.</t>
  </si>
  <si>
    <t>Passo 7</t>
  </si>
  <si>
    <t>Quantidade de Chegadas = número de eventos agrupados por centro e família. Quantidade total de material = soma dos pesos desses eventos. Peso médio por chegada = peso total / quantidade de chegadas.</t>
  </si>
  <si>
    <t>Passo 8</t>
  </si>
  <si>
    <t>Cálculo dos intervalos intradiários: diferenças positivas entre chegadas consecutivas do mesmo centro e família, considerando somente eventos ocorridos no mesmo dia. Assim, noites e demais períodos sem operação não entram artificialmente no fitting.</t>
  </si>
  <si>
    <t>Passo 9</t>
  </si>
  <si>
    <t>Ajuste dos intervalos às distribuições Exponencial, Gamma, Weibull, Lognormal e Normal. A distribuição de menor AIC é adotada como família estatística do fluxo. O KS e o CV são utilizados apenas como diagnósticos.</t>
  </si>
  <si>
    <t>Passo 10</t>
  </si>
  <si>
    <t>Os parâmetros obtidos no fitting intradiário não são utilizados diretamente como frequência anual. A frequência é recalibrada para o horizonte efetivamente utilizado no modelo: Results Collection Period = 140.399,4999 min.</t>
  </si>
  <si>
    <t>Passo 11</t>
  </si>
  <si>
    <t>A média efetiva alvo de cada centro/material é calculada por: 140.399,4999 / Quantidade de Chegadas. Mantém-se a família estatística escolhida e sua característica de variabilidade, ajustando o parâmetro temporal para reproduzir a frequência observada em 2025.</t>
  </si>
  <si>
    <t>Passo 12</t>
  </si>
  <si>
    <t>Conversão para o formato do SIMUL8: Exponencial → Mean; Weibull → Shape + Scale; Log Normal → Average + Std Dev. Para a Lognormal, os parâmetros sigma + scale obtidos no Python não são inseridos diretamente nos campos do SIMUL8.</t>
  </si>
  <si>
    <t>Distribuição</t>
  </si>
  <si>
    <t>Parâmetros do SIMUL8</t>
  </si>
  <si>
    <t>Weibull</t>
  </si>
  <si>
    <t>Weibull(shape=0.7708, scale=173.4227 min)</t>
  </si>
  <si>
    <t>Distribuições de chegada de 2025 calculadas a partir da consolidação das bases de chegadas da Green Mining.</t>
  </si>
  <si>
    <r>
      <rPr>
        <sz val="12"/>
        <color rgb="FF000000"/>
        <rFont val="Aptos Narrow"/>
        <scheme val="minor"/>
      </rPr>
      <t xml:space="preserve">Parâmetros estatísticos calculados em horas a partir dos intervalos entre chegadas da base de 2025. Antes da inserção no SIMUL8, deve-se confirmar a unidade de tempo configurada no modelo. Caso o modelo esteja parametrizado em minutos, os parâmetros temporais de média (mean) e escala (scale) devem ser convertidos de horas para minutos, multiplicando-os por 60. Os parâmetros </t>
    </r>
    <r>
      <rPr>
        <b/>
        <sz val="12"/>
        <color rgb="FF000000"/>
        <rFont val="Aptos Narrow"/>
        <scheme val="minor"/>
      </rPr>
      <t>shape e sigma são adimensionais e não devem ser convertidos.</t>
    </r>
  </si>
  <si>
    <t>Weibull(shape=0.7990, scale=77.8171 min)</t>
  </si>
  <si>
    <t>Weibull(shape=0.8194, scale=113.4156 min)</t>
  </si>
  <si>
    <t>Exponencial</t>
  </si>
  <si>
    <t>Exponential(mean=587.4456 min)</t>
  </si>
  <si>
    <t>Weibull(shape=0.7780, scale=83.9512 min)</t>
  </si>
  <si>
    <t>Sem dados</t>
  </si>
  <si>
    <t>Sem parametrização</t>
  </si>
  <si>
    <t>Lognormal</t>
  </si>
  <si>
    <t>Log Normal(Average=123.0495 min, Std Dev=296.6169 min)</t>
  </si>
  <si>
    <t>Log Normal(Average=31.6286 min, Std Dev=77.6686 min)</t>
  </si>
  <si>
    <t>Log Normal(Average=44.2482 min, Std Dev=103.5972 min)</t>
  </si>
  <si>
    <t>Exponential(mean=1777.2089 min)</t>
  </si>
  <si>
    <t>Weibull(shape=0.7895, scale=374.1912 min)</t>
  </si>
  <si>
    <t>Weibull(shape=0.7519, scale=373.9393 min)</t>
  </si>
  <si>
    <t>Exponential(mean=285.3648 min)</t>
  </si>
  <si>
    <t>Weibull(shape=0.8433, scale=33.8359 min)</t>
  </si>
  <si>
    <t>Weibull(shape=0.8574, scale=51.0194 min)</t>
  </si>
  <si>
    <t>Exponential(mean=1010.0683 min)</t>
  </si>
  <si>
    <t>Weibull(shape=0.7475, scale=421.4849 min)</t>
  </si>
  <si>
    <t>Weibull(shape=0.7194, scale=480.0068 min)</t>
  </si>
  <si>
    <t>Critério de seleção da distribuição</t>
  </si>
  <si>
    <t>Calcula-se, para cada combinação centro × família, a série de intervalos positivos entre chegadas consecutivas ocorridas no mesmo dia, evitando incorporar noites e demais períodos sem operação ao fitting estatístico.</t>
  </si>
  <si>
    <t>São calculadas estatísticas descritivas dos intervalos, incluindo média, mediana, desvio padrão, percentis e coeficiente de variação (CV). O CV é utilizado somente como indicador de dispersão e não como regra de escolha da distribuição.</t>
  </si>
  <si>
    <t>São ajustadas às amostras as distribuições Exponencial, Gamma, Weibull, Lognormal e Normal, utilizando estimação por máxima verossimilhança. Nas distribuições positivas, o parâmetro de localização é fixado em zero.</t>
  </si>
  <si>
    <t>Para cada distribuição é calculado o Critério de Informação de Akaike (AIC = 2k − 2 ln L). A família estatística de menor AIC é selecionada para representar o comportamento dos intervalos daquele centro × família.</t>
  </si>
  <si>
    <t>O teste de Kolmogorov-Smirnov (KS) e seu p-value são mantidos como indicadores auxiliares de aderência. Assim como o CV, eles são utilizados para diagnóstico e não substituem automaticamente a distribuição vencedora pelo AIC.</t>
  </si>
  <si>
    <t>Após a seleção da família estatística, realiza-se uma calibração independente da frequência, pois os intervalos utilizados no fitting são somente intradiários e não representam diretamente a frequência ao longo de todo o período operacional da simulação.</t>
  </si>
  <si>
    <t>A média efetiva alvo é calculada por Results Collection Period / quantidade de chegadas observadas. Para o modelo atual é utilizado Results Collection Period = 140.399,4999 min.</t>
  </si>
  <si>
    <t>Mantém-se a família estatística selecionada e sua característica de variabilidade, ajustando-se o parâmetro temporal para que o modelo reproduza, em média, a frequência de chegadas observada em 2025.</t>
  </si>
  <si>
    <t>Os parâmetros finais são convertidos para a parametrização do SIMUL8: Exponencial → Mean; Weibull → Shape + Scale; Log Normal → Average + Std Dev.</t>
  </si>
  <si>
    <t>Metodologia utilizada para tratar os dados e chegar nas distribuições</t>
  </si>
  <si>
    <t>Leitura da Base_Chegadas.xlsx, composta por 116.816 registros, seguida da identificação tolerante dos campos e normalização de nomes, textos, acentos e espaços.</t>
  </si>
  <si>
    <t>Construção da variável DataHora e aplicação do recorte temporal de 2025 antes das análises, resultando em 55.613 registros brutos de 2025.</t>
  </si>
  <si>
    <t>Definição do local da chegada pela coluna Destino, da qual é derivado Hub_Chegada. A coluna Coletor é mantida somente como informação da origem operacional da carga.</t>
  </si>
  <si>
    <t>Auditoria das duplicidades exatas dentro de 2025. Foram identificadas 38 ocorrências excedentes, mantidas por não existir evidência suficiente para classificá-las automaticamente como erros.</t>
  </si>
  <si>
    <t>Aplicação dos filtros de validade e escopo: DataHora válida, peso numérico e maior que zero, famílias Papelão, Plástico e Longa Vida e HUBs Brooklin, Embu, Jabaquara, Paraisópolis, Pinheiros e Santo Amaro. Após os filtros permanecem 32.348 linhas válidas.</t>
  </si>
  <si>
    <t>Formação das chegadas agrupadas pela combinação Hub_Chegada + Família + DataHora. Linhas pertencentes ao mesmo evento têm seus pesos somados, evitando contabilizar componentes de uma mesma carga como chegadas independentes.</t>
  </si>
  <si>
    <t>O agrupamento resulta em 22.043 eventos de chegada e 397.079,90 kg no recorte de 2025.</t>
  </si>
  <si>
    <t>Para cada centro × família são calculados: quantidade de chegadas, peso total e peso médio por chegada agrupada = peso total / quantidade de chegadas.</t>
  </si>
  <si>
    <t>Os intervalos intradiários são calculados entre eventos consecutivos do mesmo centro × família, considerando somente diferenças positivas ocorridas no mesmo dia.</t>
  </si>
  <si>
    <t>São ajustadas as distribuições Exponencial, Gamma, Weibull, Lognormal e Normal. A distribuição de menor AIC é utilizada como família estatística, enquanto CV e KS são mantidos como diagnósticos.</t>
  </si>
  <si>
    <t>Como o fitting intradiário não representa diretamente a frequência de chegadas ao longo de toda a simulação, calcula-se a média efetiva alvo utilizando o período operacional efetivamente coletado pelo modelo.</t>
  </si>
  <si>
    <r>
      <t xml:space="preserve">Para o modelo atual, utiliza-se </t>
    </r>
    <r>
      <rPr>
        <b/>
        <sz val="12"/>
        <color theme="1"/>
        <rFont val="Aptos Narrow"/>
        <family val="2"/>
        <scheme val="minor"/>
      </rPr>
      <t>Results Collection Period = 140.399,4999 min</t>
    </r>
    <r>
      <rPr>
        <sz val="12"/>
        <color theme="1"/>
        <rFont val="Aptos Narrow"/>
        <family val="2"/>
        <scheme val="minor"/>
      </rPr>
      <t>. Os parâmetros temporais são recalibrados para que cada centro × família reproduza sua quantidade de chegadas observada em 2025.</t>
    </r>
  </si>
  <si>
    <t>Passo 13</t>
  </si>
  <si>
    <r>
      <t xml:space="preserve">Conversão dos parâmetros para o SIMUL8: </t>
    </r>
    <r>
      <rPr>
        <b/>
        <sz val="12"/>
        <color theme="1"/>
        <rFont val="Aptos Narrow"/>
        <family val="2"/>
        <scheme val="minor"/>
      </rPr>
      <t>Exponential = Mean; Weibull = Shape + Scale; Log Normal = Average + Std Dev</t>
    </r>
    <r>
      <rPr>
        <sz val="12"/>
        <color theme="1"/>
        <rFont val="Aptos Narrow"/>
        <family val="2"/>
        <scheme val="minor"/>
      </rPr>
      <t>.</t>
    </r>
  </si>
  <si>
    <t>Passo 14</t>
  </si>
  <si>
    <r>
      <t xml:space="preserve">Validação final por comparação entre os resultados do modelo e a base de 2025, considerando </t>
    </r>
    <r>
      <rPr>
        <b/>
        <sz val="12"/>
        <color theme="1"/>
        <rFont val="Aptos Narrow"/>
        <family val="2"/>
        <scheme val="minor"/>
      </rPr>
      <t>quantidade de chegadas e kg por centro × família</t>
    </r>
    <r>
      <rPr>
        <sz val="12"/>
        <color theme="1"/>
        <rFont val="Aptos Narrow"/>
        <family val="2"/>
        <scheme val="minor"/>
      </rPr>
      <t xml:space="preserve">, além do total de referência de aproximadamente </t>
    </r>
    <r>
      <rPr>
        <b/>
        <sz val="12"/>
        <color theme="1"/>
        <rFont val="Aptos Narrow"/>
        <family val="2"/>
        <scheme val="minor"/>
      </rPr>
      <t>22.043 chegadas e 397.079,90 kg</t>
    </r>
    <r>
      <rPr>
        <sz val="12"/>
        <color theme="1"/>
        <rFont val="Aptos Narrow"/>
        <family val="2"/>
        <scheme val="minor"/>
      </rPr>
      <t>.</t>
    </r>
  </si>
  <si>
    <r>
      <t>Obs.: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A distribuição ajustada aos intervalos intradiários caracteriza a variabilidade observada dentro dos dias com chegadas. Seus parâmetros originais não são aplicados diretamente como frequência contínua durante todo o horizonte da simulação. Por esse motivo, é realizada uma etapa posterior de calibração da frequência ao Results Collection Period utilizado no SIMUL8.</t>
    </r>
  </si>
  <si>
    <t>Distribuição Triangular - Hub Central: Santo Amaro</t>
  </si>
  <si>
    <t>Otimista (a)</t>
  </si>
  <si>
    <t>Mais Provável (c)</t>
  </si>
  <si>
    <t>Pessimista (b)</t>
  </si>
  <si>
    <t>Valor Esperado (Média)</t>
  </si>
  <si>
    <t>Desvio Padrão</t>
  </si>
  <si>
    <t>Variância</t>
  </si>
  <si>
    <t>Documento de Matriz de Transportes do OneDrive, elaborado através do Google Maps</t>
  </si>
  <si>
    <t>Tempo (min)</t>
  </si>
  <si>
    <t>Consideramos o mesmo tempo de ida e volta do Hub até os CC's</t>
  </si>
  <si>
    <t>Matriz de Tempos de Deslocamento (min)</t>
  </si>
  <si>
    <t>Origem/Destino</t>
  </si>
  <si>
    <t>METODOLOGIA DE CÁLCULO DE CAPACIDADE — RCCP (Planejamento Agregado)</t>
  </si>
  <si>
    <t>1. PRINCÍPIO GERAL</t>
  </si>
  <si>
    <t>Método</t>
  </si>
  <si>
    <t>Horizonte</t>
  </si>
  <si>
    <t>Cálculo feito por semana (segunda a sábado). Todos os setores são comparados nesse mesmo período.</t>
  </si>
  <si>
    <t>Indicador central</t>
  </si>
  <si>
    <t>Utilização = carga necessária ÷ capacidade disponível.</t>
  </si>
  <si>
    <t>Gargalo</t>
  </si>
  <si>
    <t>Gargalo é o setor com a maior utilização.</t>
  </si>
  <si>
    <t>Regra de composição</t>
  </si>
  <si>
    <t>As capacidades de cada etapa não se somam. Quem restringe é a etapa mais apertada.</t>
  </si>
  <si>
    <t>Tipos de capacidade</t>
  </si>
  <si>
    <t xml:space="preserve">Nominal = máximo teórico; Efetiva = nominal já com folgas e paradas. </t>
  </si>
  <si>
    <t>Calendário e eficiência</t>
  </si>
  <si>
    <t>Cada área tem seu próprio horário de trabalho e sua própria eficiência. A eficiência reduz a capacidade da área uma única vez, e nunca muda o tempo das tarefas.</t>
  </si>
  <si>
    <t>2. CENTROS DE COLETA</t>
  </si>
  <si>
    <t>Unidade de capacidade</t>
  </si>
  <si>
    <t>Medida em minutos de trabalho por semana.</t>
  </si>
  <si>
    <t>Carga requerida</t>
  </si>
  <si>
    <t>Soma dos tempos de atendimento, pesagem, registro, guarda do material, pedido de coleta, preparo da carga, ajuda no carregamento e baixa no estoque.</t>
  </si>
  <si>
    <t>Direcionador de volume</t>
  </si>
  <si>
    <t>As tarefas de recebimento dependem do número de visitas na semana. As tarefas de saída dependem do número de viagens do transporte. Massa e visitas são contadas separadamente.</t>
  </si>
  <si>
    <t>Capacidade disponível</t>
  </si>
  <si>
    <t>Número de funcionários × horário de trabalho da semana × eficiência do centro.</t>
  </si>
  <si>
    <t>Carregamento (dupla leitura)</t>
  </si>
  <si>
    <t>O carregamento conta ao mesmo tempo como tempo do caminhão e tempo do funcionário do centro, mas é o mesmo intervalo — não é contado em dobro.</t>
  </si>
  <si>
    <t>Espaço físico</t>
  </si>
  <si>
    <t>O espaço físico é medido como espaço livre, não como limite de quanto pode ser processado por semana.</t>
  </si>
  <si>
    <t>Prensagem local</t>
  </si>
  <si>
    <t>Não existe hoje. É só uma opção de melhoria futura, ainda desligada.</t>
  </si>
  <si>
    <t>3. TRANSPORTE (CENTRO DE COLETA → HUB)</t>
  </si>
  <si>
    <t>Medida em viagens por semana, depois convertida em quilos por semana.</t>
  </si>
  <si>
    <t>Passo 1 — capacidade por volume/peso</t>
  </si>
  <si>
    <t>Volume do caminhão × ocupação média na coleta × densidade do material.</t>
  </si>
  <si>
    <t>Passo 2 — capacidade por viagem</t>
  </si>
  <si>
    <t>O menor valor entre a capacidade por volume e o limite de peso do caminhão, o que travar primeiro será o fator restritivo.</t>
  </si>
  <si>
    <t>Passo 3 — viagens equivalentes</t>
  </si>
  <si>
    <t>Para cada centro, quanto precisa ser transportado dividido pela capacidade de cada viagem, dando o número de viagens necessárias.</t>
  </si>
  <si>
    <t>Passo 4 — ciclo por rota</t>
  </si>
  <si>
    <t>Tempo de ida e volta + espera no centro + carregamento + espera no Hub + descarga.</t>
  </si>
  <si>
    <t>Passo 5 — ciclo agregado</t>
  </si>
  <si>
    <t>Média dos tempos de viagem de cada centro, pesada pelo número de viagens de cada um.</t>
  </si>
  <si>
    <t>Passo 6 — partidas nominais</t>
  </si>
  <si>
    <t>Quantas viagens cabem no horário de cada dia, somando a semana toda.</t>
  </si>
  <si>
    <t>Passo 7 — viagens efetivas</t>
  </si>
  <si>
    <t>Viagens realmente feitas = viagens possíveis × eficiência do transporte, arredondado para baixo.</t>
  </si>
  <si>
    <t>Passo 8 — capacidade semanal</t>
  </si>
  <si>
    <t>Viagens realmente feitas × peso médio transportado por viagem.</t>
  </si>
  <si>
    <t>Peso de 1 m³ do mix</t>
  </si>
  <si>
    <t>Peso médio de 1 m³ da mistura transportada. É um resultado, não uma entrada: vem da densidade de cada material e da participação dele no total.</t>
  </si>
  <si>
    <t>Entregas diretas no Hub não usam caminhão dos centros e não entram nesse cálculo.</t>
  </si>
  <si>
    <t>4. HUB (RECEBIMENTO, TRIAGEM, PRENSAGEM E EXPEDIÇÃO)</t>
  </si>
  <si>
    <t>Dois recursos distintos</t>
  </si>
  <si>
    <t>O Hub tem dois recursos separados: tempo dos funcionários e tempo das prensas, cada um é calculado à parte.</t>
  </si>
  <si>
    <t>Carga humana requerida</t>
  </si>
  <si>
    <t>Soma do tempo de descarga, triagem, atendimento das entregas diretas, transporte do material até a prensa, prensagem e carregamento na expedição.</t>
  </si>
  <si>
    <t>Carga de máquina requerida</t>
  </si>
  <si>
    <t>Para cada material: tempo de prensagem por fardo × número de fardos.</t>
  </si>
  <si>
    <t>Número de fardos</t>
  </si>
  <si>
    <t>Peso do material dividido pelo peso médio de um fardo.</t>
  </si>
  <si>
    <t>Capacidade humana disponível</t>
  </si>
  <si>
    <t>Número de funcionários × horário de trabalho da semana × eficiência do Hub.</t>
  </si>
  <si>
    <t>Capacidade de máquina disponível</t>
  </si>
  <si>
    <t>Número de prensas que podem usar aquele material × horário de trabalho da semana × eficiência do Hub.</t>
  </si>
  <si>
    <t>Elegibilidade das prensas</t>
  </si>
  <si>
    <t>Papelão só pode usar as prensas grandes. Plástico e longa vida disputam as mesmas prensas pequenas, por isso suas capacidades não podem ser somadas. Cada prensa precisa de uma pessoa dedicada.</t>
  </si>
  <si>
    <t>Expedição</t>
  </si>
  <si>
    <t>Número de retiradas na semana × tempo de carregamento de cada retirada × pessoas envolvidas.</t>
  </si>
  <si>
    <t>Estoque do Hub</t>
  </si>
  <si>
    <t>O estoque é medido como espaço disponível, não como limite de quanto pode ser processado por semana.</t>
  </si>
  <si>
    <t>5. INTEGRAÇÃO PONTA A PONTA</t>
  </si>
  <si>
    <t>Comparação dos módulos</t>
  </si>
  <si>
    <t>Os três setores são calculados separadamente e depois comparados pela utilização. A capacidade do sistema é a do setor mais ocupado.</t>
  </si>
  <si>
    <t>Anualização</t>
  </si>
  <si>
    <t>Só a capacidade é transformada em valor anual. A demanda continua semanal.</t>
  </si>
  <si>
    <t>A ferramenta entrega capacidade nominal e efetiva.</t>
  </si>
  <si>
    <t>O modelo usa valores médios esperados: não mostra fila, horário de saída nem a melhor rota.</t>
  </si>
  <si>
    <t>Não mostra como o estoque varia dia a dia nem considera variações aleatórias.</t>
  </si>
  <si>
    <t>Real</t>
  </si>
  <si>
    <t>RCCP</t>
  </si>
  <si>
    <t>SIMUL8</t>
  </si>
  <si>
    <t>Erro Real vs RCCP</t>
  </si>
  <si>
    <t>Erro Real vs SIMUL8</t>
  </si>
  <si>
    <t>Erro RCCP vs SIMUL8</t>
  </si>
  <si>
    <t>Volume anual de entrada de material (Kg) - Brooklin - Longa Vida</t>
  </si>
  <si>
    <t>Volume anual de entrada de material (Kg) - Brooklin - Papelão</t>
  </si>
  <si>
    <t>Volume anual de entrada de material (Kg) - Brooklin - Plástico</t>
  </si>
  <si>
    <t>Volume anual de entrada de material (Kg) - Embu das Artes - Longa Vida</t>
  </si>
  <si>
    <t>Volume anual de entrada de material (Kg) - Embu das Artes - Papelão</t>
  </si>
  <si>
    <t>Volume anual de entrada de material (Kg) - Embu das Artes - Plástico</t>
  </si>
  <si>
    <t>Volume anual de entrada de material (Kg) - Jabaquara - Longa Vida</t>
  </si>
  <si>
    <t>Volume anual de entrada de material (Kg) - Jabaquara - Papelão</t>
  </si>
  <si>
    <t>Volume anual de entrada de material (Kg) - Jabaquara - Plástico</t>
  </si>
  <si>
    <t>Volume anual de entrada de material (Kg) - Paraisópolis - Longa Vida</t>
  </si>
  <si>
    <t>Volume anual de entrada de material (Kg) - Paraisópolis - Papelão</t>
  </si>
  <si>
    <t>Volume anual de entrada de material (Kg) - Paraisópolis - Plástico</t>
  </si>
  <si>
    <t>Volume anual de entrada de material (Kg) - Pinheiros - Longa Vida</t>
  </si>
  <si>
    <t>Volume anual de entrada de material (Kg) - Pinheiros - Papelão</t>
  </si>
  <si>
    <t>Volume anual de entrada de material (Kg) - Pinheiros - Plástico</t>
  </si>
  <si>
    <t>Volume anual de entrada de material (Kg) - Santo Amaro - Longa Vida</t>
  </si>
  <si>
    <t>Volume anual de entrada de material (Kg) - Santo Amaro - Papelão</t>
  </si>
  <si>
    <t>Volume anual de entrada de material (Kg) - Santo Amaro - Plástico</t>
  </si>
  <si>
    <t>Viagens por semana Hub- Brooklin</t>
  </si>
  <si>
    <t>Viagens por semana Hub- Embu das Artes</t>
  </si>
  <si>
    <t>Viagens por semana Hub- Jabaquara</t>
  </si>
  <si>
    <t>Viagens por semana Hub- Paraisópolis</t>
  </si>
  <si>
    <t>Viagens por semana Hub- Pinheiros</t>
  </si>
  <si>
    <t>Quantidade de recusa de materiais (Kg)</t>
  </si>
  <si>
    <t>Não aplicável</t>
  </si>
  <si>
    <t>Balanço de massa SIMUL8 (o que entra é o que sai + estoque remanescente)</t>
  </si>
  <si>
    <t>Ocupação das prensas — Prensa Grande (Papelão)</t>
  </si>
  <si>
    <t>Ocupação das prensas — Prensa Pequena (Plástico e Longa Vida)</t>
  </si>
  <si>
    <t>Ocupação do caminhão</t>
  </si>
  <si>
    <t>Quando atinge um estoque de 15m³, ou seja, cerca de metade do estoque do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</si>
</sst>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4" fillId="2" borderId="0" xfId="0" applyFont="1" applyFill="1"/>
    <xf numFmtId="2" fontId="3" fillId="0" borderId="0" xfId="0" applyNumberFormat="1" applyFont="1" applyAlignment="1">
      <alignment horizontal="center"/>
    </xf>
    <xf numFmtId="0" fontId="5" fillId="0" borderId="0" xfId="0" applyFont="1"/>
    <xf numFmtId="0" fontId="2" fillId="3" borderId="0" xfId="0" applyFont="1" applyFill="1"/>
    <xf numFmtId="0" fontId="5" fillId="0" borderId="0" xfId="0" applyFont="1" applyAlignment="1">
      <alignment horizontal="center"/>
    </xf>
    <xf numFmtId="0" fontId="2" fillId="5" borderId="0" xfId="0" applyFont="1" applyFill="1"/>
    <xf numFmtId="0" fontId="0" fillId="4" borderId="0" xfId="0" applyFill="1"/>
    <xf numFmtId="0" fontId="2" fillId="5" borderId="0" xfId="0" applyFont="1" applyFill="1" applyAlignment="1">
      <alignment vertical="top"/>
    </xf>
    <xf numFmtId="2" fontId="0" fillId="4" borderId="0" xfId="0" applyNumberFormat="1" applyFill="1" applyAlignment="1">
      <alignment horizontal="center"/>
    </xf>
    <xf numFmtId="0" fontId="2" fillId="6" borderId="0" xfId="0" applyFont="1" applyFill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10" fontId="0" fillId="0" borderId="0" xfId="0" applyNumberFormat="1"/>
    <xf numFmtId="0" fontId="0" fillId="3" borderId="0" xfId="0" applyFill="1"/>
    <xf numFmtId="2" fontId="0" fillId="0" borderId="0" xfId="0" applyNumberFormat="1"/>
    <xf numFmtId="0" fontId="7" fillId="0" borderId="0" xfId="0" applyFont="1"/>
    <xf numFmtId="4" fontId="7" fillId="0" borderId="0" xfId="0" applyNumberFormat="1" applyFont="1"/>
    <xf numFmtId="3" fontId="0" fillId="0" borderId="0" xfId="0" applyNumberFormat="1"/>
    <xf numFmtId="4" fontId="0" fillId="0" borderId="0" xfId="0" applyNumberFormat="1"/>
    <xf numFmtId="3" fontId="7" fillId="0" borderId="0" xfId="0" applyNumberFormat="1" applyFont="1"/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" fillId="0" borderId="0" xfId="0" applyFont="1"/>
    <xf numFmtId="0" fontId="12" fillId="0" borderId="0" xfId="0" applyFont="1" applyAlignment="1">
      <alignment horizontal="left"/>
    </xf>
    <xf numFmtId="165" fontId="0" fillId="0" borderId="0" xfId="0" applyNumberFormat="1"/>
    <xf numFmtId="0" fontId="5" fillId="0" borderId="0" xfId="0" applyFont="1" applyAlignment="1">
      <alignment vertical="top" wrapText="1"/>
    </xf>
    <xf numFmtId="0" fontId="14" fillId="0" borderId="0" xfId="0" applyFont="1"/>
    <xf numFmtId="0" fontId="2" fillId="0" borderId="0" xfId="0" applyFont="1" applyAlignment="1">
      <alignment vertical="top"/>
    </xf>
    <xf numFmtId="3" fontId="0" fillId="0" borderId="0" xfId="0" applyNumberFormat="1" applyAlignment="1">
      <alignment horizontal="center"/>
    </xf>
    <xf numFmtId="3" fontId="7" fillId="0" borderId="0" xfId="0" applyNumberFormat="1" applyFont="1" applyAlignment="1">
      <alignment horizontal="center"/>
    </xf>
    <xf numFmtId="10" fontId="7" fillId="0" borderId="0" xfId="0" applyNumberFormat="1" applyFont="1"/>
    <xf numFmtId="1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9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O ANDRADE RODRIGUES" id="{45BD01D0-5166-EE46-A2E5-5D55C9D28BA4}" userId="Fernando Andrade Rodrigue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8-09T00:04:44.01" personId="{45BD01D0-5166-EE46-A2E5-5D55C9D28BA4}" id="{91763A03-9F58-D84A-804B-1CDF8D4E3537}">
    <text>Densidade aparente = Volume anual (kg) / (tamanho do baú do caminhão (m3)*nº de viagens por semana do CC para o Hub*nº de semanas úteis no ano).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3BEF-4118-FC41-AD27-2BA53762768E}">
  <dimension ref="A1:F84"/>
  <sheetViews>
    <sheetView tabSelected="1" workbookViewId="0"/>
  </sheetViews>
  <sheetFormatPr baseColWidth="10" defaultColWidth="10.6640625" defaultRowHeight="16" x14ac:dyDescent="0.2"/>
  <cols>
    <col min="2" max="2" width="74.6640625" bestFit="1" customWidth="1"/>
    <col min="5" max="5" width="65.83203125" bestFit="1" customWidth="1"/>
    <col min="6" max="6" width="112.1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7</v>
      </c>
      <c r="C2">
        <v>540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11</v>
      </c>
      <c r="C3">
        <v>240</v>
      </c>
      <c r="D3" t="s">
        <v>8</v>
      </c>
      <c r="E3" t="s">
        <v>9</v>
      </c>
      <c r="F3" t="s">
        <v>12</v>
      </c>
    </row>
    <row r="4" spans="1:6" x14ac:dyDescent="0.2">
      <c r="A4" t="s">
        <v>6</v>
      </c>
      <c r="B4" t="s">
        <v>13</v>
      </c>
      <c r="C4">
        <v>312</v>
      </c>
      <c r="D4" t="s">
        <v>14</v>
      </c>
      <c r="E4" t="s">
        <v>9</v>
      </c>
      <c r="F4" t="s">
        <v>15</v>
      </c>
    </row>
    <row r="5" spans="1:6" x14ac:dyDescent="0.2">
      <c r="A5" t="s">
        <v>16</v>
      </c>
      <c r="B5" t="s">
        <v>7</v>
      </c>
      <c r="C5">
        <v>480</v>
      </c>
      <c r="D5" t="s">
        <v>8</v>
      </c>
      <c r="E5" t="s">
        <v>9</v>
      </c>
      <c r="F5" t="s">
        <v>17</v>
      </c>
    </row>
    <row r="6" spans="1:6" x14ac:dyDescent="0.2">
      <c r="A6" t="s">
        <v>16</v>
      </c>
      <c r="B6" t="s">
        <v>11</v>
      </c>
      <c r="C6">
        <v>240</v>
      </c>
      <c r="D6" t="s">
        <v>8</v>
      </c>
      <c r="E6" t="s">
        <v>9</v>
      </c>
      <c r="F6" t="s">
        <v>12</v>
      </c>
    </row>
    <row r="7" spans="1:6" x14ac:dyDescent="0.2">
      <c r="A7" t="s">
        <v>16</v>
      </c>
      <c r="B7" t="s">
        <v>13</v>
      </c>
      <c r="C7">
        <v>312</v>
      </c>
      <c r="D7" t="s">
        <v>14</v>
      </c>
      <c r="E7" t="s">
        <v>9</v>
      </c>
      <c r="F7" t="s">
        <v>15</v>
      </c>
    </row>
    <row r="8" spans="1:6" x14ac:dyDescent="0.2">
      <c r="A8" t="s">
        <v>18</v>
      </c>
      <c r="B8" t="s">
        <v>7</v>
      </c>
      <c r="C8">
        <v>540</v>
      </c>
      <c r="D8" t="s">
        <v>8</v>
      </c>
      <c r="E8" t="s">
        <v>9</v>
      </c>
      <c r="F8" t="s">
        <v>10</v>
      </c>
    </row>
    <row r="9" spans="1:6" x14ac:dyDescent="0.2">
      <c r="A9" t="s">
        <v>18</v>
      </c>
      <c r="B9" t="s">
        <v>11</v>
      </c>
      <c r="C9">
        <v>240</v>
      </c>
      <c r="D9" t="s">
        <v>8</v>
      </c>
      <c r="E9" t="s">
        <v>9</v>
      </c>
      <c r="F9" t="s">
        <v>12</v>
      </c>
    </row>
    <row r="10" spans="1:6" x14ac:dyDescent="0.2">
      <c r="A10" t="s">
        <v>18</v>
      </c>
      <c r="B10" t="s">
        <v>13</v>
      </c>
      <c r="C10">
        <v>312</v>
      </c>
      <c r="D10" t="s">
        <v>14</v>
      </c>
      <c r="E10" t="s">
        <v>9</v>
      </c>
      <c r="F10" t="s">
        <v>15</v>
      </c>
    </row>
    <row r="11" spans="1:6" x14ac:dyDescent="0.2">
      <c r="A11" t="s">
        <v>6</v>
      </c>
      <c r="B11" t="s">
        <v>19</v>
      </c>
      <c r="C11">
        <v>0.5</v>
      </c>
      <c r="D11" t="s">
        <v>8</v>
      </c>
      <c r="E11" t="s">
        <v>9</v>
      </c>
    </row>
    <row r="12" spans="1:6" x14ac:dyDescent="0.2">
      <c r="A12" t="s">
        <v>6</v>
      </c>
      <c r="B12" t="s">
        <v>20</v>
      </c>
      <c r="C12">
        <v>0.5</v>
      </c>
      <c r="D12" t="s">
        <v>8</v>
      </c>
      <c r="E12" t="s">
        <v>9</v>
      </c>
    </row>
    <row r="13" spans="1:6" x14ac:dyDescent="0.2">
      <c r="A13" t="s">
        <v>6</v>
      </c>
      <c r="B13" t="s">
        <v>21</v>
      </c>
      <c r="C13">
        <v>1</v>
      </c>
      <c r="D13" t="s">
        <v>8</v>
      </c>
      <c r="E13" t="s">
        <v>9</v>
      </c>
    </row>
    <row r="14" spans="1:6" x14ac:dyDescent="0.2">
      <c r="A14" t="s">
        <v>6</v>
      </c>
      <c r="B14" t="s">
        <v>22</v>
      </c>
      <c r="C14">
        <v>2</v>
      </c>
      <c r="D14" t="s">
        <v>8</v>
      </c>
      <c r="E14" t="s">
        <v>9</v>
      </c>
    </row>
    <row r="15" spans="1:6" x14ac:dyDescent="0.2">
      <c r="A15" t="s">
        <v>6</v>
      </c>
      <c r="B15" t="s">
        <v>23</v>
      </c>
      <c r="C15">
        <v>100</v>
      </c>
      <c r="D15" t="s">
        <v>24</v>
      </c>
      <c r="E15" t="s">
        <v>25</v>
      </c>
      <c r="F15" t="s">
        <v>26</v>
      </c>
    </row>
    <row r="16" spans="1:6" x14ac:dyDescent="0.2">
      <c r="A16" t="s">
        <v>6</v>
      </c>
      <c r="B16" t="s">
        <v>27</v>
      </c>
      <c r="C16">
        <v>20</v>
      </c>
      <c r="D16" t="s">
        <v>8</v>
      </c>
      <c r="E16" t="s">
        <v>9</v>
      </c>
    </row>
    <row r="17" spans="1:5" x14ac:dyDescent="0.2">
      <c r="A17" t="s">
        <v>16</v>
      </c>
      <c r="B17" t="s">
        <v>27</v>
      </c>
      <c r="C17">
        <v>20</v>
      </c>
      <c r="D17" t="s">
        <v>8</v>
      </c>
      <c r="E17" t="s">
        <v>9</v>
      </c>
    </row>
    <row r="18" spans="1:5" x14ac:dyDescent="0.2">
      <c r="A18" s="8" t="s">
        <v>6</v>
      </c>
      <c r="B18" s="8" t="s">
        <v>28</v>
      </c>
      <c r="C18">
        <v>30</v>
      </c>
      <c r="D18" s="8" t="s">
        <v>8</v>
      </c>
      <c r="E18" t="s">
        <v>9</v>
      </c>
    </row>
    <row r="19" spans="1:5" x14ac:dyDescent="0.2">
      <c r="A19" s="8" t="s">
        <v>6</v>
      </c>
      <c r="B19" s="8" t="s">
        <v>29</v>
      </c>
      <c r="C19">
        <v>30</v>
      </c>
      <c r="D19" s="8" t="s">
        <v>8</v>
      </c>
      <c r="E19" t="s">
        <v>9</v>
      </c>
    </row>
    <row r="20" spans="1:5" x14ac:dyDescent="0.2">
      <c r="A20" s="8" t="s">
        <v>6</v>
      </c>
      <c r="B20" s="8" t="s">
        <v>30</v>
      </c>
      <c r="C20">
        <v>30</v>
      </c>
      <c r="D20" s="8" t="s">
        <v>8</v>
      </c>
      <c r="E20" t="s">
        <v>9</v>
      </c>
    </row>
    <row r="21" spans="1:5" x14ac:dyDescent="0.2">
      <c r="A21" s="8" t="s">
        <v>6</v>
      </c>
      <c r="B21" s="8" t="s">
        <v>31</v>
      </c>
      <c r="C21">
        <v>30</v>
      </c>
      <c r="D21" s="8" t="s">
        <v>8</v>
      </c>
      <c r="E21" t="s">
        <v>9</v>
      </c>
    </row>
    <row r="22" spans="1:5" x14ac:dyDescent="0.2">
      <c r="A22" s="8" t="s">
        <v>16</v>
      </c>
      <c r="B22" s="8" t="s">
        <v>28</v>
      </c>
      <c r="C22">
        <v>30</v>
      </c>
      <c r="D22" s="8" t="s">
        <v>8</v>
      </c>
      <c r="E22" t="s">
        <v>9</v>
      </c>
    </row>
    <row r="23" spans="1:5" x14ac:dyDescent="0.2">
      <c r="A23" s="8" t="s">
        <v>16</v>
      </c>
      <c r="B23" s="8" t="s">
        <v>29</v>
      </c>
      <c r="C23">
        <v>30</v>
      </c>
      <c r="D23" s="8" t="s">
        <v>8</v>
      </c>
      <c r="E23" t="s">
        <v>9</v>
      </c>
    </row>
    <row r="24" spans="1:5" x14ac:dyDescent="0.2">
      <c r="A24" s="8" t="s">
        <v>16</v>
      </c>
      <c r="B24" s="8" t="s">
        <v>30</v>
      </c>
      <c r="C24">
        <v>30</v>
      </c>
      <c r="D24" s="8" t="s">
        <v>8</v>
      </c>
      <c r="E24" t="s">
        <v>9</v>
      </c>
    </row>
    <row r="25" spans="1:5" x14ac:dyDescent="0.2">
      <c r="A25" s="8" t="s">
        <v>16</v>
      </c>
      <c r="B25" s="8" t="s">
        <v>31</v>
      </c>
      <c r="C25">
        <v>30</v>
      </c>
      <c r="D25" s="8" t="s">
        <v>8</v>
      </c>
      <c r="E25" t="s">
        <v>9</v>
      </c>
    </row>
    <row r="26" spans="1:5" x14ac:dyDescent="0.2">
      <c r="A26" s="8" t="s">
        <v>6</v>
      </c>
      <c r="B26" s="8" t="s">
        <v>32</v>
      </c>
      <c r="C26">
        <v>30</v>
      </c>
      <c r="D26" s="8" t="s">
        <v>33</v>
      </c>
      <c r="E26" t="s">
        <v>34</v>
      </c>
    </row>
    <row r="27" spans="1:5" x14ac:dyDescent="0.2">
      <c r="A27" s="8" t="s">
        <v>6</v>
      </c>
      <c r="B27" s="8" t="s">
        <v>35</v>
      </c>
      <c r="C27">
        <v>33</v>
      </c>
      <c r="D27" s="8" t="s">
        <v>33</v>
      </c>
      <c r="E27" t="s">
        <v>34</v>
      </c>
    </row>
    <row r="28" spans="1:5" x14ac:dyDescent="0.2">
      <c r="A28" s="8" t="s">
        <v>6</v>
      </c>
      <c r="B28" s="8" t="s">
        <v>36</v>
      </c>
      <c r="C28">
        <v>33</v>
      </c>
      <c r="D28" s="8" t="s">
        <v>33</v>
      </c>
      <c r="E28" t="s">
        <v>34</v>
      </c>
    </row>
    <row r="29" spans="1:5" x14ac:dyDescent="0.2">
      <c r="A29" s="8" t="s">
        <v>6</v>
      </c>
      <c r="B29" s="8" t="s">
        <v>37</v>
      </c>
      <c r="C29">
        <v>33</v>
      </c>
      <c r="D29" s="8" t="s">
        <v>33</v>
      </c>
      <c r="E29" t="s">
        <v>34</v>
      </c>
    </row>
    <row r="30" spans="1:5" x14ac:dyDescent="0.2">
      <c r="A30" s="8" t="s">
        <v>6</v>
      </c>
      <c r="B30" s="8" t="s">
        <v>38</v>
      </c>
      <c r="C30">
        <v>33</v>
      </c>
      <c r="D30" s="8" t="s">
        <v>33</v>
      </c>
      <c r="E30" t="s">
        <v>34</v>
      </c>
    </row>
    <row r="31" spans="1:5" x14ac:dyDescent="0.2">
      <c r="A31" s="8" t="s">
        <v>6</v>
      </c>
      <c r="B31" s="8" t="s">
        <v>39</v>
      </c>
      <c r="C31">
        <v>2</v>
      </c>
      <c r="D31" s="8" t="s">
        <v>40</v>
      </c>
      <c r="E31" t="s">
        <v>9</v>
      </c>
    </row>
    <row r="32" spans="1:5" x14ac:dyDescent="0.2">
      <c r="A32" s="8" t="s">
        <v>6</v>
      </c>
      <c r="B32" s="8" t="s">
        <v>41</v>
      </c>
      <c r="C32">
        <v>2</v>
      </c>
      <c r="D32" s="8" t="s">
        <v>40</v>
      </c>
      <c r="E32" t="s">
        <v>9</v>
      </c>
    </row>
    <row r="33" spans="1:6" x14ac:dyDescent="0.2">
      <c r="A33" s="8" t="s">
        <v>6</v>
      </c>
      <c r="B33" s="8" t="s">
        <v>42</v>
      </c>
      <c r="C33">
        <v>3</v>
      </c>
      <c r="D33" s="8" t="s">
        <v>40</v>
      </c>
      <c r="E33" t="s">
        <v>9</v>
      </c>
    </row>
    <row r="34" spans="1:6" x14ac:dyDescent="0.2">
      <c r="A34" s="8" t="s">
        <v>6</v>
      </c>
      <c r="B34" s="8" t="s">
        <v>43</v>
      </c>
      <c r="C34">
        <v>2</v>
      </c>
      <c r="D34" s="8" t="s">
        <v>40</v>
      </c>
      <c r="E34" t="s">
        <v>9</v>
      </c>
    </row>
    <row r="35" spans="1:6" x14ac:dyDescent="0.2">
      <c r="A35" s="8" t="s">
        <v>6</v>
      </c>
      <c r="B35" s="8" t="s">
        <v>44</v>
      </c>
      <c r="C35">
        <v>2</v>
      </c>
      <c r="D35" s="8" t="s">
        <v>40</v>
      </c>
      <c r="E35" t="s">
        <v>9</v>
      </c>
    </row>
    <row r="36" spans="1:6" x14ac:dyDescent="0.2">
      <c r="A36" s="8" t="s">
        <v>6</v>
      </c>
      <c r="B36" s="8" t="s">
        <v>45</v>
      </c>
      <c r="C36">
        <v>2</v>
      </c>
      <c r="D36" s="8" t="s">
        <v>40</v>
      </c>
      <c r="E36" t="s">
        <v>9</v>
      </c>
    </row>
    <row r="37" spans="1:6" x14ac:dyDescent="0.2">
      <c r="A37" s="8" t="s">
        <v>6</v>
      </c>
      <c r="B37" s="8" t="s">
        <v>46</v>
      </c>
      <c r="C37">
        <v>2</v>
      </c>
      <c r="D37" s="8" t="s">
        <v>40</v>
      </c>
      <c r="E37" t="s">
        <v>9</v>
      </c>
    </row>
    <row r="38" spans="1:6" x14ac:dyDescent="0.2">
      <c r="A38" s="8" t="s">
        <v>6</v>
      </c>
      <c r="B38" s="8" t="s">
        <v>47</v>
      </c>
      <c r="C38">
        <v>2</v>
      </c>
      <c r="D38" s="8" t="s">
        <v>40</v>
      </c>
      <c r="E38" t="s">
        <v>9</v>
      </c>
    </row>
    <row r="39" spans="1:6" x14ac:dyDescent="0.2">
      <c r="A39" s="8" t="s">
        <v>6</v>
      </c>
      <c r="B39" s="8" t="s">
        <v>48</v>
      </c>
      <c r="C39">
        <v>2</v>
      </c>
      <c r="D39" s="8" t="s">
        <v>40</v>
      </c>
      <c r="E39" t="s">
        <v>9</v>
      </c>
    </row>
    <row r="40" spans="1:6" x14ac:dyDescent="0.2">
      <c r="A40" s="8" t="s">
        <v>6</v>
      </c>
      <c r="B40" s="8" t="s">
        <v>49</v>
      </c>
      <c r="C40">
        <v>2</v>
      </c>
      <c r="D40" s="8" t="s">
        <v>40</v>
      </c>
      <c r="E40" t="s">
        <v>9</v>
      </c>
    </row>
    <row r="41" spans="1:6" x14ac:dyDescent="0.2">
      <c r="A41" t="s">
        <v>16</v>
      </c>
      <c r="B41" t="s">
        <v>50</v>
      </c>
      <c r="C41">
        <v>1</v>
      </c>
      <c r="D41" t="s">
        <v>51</v>
      </c>
      <c r="E41" t="s">
        <v>34</v>
      </c>
    </row>
    <row r="42" spans="1:6" x14ac:dyDescent="0.2">
      <c r="A42" t="s">
        <v>16</v>
      </c>
      <c r="B42" t="s">
        <v>52</v>
      </c>
      <c r="C42">
        <v>100</v>
      </c>
      <c r="D42" t="s">
        <v>24</v>
      </c>
      <c r="E42" t="s">
        <v>25</v>
      </c>
      <c r="F42" t="s">
        <v>26</v>
      </c>
    </row>
    <row r="43" spans="1:6" x14ac:dyDescent="0.2">
      <c r="A43" t="s">
        <v>16</v>
      </c>
      <c r="B43" t="s">
        <v>53</v>
      </c>
      <c r="C43">
        <v>1800</v>
      </c>
      <c r="D43" t="s">
        <v>54</v>
      </c>
      <c r="E43" t="s">
        <v>9</v>
      </c>
    </row>
    <row r="44" spans="1:6" x14ac:dyDescent="0.2">
      <c r="A44" t="s">
        <v>16</v>
      </c>
      <c r="B44" t="s">
        <v>55</v>
      </c>
      <c r="C44">
        <v>10</v>
      </c>
      <c r="D44" t="s">
        <v>33</v>
      </c>
      <c r="E44" t="s">
        <v>9</v>
      </c>
    </row>
    <row r="45" spans="1:6" x14ac:dyDescent="0.2">
      <c r="A45" t="s">
        <v>16</v>
      </c>
      <c r="B45" t="s">
        <v>56</v>
      </c>
      <c r="C45">
        <v>95</v>
      </c>
      <c r="D45" t="s">
        <v>24</v>
      </c>
      <c r="E45" t="s">
        <v>9</v>
      </c>
      <c r="F45" t="s">
        <v>57</v>
      </c>
    </row>
    <row r="46" spans="1:6" x14ac:dyDescent="0.2">
      <c r="A46" t="s">
        <v>16</v>
      </c>
      <c r="B46" t="s">
        <v>58</v>
      </c>
      <c r="C46">
        <v>30</v>
      </c>
      <c r="D46" t="s">
        <v>8</v>
      </c>
      <c r="E46" t="s">
        <v>9</v>
      </c>
    </row>
    <row r="47" spans="1:6" x14ac:dyDescent="0.2">
      <c r="A47" t="s">
        <v>18</v>
      </c>
      <c r="B47" t="s">
        <v>58</v>
      </c>
      <c r="C47">
        <v>30</v>
      </c>
      <c r="D47" t="s">
        <v>8</v>
      </c>
      <c r="E47" t="s">
        <v>9</v>
      </c>
    </row>
    <row r="48" spans="1:6" x14ac:dyDescent="0.2">
      <c r="A48" t="s">
        <v>16</v>
      </c>
      <c r="B48" t="s">
        <v>59</v>
      </c>
      <c r="C48">
        <v>0</v>
      </c>
      <c r="D48" t="s">
        <v>8</v>
      </c>
      <c r="E48" t="s">
        <v>9</v>
      </c>
      <c r="F48" t="s">
        <v>60</v>
      </c>
    </row>
    <row r="49" spans="1:6" x14ac:dyDescent="0.2">
      <c r="A49" t="s">
        <v>16</v>
      </c>
      <c r="B49" t="s">
        <v>61</v>
      </c>
      <c r="C49">
        <v>0</v>
      </c>
      <c r="D49" t="s">
        <v>8</v>
      </c>
      <c r="E49" t="s">
        <v>9</v>
      </c>
      <c r="F49" t="s">
        <v>60</v>
      </c>
    </row>
    <row r="50" spans="1:6" x14ac:dyDescent="0.2">
      <c r="A50" t="s">
        <v>16</v>
      </c>
      <c r="B50" t="s">
        <v>62</v>
      </c>
      <c r="C50">
        <v>5</v>
      </c>
      <c r="D50" t="s">
        <v>51</v>
      </c>
      <c r="E50" t="s">
        <v>9</v>
      </c>
      <c r="F50" t="s">
        <v>63</v>
      </c>
    </row>
    <row r="51" spans="1:6" x14ac:dyDescent="0.2">
      <c r="A51" s="8" t="s">
        <v>16</v>
      </c>
      <c r="B51" s="8" t="s">
        <v>64</v>
      </c>
      <c r="C51">
        <v>4</v>
      </c>
      <c r="D51" s="8" t="s">
        <v>51</v>
      </c>
      <c r="E51" t="s">
        <v>9</v>
      </c>
      <c r="F51" t="s">
        <v>63</v>
      </c>
    </row>
    <row r="52" spans="1:6" x14ac:dyDescent="0.2">
      <c r="A52" s="8" t="s">
        <v>16</v>
      </c>
      <c r="B52" s="8" t="s">
        <v>65</v>
      </c>
      <c r="C52">
        <v>2</v>
      </c>
      <c r="D52" s="8" t="s">
        <v>51</v>
      </c>
      <c r="E52" t="s">
        <v>9</v>
      </c>
      <c r="F52" t="s">
        <v>63</v>
      </c>
    </row>
    <row r="53" spans="1:6" x14ac:dyDescent="0.2">
      <c r="A53" s="8" t="s">
        <v>16</v>
      </c>
      <c r="B53" s="8" t="s">
        <v>66</v>
      </c>
      <c r="C53">
        <v>2</v>
      </c>
      <c r="D53" s="8" t="s">
        <v>51</v>
      </c>
      <c r="E53" t="s">
        <v>9</v>
      </c>
      <c r="F53" t="s">
        <v>63</v>
      </c>
    </row>
    <row r="54" spans="1:6" x14ac:dyDescent="0.2">
      <c r="A54" s="8" t="s">
        <v>16</v>
      </c>
      <c r="B54" s="8" t="s">
        <v>67</v>
      </c>
      <c r="C54">
        <v>2</v>
      </c>
      <c r="D54" s="8" t="s">
        <v>51</v>
      </c>
      <c r="E54" t="s">
        <v>9</v>
      </c>
      <c r="F54" t="s">
        <v>63</v>
      </c>
    </row>
    <row r="55" spans="1:6" x14ac:dyDescent="0.2">
      <c r="A55" t="s">
        <v>18</v>
      </c>
      <c r="B55" t="s">
        <v>68</v>
      </c>
      <c r="C55">
        <v>100</v>
      </c>
      <c r="D55" t="s">
        <v>24</v>
      </c>
      <c r="E55" t="s">
        <v>25</v>
      </c>
      <c r="F55" t="s">
        <v>26</v>
      </c>
    </row>
    <row r="56" spans="1:6" x14ac:dyDescent="0.2">
      <c r="A56" t="s">
        <v>18</v>
      </c>
      <c r="B56" t="s">
        <v>69</v>
      </c>
      <c r="C56">
        <v>6</v>
      </c>
      <c r="D56" t="s">
        <v>40</v>
      </c>
      <c r="E56" t="s">
        <v>9</v>
      </c>
    </row>
    <row r="57" spans="1:6" x14ac:dyDescent="0.2">
      <c r="A57" t="s">
        <v>18</v>
      </c>
      <c r="B57" t="s">
        <v>70</v>
      </c>
      <c r="C57">
        <v>3</v>
      </c>
      <c r="D57" t="s">
        <v>40</v>
      </c>
      <c r="E57" t="s">
        <v>9</v>
      </c>
    </row>
    <row r="58" spans="1:6" x14ac:dyDescent="0.2">
      <c r="A58" t="s">
        <v>18</v>
      </c>
      <c r="B58" t="s">
        <v>71</v>
      </c>
      <c r="C58">
        <v>0</v>
      </c>
      <c r="D58" t="s">
        <v>40</v>
      </c>
      <c r="E58" t="s">
        <v>9</v>
      </c>
      <c r="F58" t="s">
        <v>72</v>
      </c>
    </row>
    <row r="59" spans="1:6" x14ac:dyDescent="0.2">
      <c r="A59" t="s">
        <v>18</v>
      </c>
      <c r="B59" t="s">
        <v>73</v>
      </c>
      <c r="C59">
        <v>6</v>
      </c>
      <c r="D59" t="s">
        <v>40</v>
      </c>
      <c r="E59" t="s">
        <v>9</v>
      </c>
    </row>
    <row r="60" spans="1:6" x14ac:dyDescent="0.2">
      <c r="A60" t="s">
        <v>18</v>
      </c>
      <c r="B60" t="s">
        <v>74</v>
      </c>
      <c r="C60">
        <v>30</v>
      </c>
      <c r="D60" t="s">
        <v>8</v>
      </c>
      <c r="E60" t="s">
        <v>9</v>
      </c>
      <c r="F60" t="s">
        <v>75</v>
      </c>
    </row>
    <row r="61" spans="1:6" x14ac:dyDescent="0.2">
      <c r="A61" t="s">
        <v>18</v>
      </c>
      <c r="B61" t="s">
        <v>76</v>
      </c>
      <c r="C61">
        <v>493</v>
      </c>
      <c r="D61" t="s">
        <v>33</v>
      </c>
      <c r="E61" t="s">
        <v>34</v>
      </c>
      <c r="F61" t="s">
        <v>77</v>
      </c>
    </row>
    <row r="62" spans="1:6" x14ac:dyDescent="0.2">
      <c r="A62" t="s">
        <v>18</v>
      </c>
      <c r="B62" t="s">
        <v>78</v>
      </c>
      <c r="C62">
        <v>2</v>
      </c>
      <c r="D62" t="s">
        <v>51</v>
      </c>
      <c r="E62" t="s">
        <v>34</v>
      </c>
    </row>
    <row r="63" spans="1:6" x14ac:dyDescent="0.2">
      <c r="A63" t="s">
        <v>18</v>
      </c>
      <c r="B63" t="s">
        <v>79</v>
      </c>
      <c r="C63">
        <v>4</v>
      </c>
      <c r="D63" t="s">
        <v>51</v>
      </c>
      <c r="E63" t="s">
        <v>34</v>
      </c>
    </row>
    <row r="64" spans="1:6" x14ac:dyDescent="0.2">
      <c r="A64" t="s">
        <v>18</v>
      </c>
      <c r="B64" t="s">
        <v>80</v>
      </c>
      <c r="C64">
        <v>1</v>
      </c>
      <c r="D64" t="s">
        <v>40</v>
      </c>
      <c r="E64" t="s">
        <v>9</v>
      </c>
    </row>
    <row r="65" spans="1:6" x14ac:dyDescent="0.2">
      <c r="A65" t="s">
        <v>18</v>
      </c>
      <c r="B65" t="s">
        <v>81</v>
      </c>
      <c r="C65">
        <v>1</v>
      </c>
      <c r="D65" t="s">
        <v>40</v>
      </c>
      <c r="E65" t="s">
        <v>9</v>
      </c>
    </row>
    <row r="66" spans="1:6" x14ac:dyDescent="0.2">
      <c r="A66" t="s">
        <v>18</v>
      </c>
      <c r="B66" t="s">
        <v>82</v>
      </c>
      <c r="C66">
        <v>200</v>
      </c>
      <c r="D66" t="s">
        <v>54</v>
      </c>
      <c r="E66" t="s">
        <v>34</v>
      </c>
      <c r="F66" t="s">
        <v>83</v>
      </c>
    </row>
    <row r="67" spans="1:6" x14ac:dyDescent="0.2">
      <c r="A67" t="s">
        <v>18</v>
      </c>
      <c r="B67" t="s">
        <v>84</v>
      </c>
      <c r="C67">
        <v>100</v>
      </c>
      <c r="D67" t="s">
        <v>54</v>
      </c>
      <c r="E67" t="s">
        <v>34</v>
      </c>
      <c r="F67" t="s">
        <v>83</v>
      </c>
    </row>
    <row r="68" spans="1:6" x14ac:dyDescent="0.2">
      <c r="A68" t="s">
        <v>18</v>
      </c>
      <c r="B68" t="s">
        <v>85</v>
      </c>
      <c r="C68">
        <v>120</v>
      </c>
      <c r="D68" t="s">
        <v>54</v>
      </c>
      <c r="E68" t="s">
        <v>34</v>
      </c>
      <c r="F68" t="s">
        <v>83</v>
      </c>
    </row>
    <row r="69" spans="1:6" x14ac:dyDescent="0.2">
      <c r="A69" t="s">
        <v>18</v>
      </c>
      <c r="B69" t="s">
        <v>86</v>
      </c>
      <c r="C69">
        <v>0.53900000000000003</v>
      </c>
      <c r="D69" t="s">
        <v>33</v>
      </c>
      <c r="E69" t="s">
        <v>34</v>
      </c>
    </row>
    <row r="70" spans="1:6" x14ac:dyDescent="0.2">
      <c r="A70" t="s">
        <v>18</v>
      </c>
      <c r="B70" t="s">
        <v>87</v>
      </c>
      <c r="C70">
        <v>0.247</v>
      </c>
      <c r="D70" t="s">
        <v>33</v>
      </c>
      <c r="E70" t="s">
        <v>34</v>
      </c>
    </row>
    <row r="71" spans="1:6" x14ac:dyDescent="0.2">
      <c r="A71" t="s">
        <v>18</v>
      </c>
      <c r="B71" t="s">
        <v>88</v>
      </c>
      <c r="C71">
        <v>0.247</v>
      </c>
      <c r="D71" t="s">
        <v>33</v>
      </c>
      <c r="E71" t="s">
        <v>34</v>
      </c>
    </row>
    <row r="72" spans="1:6" x14ac:dyDescent="0.2">
      <c r="A72" t="s">
        <v>18</v>
      </c>
      <c r="B72" t="s">
        <v>89</v>
      </c>
      <c r="C72">
        <v>10</v>
      </c>
      <c r="D72" t="s">
        <v>8</v>
      </c>
      <c r="E72" t="s">
        <v>9</v>
      </c>
    </row>
    <row r="73" spans="1:6" x14ac:dyDescent="0.2">
      <c r="A73" t="s">
        <v>18</v>
      </c>
      <c r="B73" t="s">
        <v>90</v>
      </c>
      <c r="C73">
        <v>5</v>
      </c>
      <c r="D73" t="s">
        <v>8</v>
      </c>
      <c r="E73" t="s">
        <v>9</v>
      </c>
    </row>
    <row r="74" spans="1:6" x14ac:dyDescent="0.2">
      <c r="A74" t="s">
        <v>18</v>
      </c>
      <c r="B74" t="s">
        <v>91</v>
      </c>
      <c r="C74">
        <v>5</v>
      </c>
      <c r="D74" t="s">
        <v>8</v>
      </c>
      <c r="E74" t="s">
        <v>9</v>
      </c>
    </row>
    <row r="75" spans="1:6" x14ac:dyDescent="0.2">
      <c r="A75" t="s">
        <v>18</v>
      </c>
      <c r="B75" t="s">
        <v>92</v>
      </c>
      <c r="C75">
        <v>20</v>
      </c>
      <c r="D75" t="s">
        <v>8</v>
      </c>
      <c r="E75" t="s">
        <v>9</v>
      </c>
    </row>
    <row r="76" spans="1:6" x14ac:dyDescent="0.2">
      <c r="A76" t="s">
        <v>18</v>
      </c>
      <c r="B76" t="s">
        <v>93</v>
      </c>
      <c r="C76">
        <v>8</v>
      </c>
      <c r="D76" t="s">
        <v>8</v>
      </c>
      <c r="E76" t="s">
        <v>9</v>
      </c>
    </row>
    <row r="77" spans="1:6" x14ac:dyDescent="0.2">
      <c r="A77" t="s">
        <v>18</v>
      </c>
      <c r="B77" t="s">
        <v>94</v>
      </c>
      <c r="C77">
        <v>8</v>
      </c>
      <c r="D77" t="s">
        <v>8</v>
      </c>
      <c r="E77" t="s">
        <v>9</v>
      </c>
    </row>
    <row r="78" spans="1:6" x14ac:dyDescent="0.2">
      <c r="A78" t="s">
        <v>18</v>
      </c>
      <c r="B78" t="s">
        <v>95</v>
      </c>
      <c r="C78">
        <v>32</v>
      </c>
      <c r="D78" t="s">
        <v>51</v>
      </c>
      <c r="E78" t="s">
        <v>96</v>
      </c>
      <c r="F78" t="s">
        <v>97</v>
      </c>
    </row>
    <row r="79" spans="1:6" x14ac:dyDescent="0.2">
      <c r="A79" t="s">
        <v>18</v>
      </c>
      <c r="B79" t="s">
        <v>98</v>
      </c>
      <c r="C79">
        <v>19</v>
      </c>
      <c r="D79" t="s">
        <v>51</v>
      </c>
      <c r="E79" t="s">
        <v>96</v>
      </c>
      <c r="F79" t="s">
        <v>99</v>
      </c>
    </row>
    <row r="80" spans="1:6" x14ac:dyDescent="0.2">
      <c r="A80" t="s">
        <v>18</v>
      </c>
      <c r="B80" t="s">
        <v>100</v>
      </c>
      <c r="C80">
        <v>54</v>
      </c>
      <c r="D80" t="s">
        <v>51</v>
      </c>
      <c r="E80" t="s">
        <v>96</v>
      </c>
      <c r="F80" t="s">
        <v>101</v>
      </c>
    </row>
    <row r="81" spans="1:5" x14ac:dyDescent="0.2">
      <c r="A81" t="s">
        <v>18</v>
      </c>
      <c r="B81" t="s">
        <v>102</v>
      </c>
      <c r="C81">
        <v>0.5</v>
      </c>
      <c r="D81" t="s">
        <v>8</v>
      </c>
      <c r="E81" t="s">
        <v>9</v>
      </c>
    </row>
    <row r="82" spans="1:5" x14ac:dyDescent="0.2">
      <c r="A82" t="s">
        <v>18</v>
      </c>
      <c r="B82" t="s">
        <v>103</v>
      </c>
      <c r="C82">
        <v>0.5</v>
      </c>
      <c r="D82" t="s">
        <v>8</v>
      </c>
      <c r="E82" t="s">
        <v>9</v>
      </c>
    </row>
    <row r="83" spans="1:5" x14ac:dyDescent="0.2">
      <c r="A83" t="s">
        <v>18</v>
      </c>
      <c r="B83" t="s">
        <v>21</v>
      </c>
      <c r="C83">
        <v>1</v>
      </c>
      <c r="D83" t="s">
        <v>8</v>
      </c>
      <c r="E83" t="s">
        <v>9</v>
      </c>
    </row>
    <row r="84" spans="1:5" x14ac:dyDescent="0.2">
      <c r="A84" t="s">
        <v>18</v>
      </c>
      <c r="B84" t="s">
        <v>104</v>
      </c>
      <c r="C84">
        <v>2</v>
      </c>
      <c r="D84" t="s">
        <v>8</v>
      </c>
      <c r="E84" t="s">
        <v>9</v>
      </c>
    </row>
  </sheetData>
  <autoFilter ref="A1:F84" xr:uid="{EFFC3BEF-4118-FC41-AD27-2BA5376276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4266-A91C-994B-8033-712EC737E6D5}">
  <dimension ref="A1:E5"/>
  <sheetViews>
    <sheetView workbookViewId="0"/>
  </sheetViews>
  <sheetFormatPr baseColWidth="10" defaultColWidth="10.6640625" defaultRowHeight="16" x14ac:dyDescent="0.2"/>
  <cols>
    <col min="1" max="1" width="12.6640625" bestFit="1" customWidth="1"/>
    <col min="2" max="2" width="44.1640625" bestFit="1" customWidth="1"/>
    <col min="3" max="3" width="61.33203125" bestFit="1" customWidth="1"/>
    <col min="4" max="4" width="21.83203125" bestFit="1" customWidth="1"/>
  </cols>
  <sheetData>
    <row r="1" spans="1:5" x14ac:dyDescent="0.2">
      <c r="A1" s="2" t="s">
        <v>0</v>
      </c>
      <c r="B1" s="2" t="s">
        <v>105</v>
      </c>
      <c r="C1" s="2" t="s">
        <v>106</v>
      </c>
      <c r="D1" s="9" t="s">
        <v>4</v>
      </c>
      <c r="E1" s="9" t="s">
        <v>5</v>
      </c>
    </row>
    <row r="2" spans="1:5" x14ac:dyDescent="0.2">
      <c r="A2" t="s">
        <v>6</v>
      </c>
      <c r="B2" t="s">
        <v>107</v>
      </c>
      <c r="C2" t="s">
        <v>345</v>
      </c>
      <c r="D2" t="s">
        <v>9</v>
      </c>
    </row>
    <row r="3" spans="1:5" x14ac:dyDescent="0.2">
      <c r="A3" t="s">
        <v>16</v>
      </c>
      <c r="B3" t="s">
        <v>108</v>
      </c>
      <c r="C3" t="s">
        <v>109</v>
      </c>
      <c r="D3" t="s">
        <v>9</v>
      </c>
    </row>
    <row r="4" spans="1:5" x14ac:dyDescent="0.2">
      <c r="A4" t="s">
        <v>110</v>
      </c>
      <c r="B4" t="s">
        <v>111</v>
      </c>
      <c r="C4" t="s">
        <v>112</v>
      </c>
      <c r="D4" t="s">
        <v>9</v>
      </c>
    </row>
    <row r="5" spans="1:5" x14ac:dyDescent="0.2">
      <c r="A5" t="s">
        <v>18</v>
      </c>
      <c r="B5" t="s">
        <v>113</v>
      </c>
      <c r="C5" t="s">
        <v>114</v>
      </c>
      <c r="D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C0AF-F65C-D84D-B3E3-76BC8733D15D}">
  <dimension ref="A1:L20"/>
  <sheetViews>
    <sheetView zoomScale="103" workbookViewId="0">
      <selection activeCell="D1" sqref="D1"/>
    </sheetView>
  </sheetViews>
  <sheetFormatPr baseColWidth="10" defaultColWidth="10.6640625" defaultRowHeight="16" x14ac:dyDescent="0.2"/>
  <cols>
    <col min="4" max="4" width="18.83203125" bestFit="1" customWidth="1"/>
    <col min="5" max="5" width="26.33203125" bestFit="1" customWidth="1"/>
    <col min="6" max="6" width="50.83203125" bestFit="1" customWidth="1"/>
  </cols>
  <sheetData>
    <row r="1" spans="1:12" x14ac:dyDescent="0.2">
      <c r="A1" s="2" t="s">
        <v>0</v>
      </c>
      <c r="B1" s="2" t="s">
        <v>115</v>
      </c>
      <c r="C1" s="2" t="s">
        <v>116</v>
      </c>
      <c r="D1" s="2" t="s">
        <v>117</v>
      </c>
      <c r="E1" s="9" t="s">
        <v>4</v>
      </c>
      <c r="F1" s="9" t="s">
        <v>118</v>
      </c>
    </row>
    <row r="2" spans="1:12" x14ac:dyDescent="0.2">
      <c r="A2" s="8" t="s">
        <v>16</v>
      </c>
      <c r="B2" s="8" t="s">
        <v>119</v>
      </c>
      <c r="C2" s="8" t="s">
        <v>120</v>
      </c>
      <c r="D2" s="14">
        <v>89.683800000000005</v>
      </c>
      <c r="E2" t="s">
        <v>121</v>
      </c>
      <c r="F2" s="12" t="s">
        <v>122</v>
      </c>
    </row>
    <row r="3" spans="1:12" x14ac:dyDescent="0.2">
      <c r="A3" s="8" t="s">
        <v>16</v>
      </c>
      <c r="B3" s="8" t="s">
        <v>119</v>
      </c>
      <c r="C3" s="8" t="s">
        <v>123</v>
      </c>
      <c r="D3" s="14">
        <v>16.9986</v>
      </c>
      <c r="E3" t="s">
        <v>121</v>
      </c>
      <c r="F3" s="12" t="s">
        <v>124</v>
      </c>
    </row>
    <row r="4" spans="1:12" x14ac:dyDescent="0.2">
      <c r="A4" s="8" t="s">
        <v>16</v>
      </c>
      <c r="B4" s="8" t="s">
        <v>119</v>
      </c>
      <c r="C4" s="8" t="s">
        <v>125</v>
      </c>
      <c r="D4" s="14">
        <v>33.626100000000001</v>
      </c>
      <c r="E4" t="s">
        <v>121</v>
      </c>
      <c r="F4" s="12" t="s">
        <v>124</v>
      </c>
      <c r="I4" s="23"/>
      <c r="J4" s="23"/>
      <c r="K4" s="23"/>
      <c r="L4" s="23"/>
    </row>
    <row r="5" spans="1:12" x14ac:dyDescent="0.2">
      <c r="A5" s="8" t="s">
        <v>16</v>
      </c>
      <c r="B5" s="8" t="s">
        <v>126</v>
      </c>
      <c r="C5" s="8" t="s">
        <v>120</v>
      </c>
      <c r="D5" s="14">
        <v>83.955699999999993</v>
      </c>
      <c r="E5" t="s">
        <v>121</v>
      </c>
      <c r="F5" s="12" t="s">
        <v>122</v>
      </c>
      <c r="I5" s="23"/>
      <c r="L5" s="23"/>
    </row>
    <row r="6" spans="1:12" x14ac:dyDescent="0.2">
      <c r="A6" s="8" t="s">
        <v>16</v>
      </c>
      <c r="B6" s="8" t="s">
        <v>126</v>
      </c>
      <c r="C6" s="8" t="s">
        <v>123</v>
      </c>
      <c r="D6" s="14">
        <v>73.921999999999997</v>
      </c>
      <c r="E6" t="s">
        <v>121</v>
      </c>
      <c r="F6" s="12" t="s">
        <v>124</v>
      </c>
      <c r="I6" s="23"/>
      <c r="L6" s="23"/>
    </row>
    <row r="7" spans="1:12" x14ac:dyDescent="0.2">
      <c r="A7" s="8" t="s">
        <v>16</v>
      </c>
      <c r="B7" s="8" t="s">
        <v>126</v>
      </c>
      <c r="C7" s="8" t="s">
        <v>125</v>
      </c>
      <c r="D7" s="14">
        <v>0</v>
      </c>
      <c r="E7" t="s">
        <v>121</v>
      </c>
      <c r="F7" s="12" t="s">
        <v>124</v>
      </c>
      <c r="I7" s="23"/>
      <c r="L7" s="23"/>
    </row>
    <row r="8" spans="1:12" x14ac:dyDescent="0.2">
      <c r="A8" s="8" t="s">
        <v>16</v>
      </c>
      <c r="B8" s="8" t="s">
        <v>127</v>
      </c>
      <c r="C8" s="8" t="s">
        <v>120</v>
      </c>
      <c r="D8" s="14">
        <v>61.644100000000002</v>
      </c>
      <c r="E8" t="s">
        <v>121</v>
      </c>
      <c r="F8" s="12" t="s">
        <v>122</v>
      </c>
      <c r="I8" s="23"/>
      <c r="L8" s="23"/>
    </row>
    <row r="9" spans="1:12" x14ac:dyDescent="0.2">
      <c r="A9" s="8" t="s">
        <v>16</v>
      </c>
      <c r="B9" s="8" t="s">
        <v>127</v>
      </c>
      <c r="C9" s="8" t="s">
        <v>123</v>
      </c>
      <c r="D9" s="14">
        <v>49.195</v>
      </c>
      <c r="E9" t="s">
        <v>121</v>
      </c>
      <c r="F9" s="12" t="s">
        <v>124</v>
      </c>
      <c r="I9" s="23"/>
      <c r="L9" s="23"/>
    </row>
    <row r="10" spans="1:12" x14ac:dyDescent="0.2">
      <c r="A10" s="8" t="s">
        <v>16</v>
      </c>
      <c r="B10" s="8" t="s">
        <v>127</v>
      </c>
      <c r="C10" s="8" t="s">
        <v>125</v>
      </c>
      <c r="D10" s="14">
        <v>73.134299999999996</v>
      </c>
      <c r="E10" t="s">
        <v>121</v>
      </c>
      <c r="F10" s="12" t="s">
        <v>124</v>
      </c>
      <c r="I10" s="23"/>
      <c r="L10" s="23"/>
    </row>
    <row r="11" spans="1:12" x14ac:dyDescent="0.2">
      <c r="A11" s="8" t="s">
        <v>16</v>
      </c>
      <c r="B11" s="8" t="s">
        <v>128</v>
      </c>
      <c r="C11" s="8" t="s">
        <v>120</v>
      </c>
      <c r="D11" s="14">
        <v>38.5672</v>
      </c>
      <c r="E11" t="s">
        <v>121</v>
      </c>
      <c r="F11" s="12" t="s">
        <v>122</v>
      </c>
      <c r="I11" s="23"/>
      <c r="L11" s="23"/>
    </row>
    <row r="12" spans="1:12" x14ac:dyDescent="0.2">
      <c r="A12" s="8" t="s">
        <v>16</v>
      </c>
      <c r="B12" s="8" t="s">
        <v>128</v>
      </c>
      <c r="C12" s="8" t="s">
        <v>123</v>
      </c>
      <c r="D12" s="14">
        <v>31.116199999999999</v>
      </c>
      <c r="E12" t="s">
        <v>121</v>
      </c>
      <c r="F12" s="12" t="s">
        <v>124</v>
      </c>
      <c r="I12" s="23"/>
      <c r="L12" s="23"/>
    </row>
    <row r="13" spans="1:12" x14ac:dyDescent="0.2">
      <c r="A13" s="8" t="s">
        <v>16</v>
      </c>
      <c r="B13" s="8" t="s">
        <v>128</v>
      </c>
      <c r="C13" s="8" t="s">
        <v>125</v>
      </c>
      <c r="D13" s="14">
        <v>14.461499999999999</v>
      </c>
      <c r="E13" t="s">
        <v>121</v>
      </c>
      <c r="F13" s="12" t="s">
        <v>124</v>
      </c>
      <c r="I13" s="23"/>
      <c r="L13" s="23"/>
    </row>
    <row r="14" spans="1:12" x14ac:dyDescent="0.2">
      <c r="A14" s="8" t="s">
        <v>16</v>
      </c>
      <c r="B14" s="8" t="s">
        <v>129</v>
      </c>
      <c r="C14" s="8" t="s">
        <v>120</v>
      </c>
      <c r="D14" s="14">
        <v>92.106499999999997</v>
      </c>
      <c r="E14" t="s">
        <v>121</v>
      </c>
      <c r="F14" s="12" t="s">
        <v>122</v>
      </c>
      <c r="I14" s="23"/>
      <c r="L14" s="23"/>
    </row>
    <row r="15" spans="1:12" x14ac:dyDescent="0.2">
      <c r="A15" s="8" t="s">
        <v>16</v>
      </c>
      <c r="B15" s="8" t="s">
        <v>129</v>
      </c>
      <c r="C15" s="8" t="s">
        <v>123</v>
      </c>
      <c r="D15" s="14">
        <v>64.8202</v>
      </c>
      <c r="E15" t="s">
        <v>121</v>
      </c>
      <c r="F15" s="12" t="s">
        <v>124</v>
      </c>
      <c r="I15" s="23"/>
      <c r="L15" s="23"/>
    </row>
    <row r="16" spans="1:12" x14ac:dyDescent="0.2">
      <c r="A16" s="8" t="s">
        <v>16</v>
      </c>
      <c r="B16" s="8" t="s">
        <v>129</v>
      </c>
      <c r="C16" s="8" t="s">
        <v>125</v>
      </c>
      <c r="D16" s="14">
        <v>34.539900000000003</v>
      </c>
      <c r="E16" t="s">
        <v>121</v>
      </c>
      <c r="F16" s="12" t="s">
        <v>124</v>
      </c>
      <c r="I16" s="23"/>
      <c r="L16" s="23"/>
    </row>
    <row r="17" spans="1:12" x14ac:dyDescent="0.2">
      <c r="A17" s="8" t="s">
        <v>16</v>
      </c>
      <c r="B17" s="8" t="s">
        <v>130</v>
      </c>
      <c r="C17" s="8" t="s">
        <v>120</v>
      </c>
      <c r="D17" s="14">
        <v>65.661699999999996</v>
      </c>
      <c r="E17" t="s">
        <v>121</v>
      </c>
      <c r="F17" s="12" t="s">
        <v>122</v>
      </c>
      <c r="I17" s="23"/>
      <c r="L17" s="23"/>
    </row>
    <row r="18" spans="1:12" x14ac:dyDescent="0.2">
      <c r="A18" s="8" t="s">
        <v>16</v>
      </c>
      <c r="B18" s="8" t="s">
        <v>130</v>
      </c>
      <c r="C18" s="8" t="s">
        <v>123</v>
      </c>
      <c r="D18" s="14">
        <v>49.738900000000001</v>
      </c>
      <c r="E18" t="s">
        <v>121</v>
      </c>
      <c r="F18" s="12" t="s">
        <v>124</v>
      </c>
      <c r="I18" s="23"/>
      <c r="L18" s="23"/>
    </row>
    <row r="19" spans="1:12" x14ac:dyDescent="0.2">
      <c r="A19" s="8" t="s">
        <v>16</v>
      </c>
      <c r="B19" s="8" t="s">
        <v>130</v>
      </c>
      <c r="C19" s="8" t="s">
        <v>125</v>
      </c>
      <c r="D19" s="14">
        <v>32.7346</v>
      </c>
      <c r="E19" t="s">
        <v>121</v>
      </c>
      <c r="F19" s="12" t="s">
        <v>124</v>
      </c>
    </row>
    <row r="20" spans="1:12" x14ac:dyDescent="0.2">
      <c r="D20" s="3"/>
    </row>
  </sheetData>
  <autoFilter ref="A1:F19" xr:uid="{3832C0AF-F65C-D84D-B3E3-76BC8733D15D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51A5-A8AF-1948-9B95-7EDCF76662E6}">
  <dimension ref="A1:AP39"/>
  <sheetViews>
    <sheetView workbookViewId="0">
      <selection activeCell="H12" sqref="H12"/>
    </sheetView>
  </sheetViews>
  <sheetFormatPr baseColWidth="10" defaultColWidth="10.6640625" defaultRowHeight="16" x14ac:dyDescent="0.2"/>
  <cols>
    <col min="1" max="1" width="12.83203125" customWidth="1"/>
    <col min="3" max="3" width="9.6640625" bestFit="1" customWidth="1"/>
    <col min="4" max="4" width="22" bestFit="1" customWidth="1"/>
    <col min="5" max="5" width="10.6640625" customWidth="1"/>
    <col min="6" max="6" width="25.33203125" customWidth="1"/>
    <col min="7" max="7" width="26.6640625" customWidth="1"/>
    <col min="8" max="8" width="10.6640625" customWidth="1"/>
    <col min="9" max="9" width="27.33203125" bestFit="1" customWidth="1"/>
  </cols>
  <sheetData>
    <row r="1" spans="1:42" x14ac:dyDescent="0.2">
      <c r="A1" s="44" t="s">
        <v>4</v>
      </c>
      <c r="B1" s="44"/>
      <c r="C1" s="44"/>
      <c r="D1" s="44"/>
      <c r="E1" s="44"/>
      <c r="F1" s="44"/>
      <c r="G1" s="44"/>
      <c r="H1" s="44"/>
    </row>
    <row r="2" spans="1:42" x14ac:dyDescent="0.2">
      <c r="A2" s="43" t="s">
        <v>131</v>
      </c>
      <c r="B2" s="43"/>
      <c r="C2" s="43"/>
      <c r="D2" s="43"/>
      <c r="E2" s="43"/>
      <c r="F2" s="43"/>
      <c r="G2" s="43"/>
      <c r="H2" s="43"/>
    </row>
    <row r="3" spans="1:42" x14ac:dyDescent="0.2">
      <c r="A3" s="44" t="s">
        <v>118</v>
      </c>
      <c r="B3" s="44"/>
      <c r="C3" s="44"/>
      <c r="D3" s="44"/>
      <c r="E3" s="44"/>
      <c r="F3" s="44"/>
      <c r="G3" s="44"/>
      <c r="H3" s="44"/>
    </row>
    <row r="4" spans="1:42" x14ac:dyDescent="0.2">
      <c r="A4" s="43" t="s">
        <v>132</v>
      </c>
      <c r="B4" s="43"/>
      <c r="C4" s="43"/>
      <c r="D4" s="43"/>
      <c r="E4" s="43"/>
      <c r="F4" s="43"/>
      <c r="G4" s="43"/>
      <c r="H4" s="43"/>
    </row>
    <row r="5" spans="1:42" x14ac:dyDescent="0.2">
      <c r="A5" s="3"/>
      <c r="B5" s="3"/>
      <c r="C5" s="3"/>
      <c r="D5" s="3"/>
      <c r="E5" s="3"/>
      <c r="F5" s="3"/>
      <c r="G5" s="3"/>
    </row>
    <row r="6" spans="1:42" x14ac:dyDescent="0.2">
      <c r="D6" s="38">
        <f>SUBTOTAL(9,D8:D25)</f>
        <v>22043</v>
      </c>
      <c r="E6" s="38">
        <f>SUBTOTAL(9,E8:E25)</f>
        <v>397079.58999999997</v>
      </c>
      <c r="F6" s="25"/>
      <c r="G6" s="25"/>
      <c r="H6" s="25"/>
      <c r="I6" s="39">
        <f>SUBTOTAL(9,I8:I25)</f>
        <v>377974.20000000007</v>
      </c>
      <c r="J6" s="40">
        <f t="shared" ref="J6" si="0">(I6-E6)/E6</f>
        <v>-4.8114762080820876E-2</v>
      </c>
    </row>
    <row r="7" spans="1:42" x14ac:dyDescent="0.2">
      <c r="A7" s="2" t="s">
        <v>0</v>
      </c>
      <c r="B7" s="2" t="s">
        <v>115</v>
      </c>
      <c r="C7" s="2" t="s">
        <v>116</v>
      </c>
      <c r="D7" s="2" t="s">
        <v>133</v>
      </c>
      <c r="E7" s="2" t="s">
        <v>134</v>
      </c>
      <c r="F7" s="2" t="s">
        <v>135</v>
      </c>
      <c r="G7" s="2" t="s">
        <v>136</v>
      </c>
      <c r="H7" s="2" t="s">
        <v>137</v>
      </c>
      <c r="I7" s="15" t="s">
        <v>138</v>
      </c>
      <c r="J7" s="21" t="s">
        <v>139</v>
      </c>
    </row>
    <row r="8" spans="1:42" x14ac:dyDescent="0.2">
      <c r="A8" s="8" t="s">
        <v>6</v>
      </c>
      <c r="B8" s="8" t="s">
        <v>119</v>
      </c>
      <c r="C8" s="8" t="s">
        <v>120</v>
      </c>
      <c r="D8" s="28">
        <v>695</v>
      </c>
      <c r="E8" s="29">
        <v>395.94</v>
      </c>
      <c r="F8" s="30">
        <v>0.56969999999999998</v>
      </c>
      <c r="G8" s="29">
        <v>202.0137</v>
      </c>
      <c r="H8" s="31">
        <f t="shared" ref="H8:H25" si="1">IF(SUMIF($B$8:$B$25,B8,$E$8:$E$25)=0,0,E8/SUMIF($B$8:$B$25,B8,$E$8:$E$25))</f>
        <v>2.069825371226636E-2</v>
      </c>
      <c r="I8" s="42">
        <v>352.83</v>
      </c>
      <c r="J8" s="41">
        <f>IFERROR((I8-E8)/E8,"-")</f>
        <v>-0.10888013335353845</v>
      </c>
      <c r="K8" s="22"/>
      <c r="L8" s="23"/>
      <c r="M8" s="23"/>
      <c r="AI8" s="23"/>
      <c r="AJ8" s="23"/>
      <c r="AK8" s="23"/>
      <c r="AL8" s="23"/>
      <c r="AM8" s="23"/>
      <c r="AN8" s="23"/>
      <c r="AO8" s="23"/>
      <c r="AP8" s="23"/>
    </row>
    <row r="9" spans="1:42" x14ac:dyDescent="0.2">
      <c r="A9" s="8" t="s">
        <v>6</v>
      </c>
      <c r="B9" s="8" t="s">
        <v>119</v>
      </c>
      <c r="C9" s="8" t="s">
        <v>123</v>
      </c>
      <c r="D9" s="28">
        <v>1591</v>
      </c>
      <c r="E9" s="29">
        <v>16448.55</v>
      </c>
      <c r="F9" s="30">
        <v>10.3385</v>
      </c>
      <c r="G9" s="29">
        <v>88.246099999999998</v>
      </c>
      <c r="H9" s="31">
        <f t="shared" si="1"/>
        <v>0.85986831615623283</v>
      </c>
      <c r="I9" s="42">
        <v>15034.36</v>
      </c>
      <c r="J9" s="41">
        <f t="shared" ref="J9:J25" si="2">IFERROR((I9-E9)/E9,"-")</f>
        <v>-8.5976575442820113E-2</v>
      </c>
      <c r="K9" s="22"/>
      <c r="M9" s="24"/>
      <c r="O9" s="20"/>
      <c r="AN9" s="23"/>
      <c r="AO9" s="20"/>
    </row>
    <row r="10" spans="1:42" x14ac:dyDescent="0.2">
      <c r="A10" s="8" t="s">
        <v>6</v>
      </c>
      <c r="B10" s="8" t="s">
        <v>119</v>
      </c>
      <c r="C10" s="8" t="s">
        <v>125</v>
      </c>
      <c r="D10" s="28">
        <v>1111</v>
      </c>
      <c r="E10" s="29">
        <v>2284.66</v>
      </c>
      <c r="F10" s="30">
        <v>2.0564</v>
      </c>
      <c r="G10" s="29">
        <v>126.37220000000001</v>
      </c>
      <c r="H10" s="31">
        <f t="shared" si="1"/>
        <v>0.11943343013150089</v>
      </c>
      <c r="I10" s="42">
        <v>2156.8200000000002</v>
      </c>
      <c r="J10" s="41">
        <f t="shared" si="2"/>
        <v>-5.5955809617185798E-2</v>
      </c>
      <c r="K10" s="22"/>
      <c r="M10" s="24"/>
      <c r="O10" s="20"/>
      <c r="AK10" s="25"/>
      <c r="AL10" s="26"/>
      <c r="AN10" s="23"/>
      <c r="AO10" s="20"/>
    </row>
    <row r="11" spans="1:42" x14ac:dyDescent="0.2">
      <c r="A11" s="8" t="s">
        <v>6</v>
      </c>
      <c r="B11" s="8" t="s">
        <v>126</v>
      </c>
      <c r="C11" s="8" t="s">
        <v>120</v>
      </c>
      <c r="D11" s="28">
        <v>239</v>
      </c>
      <c r="E11" s="29">
        <v>1255.6099999999999</v>
      </c>
      <c r="F11" s="30">
        <v>5.2535999999999996</v>
      </c>
      <c r="G11" s="29">
        <v>587.44560000000001</v>
      </c>
      <c r="H11" s="31">
        <f t="shared" si="1"/>
        <v>1.5242894980980522E-2</v>
      </c>
      <c r="I11" s="42">
        <v>1181.25</v>
      </c>
      <c r="J11" s="41">
        <f t="shared" si="2"/>
        <v>-5.9222210718296212E-2</v>
      </c>
      <c r="K11" s="22"/>
      <c r="M11" s="24"/>
      <c r="O11" s="20"/>
      <c r="AK11" s="25"/>
      <c r="AL11" s="26"/>
      <c r="AN11" s="23"/>
      <c r="AO11" s="20"/>
    </row>
    <row r="12" spans="1:42" x14ac:dyDescent="0.2">
      <c r="A12" s="8" t="s">
        <v>6</v>
      </c>
      <c r="B12" s="8" t="s">
        <v>126</v>
      </c>
      <c r="C12" s="8" t="s">
        <v>123</v>
      </c>
      <c r="D12" s="28">
        <v>1446</v>
      </c>
      <c r="E12" s="29">
        <v>81117.850000000006</v>
      </c>
      <c r="F12" s="30">
        <v>56.098100000000002</v>
      </c>
      <c r="G12" s="29">
        <v>97.095100000000002</v>
      </c>
      <c r="H12" s="31">
        <f t="shared" si="1"/>
        <v>0.98475710501901947</v>
      </c>
      <c r="I12" s="42">
        <v>75903.3</v>
      </c>
      <c r="J12" s="41">
        <f t="shared" si="2"/>
        <v>-6.4283631777716038E-2</v>
      </c>
      <c r="K12" s="22"/>
      <c r="M12" s="24"/>
      <c r="O12" s="20"/>
      <c r="AL12" s="26"/>
      <c r="AN12" s="23"/>
      <c r="AO12" s="20"/>
    </row>
    <row r="13" spans="1:42" x14ac:dyDescent="0.2">
      <c r="A13" s="8" t="s">
        <v>6</v>
      </c>
      <c r="B13" s="8" t="s">
        <v>126</v>
      </c>
      <c r="C13" s="8" t="s">
        <v>125</v>
      </c>
      <c r="D13" s="28">
        <v>0</v>
      </c>
      <c r="E13" s="29">
        <v>0</v>
      </c>
      <c r="F13" s="30" t="s">
        <v>140</v>
      </c>
      <c r="G13" s="29" t="s">
        <v>140</v>
      </c>
      <c r="H13" s="31">
        <f t="shared" si="1"/>
        <v>0</v>
      </c>
      <c r="I13" s="42">
        <v>0</v>
      </c>
      <c r="J13" s="41" t="str">
        <f t="shared" si="2"/>
        <v>-</v>
      </c>
      <c r="K13" s="22"/>
      <c r="M13" s="24"/>
      <c r="O13" s="20"/>
      <c r="AK13" s="25"/>
      <c r="AL13" s="26"/>
      <c r="AN13" s="23"/>
      <c r="AO13" s="20"/>
    </row>
    <row r="14" spans="1:42" x14ac:dyDescent="0.2">
      <c r="A14" s="8" t="s">
        <v>6</v>
      </c>
      <c r="B14" s="8" t="s">
        <v>127</v>
      </c>
      <c r="C14" s="8" t="s">
        <v>120</v>
      </c>
      <c r="D14" s="28">
        <v>1141</v>
      </c>
      <c r="E14" s="29">
        <v>3209.75</v>
      </c>
      <c r="F14" s="30">
        <v>2.8130999999999999</v>
      </c>
      <c r="G14" s="29">
        <v>123.04949999999999</v>
      </c>
      <c r="H14" s="31">
        <f t="shared" si="1"/>
        <v>2.919738505681517E-2</v>
      </c>
      <c r="I14" s="42">
        <v>3262.41</v>
      </c>
      <c r="J14" s="41">
        <f t="shared" si="2"/>
        <v>1.6406262169950885E-2</v>
      </c>
      <c r="K14" s="22"/>
      <c r="L14" s="8"/>
      <c r="M14" s="24"/>
      <c r="O14" s="20"/>
      <c r="AO14" s="20"/>
    </row>
    <row r="15" spans="1:42" x14ac:dyDescent="0.2">
      <c r="A15" s="8" t="s">
        <v>6</v>
      </c>
      <c r="B15" s="8" t="s">
        <v>127</v>
      </c>
      <c r="C15" s="8" t="s">
        <v>123</v>
      </c>
      <c r="D15" s="28">
        <v>4439</v>
      </c>
      <c r="E15" s="29">
        <v>85463.62</v>
      </c>
      <c r="F15" s="30">
        <v>19.2529</v>
      </c>
      <c r="G15" s="29">
        <v>31.628599999999999</v>
      </c>
      <c r="H15" s="31">
        <f t="shared" si="1"/>
        <v>0.77741700178809248</v>
      </c>
      <c r="I15" s="42">
        <v>87452.75</v>
      </c>
      <c r="J15" s="41">
        <f t="shared" si="2"/>
        <v>2.3274581629001964E-2</v>
      </c>
      <c r="K15" s="22"/>
      <c r="L15" s="23"/>
      <c r="M15" s="24"/>
      <c r="AK15" s="25"/>
      <c r="AL15" s="26"/>
      <c r="AN15" s="23"/>
      <c r="AO15" s="20"/>
    </row>
    <row r="16" spans="1:42" x14ac:dyDescent="0.2">
      <c r="A16" s="8" t="s">
        <v>6</v>
      </c>
      <c r="B16" s="8" t="s">
        <v>127</v>
      </c>
      <c r="C16" s="8" t="s">
        <v>125</v>
      </c>
      <c r="D16" s="28">
        <v>3173</v>
      </c>
      <c r="E16" s="29">
        <v>21259.42</v>
      </c>
      <c r="F16" s="30">
        <v>6.7000999999999999</v>
      </c>
      <c r="G16" s="29">
        <v>44.248199999999997</v>
      </c>
      <c r="H16" s="31">
        <f t="shared" si="1"/>
        <v>0.19338561315509231</v>
      </c>
      <c r="I16" s="42">
        <v>23061.4</v>
      </c>
      <c r="J16" s="41">
        <f t="shared" si="2"/>
        <v>8.4761484556022851E-2</v>
      </c>
      <c r="K16" s="22"/>
      <c r="AK16" s="25"/>
      <c r="AL16" s="26"/>
      <c r="AN16" s="23"/>
      <c r="AO16" s="20"/>
    </row>
    <row r="17" spans="1:41" x14ac:dyDescent="0.2">
      <c r="A17" s="8" t="s">
        <v>6</v>
      </c>
      <c r="B17" s="8" t="s">
        <v>128</v>
      </c>
      <c r="C17" s="8" t="s">
        <v>120</v>
      </c>
      <c r="D17" s="28">
        <v>79</v>
      </c>
      <c r="E17" s="29">
        <v>1338.8</v>
      </c>
      <c r="F17" s="30">
        <v>16.9468</v>
      </c>
      <c r="G17" s="29">
        <v>1777.2089000000001</v>
      </c>
      <c r="H17" s="31">
        <f t="shared" si="1"/>
        <v>5.6234474404241362E-2</v>
      </c>
      <c r="I17" s="42">
        <v>983.1</v>
      </c>
      <c r="J17" s="41">
        <f t="shared" si="2"/>
        <v>-0.26568568867642661</v>
      </c>
      <c r="K17" s="22"/>
      <c r="AK17" s="25"/>
      <c r="AL17" s="26"/>
      <c r="AN17" s="23"/>
      <c r="AO17" s="20"/>
    </row>
    <row r="18" spans="1:41" x14ac:dyDescent="0.2">
      <c r="A18" s="8" t="s">
        <v>6</v>
      </c>
      <c r="B18" s="8" t="s">
        <v>128</v>
      </c>
      <c r="C18" s="8" t="s">
        <v>123</v>
      </c>
      <c r="D18" s="28">
        <v>328</v>
      </c>
      <c r="E18" s="29">
        <v>14817.1</v>
      </c>
      <c r="F18" s="30">
        <v>45.174100000000003</v>
      </c>
      <c r="G18" s="29">
        <v>428.04730000000001</v>
      </c>
      <c r="H18" s="31">
        <f t="shared" si="1"/>
        <v>0.62237214721772083</v>
      </c>
      <c r="I18" s="42">
        <v>15267.46</v>
      </c>
      <c r="J18" s="41">
        <f t="shared" si="2"/>
        <v>3.039461163115581E-2</v>
      </c>
      <c r="K18" s="22"/>
      <c r="AL18" s="26"/>
      <c r="AN18" s="24"/>
      <c r="AO18" s="20"/>
    </row>
    <row r="19" spans="1:41" x14ac:dyDescent="0.2">
      <c r="A19" s="8" t="s">
        <v>6</v>
      </c>
      <c r="B19" s="8" t="s">
        <v>128</v>
      </c>
      <c r="C19" s="8" t="s">
        <v>125</v>
      </c>
      <c r="D19" s="28">
        <v>316</v>
      </c>
      <c r="E19" s="29">
        <v>7651.56</v>
      </c>
      <c r="F19" s="30">
        <v>24.213799999999999</v>
      </c>
      <c r="G19" s="29">
        <v>444.30220000000003</v>
      </c>
      <c r="H19" s="31">
        <f t="shared" si="1"/>
        <v>0.32139337837803783</v>
      </c>
      <c r="I19" s="42">
        <v>6706.17</v>
      </c>
      <c r="J19" s="41">
        <f t="shared" si="2"/>
        <v>-0.12355519658736261</v>
      </c>
      <c r="K19" s="22"/>
      <c r="AL19" s="26"/>
      <c r="AN19" s="23"/>
      <c r="AO19" s="20"/>
    </row>
    <row r="20" spans="1:41" x14ac:dyDescent="0.2">
      <c r="A20" s="8" t="s">
        <v>6</v>
      </c>
      <c r="B20" s="8" t="s">
        <v>129</v>
      </c>
      <c r="C20" s="8" t="s">
        <v>120</v>
      </c>
      <c r="D20" s="28">
        <v>492</v>
      </c>
      <c r="E20" s="29">
        <v>3885.37</v>
      </c>
      <c r="F20" s="30">
        <v>7.8971</v>
      </c>
      <c r="G20" s="29">
        <v>285.3648</v>
      </c>
      <c r="H20" s="31">
        <f t="shared" si="1"/>
        <v>2.640001543761214E-2</v>
      </c>
      <c r="I20" s="42">
        <v>3634</v>
      </c>
      <c r="J20" s="41">
        <f t="shared" si="2"/>
        <v>-6.4696541127357218E-2</v>
      </c>
      <c r="K20" s="22"/>
      <c r="AL20" s="26"/>
      <c r="AN20" s="23"/>
      <c r="AO20" s="20"/>
    </row>
    <row r="21" spans="1:41" x14ac:dyDescent="0.2">
      <c r="A21" s="8" t="s">
        <v>6</v>
      </c>
      <c r="B21" s="8" t="s">
        <v>129</v>
      </c>
      <c r="C21" s="8" t="s">
        <v>123</v>
      </c>
      <c r="D21" s="28">
        <v>3795</v>
      </c>
      <c r="E21" s="29">
        <v>117610.47</v>
      </c>
      <c r="F21" s="30">
        <v>30.9909</v>
      </c>
      <c r="G21" s="29">
        <v>36.995899999999999</v>
      </c>
      <c r="H21" s="31">
        <f t="shared" si="1"/>
        <v>0.7991306422875607</v>
      </c>
      <c r="I21" s="42">
        <v>107473.32</v>
      </c>
      <c r="J21" s="41">
        <f t="shared" si="2"/>
        <v>-8.6192581323754541E-2</v>
      </c>
      <c r="K21" s="22"/>
      <c r="AL21" s="26"/>
      <c r="AN21" s="23"/>
      <c r="AO21" s="20"/>
    </row>
    <row r="22" spans="1:41" x14ac:dyDescent="0.2">
      <c r="A22" s="8" t="s">
        <v>6</v>
      </c>
      <c r="B22" s="8" t="s">
        <v>129</v>
      </c>
      <c r="C22" s="8" t="s">
        <v>125</v>
      </c>
      <c r="D22" s="28">
        <v>2543</v>
      </c>
      <c r="E22" s="29">
        <v>25677.18</v>
      </c>
      <c r="F22" s="30">
        <v>10.097200000000001</v>
      </c>
      <c r="G22" s="29">
        <v>55.2102</v>
      </c>
      <c r="H22" s="31">
        <f t="shared" si="1"/>
        <v>0.1744693422748273</v>
      </c>
      <c r="I22" s="42">
        <v>22906.799999999999</v>
      </c>
      <c r="J22" s="41">
        <f t="shared" si="2"/>
        <v>-0.10789268915044413</v>
      </c>
      <c r="K22" s="22"/>
      <c r="AK22" s="25"/>
      <c r="AL22" s="26"/>
      <c r="AN22" s="23"/>
      <c r="AO22" s="20"/>
    </row>
    <row r="23" spans="1:41" x14ac:dyDescent="0.2">
      <c r="A23" s="8" t="s">
        <v>6</v>
      </c>
      <c r="B23" s="8" t="s">
        <v>130</v>
      </c>
      <c r="C23" s="8" t="s">
        <v>120</v>
      </c>
      <c r="D23" s="28">
        <v>139</v>
      </c>
      <c r="E23" s="29">
        <v>1177.6500000000001</v>
      </c>
      <c r="F23" s="30">
        <v>8.4723000000000006</v>
      </c>
      <c r="G23" s="29">
        <v>1010.0683</v>
      </c>
      <c r="H23" s="31">
        <f t="shared" si="1"/>
        <v>8.0310508050145571E-2</v>
      </c>
      <c r="I23" s="42">
        <v>965.58</v>
      </c>
      <c r="J23" s="41">
        <f t="shared" si="2"/>
        <v>-0.18007897083174121</v>
      </c>
      <c r="K23" s="22"/>
      <c r="AK23" s="25"/>
      <c r="AL23" s="26"/>
      <c r="AN23" s="23"/>
      <c r="AO23" s="20"/>
    </row>
    <row r="24" spans="1:41" x14ac:dyDescent="0.2">
      <c r="A24" s="8" t="s">
        <v>6</v>
      </c>
      <c r="B24" s="8" t="s">
        <v>130</v>
      </c>
      <c r="C24" s="8" t="s">
        <v>123</v>
      </c>
      <c r="D24" s="28">
        <v>279</v>
      </c>
      <c r="E24" s="29">
        <v>11555.48</v>
      </c>
      <c r="F24" s="30">
        <v>41.417499999999997</v>
      </c>
      <c r="G24" s="29">
        <v>503.22399999999999</v>
      </c>
      <c r="H24" s="31">
        <f t="shared" si="1"/>
        <v>0.78803249655100926</v>
      </c>
      <c r="I24" s="42">
        <v>9733.7000000000007</v>
      </c>
      <c r="J24" s="41">
        <f t="shared" si="2"/>
        <v>-0.15765506928314521</v>
      </c>
      <c r="K24" s="22"/>
      <c r="AL24" s="26"/>
      <c r="AN24" s="24"/>
      <c r="AO24" s="20"/>
    </row>
    <row r="25" spans="1:41" x14ac:dyDescent="0.2">
      <c r="A25" s="8" t="s">
        <v>6</v>
      </c>
      <c r="B25" s="8" t="s">
        <v>130</v>
      </c>
      <c r="C25" s="8" t="s">
        <v>125</v>
      </c>
      <c r="D25" s="28">
        <v>237</v>
      </c>
      <c r="E25" s="29">
        <v>1930.58</v>
      </c>
      <c r="F25" s="30">
        <v>8.1458999999999993</v>
      </c>
      <c r="G25" s="29">
        <v>592.40300000000002</v>
      </c>
      <c r="H25" s="31">
        <f t="shared" si="1"/>
        <v>0.13165699539884518</v>
      </c>
      <c r="I25" s="42">
        <v>1898.95</v>
      </c>
      <c r="J25" s="41">
        <f t="shared" si="2"/>
        <v>-1.6383677444084102E-2</v>
      </c>
      <c r="K25" s="22"/>
      <c r="AL25" s="26"/>
      <c r="AN25" s="23"/>
      <c r="AO25" s="20"/>
    </row>
    <row r="26" spans="1:41" x14ac:dyDescent="0.2">
      <c r="E26" s="32"/>
      <c r="AL26" s="26"/>
      <c r="AN26" s="23"/>
      <c r="AO26" s="20"/>
    </row>
    <row r="27" spans="1:41" x14ac:dyDescent="0.2">
      <c r="A27" s="11" t="s">
        <v>141</v>
      </c>
      <c r="B27" s="11"/>
      <c r="C27" s="11"/>
      <c r="D27" s="11"/>
      <c r="E27" s="11"/>
      <c r="F27" s="11"/>
      <c r="G27" s="11"/>
      <c r="H27" s="11"/>
      <c r="AI27" s="23"/>
      <c r="AK27" s="27"/>
      <c r="AL27" s="23"/>
      <c r="AO27" s="23"/>
    </row>
    <row r="28" spans="1:41" x14ac:dyDescent="0.2">
      <c r="A28" s="23" t="s">
        <v>142</v>
      </c>
      <c r="B28" t="s">
        <v>143</v>
      </c>
      <c r="C28" s="35"/>
      <c r="D28" s="35"/>
      <c r="E28" s="35"/>
      <c r="F28" s="35"/>
      <c r="G28" s="35"/>
      <c r="H28" s="35"/>
    </row>
    <row r="29" spans="1:41" x14ac:dyDescent="0.2">
      <c r="A29" s="23" t="s">
        <v>144</v>
      </c>
      <c r="B29" t="s">
        <v>145</v>
      </c>
      <c r="C29" s="35"/>
      <c r="D29" s="35"/>
      <c r="E29" s="35"/>
      <c r="F29" s="35"/>
      <c r="G29" s="35"/>
      <c r="H29" s="35"/>
    </row>
    <row r="30" spans="1:41" x14ac:dyDescent="0.2">
      <c r="A30" s="23" t="s">
        <v>146</v>
      </c>
      <c r="B30" t="s">
        <v>147</v>
      </c>
      <c r="C30" s="35"/>
      <c r="D30" s="35"/>
      <c r="E30" s="35"/>
      <c r="F30" s="35"/>
      <c r="G30" s="35"/>
      <c r="H30" s="35"/>
    </row>
    <row r="31" spans="1:41" x14ac:dyDescent="0.2">
      <c r="A31" s="23" t="s">
        <v>148</v>
      </c>
      <c r="B31" t="s">
        <v>149</v>
      </c>
      <c r="C31" s="35"/>
      <c r="D31" s="35"/>
      <c r="E31" s="35"/>
      <c r="F31" s="35"/>
      <c r="G31" s="35"/>
      <c r="H31" s="35"/>
    </row>
    <row r="32" spans="1:41" x14ac:dyDescent="0.2">
      <c r="A32" s="23" t="s">
        <v>150</v>
      </c>
      <c r="B32" t="s">
        <v>151</v>
      </c>
      <c r="C32" s="35"/>
      <c r="D32" s="35"/>
      <c r="E32" s="35"/>
      <c r="F32" s="35"/>
      <c r="G32" s="35"/>
      <c r="H32" s="35"/>
    </row>
    <row r="33" spans="1:8" x14ac:dyDescent="0.2">
      <c r="A33" s="23" t="s">
        <v>152</v>
      </c>
      <c r="B33" t="s">
        <v>153</v>
      </c>
      <c r="C33" s="35"/>
      <c r="D33" s="35"/>
      <c r="E33" s="35"/>
      <c r="F33" s="35"/>
      <c r="G33" s="35"/>
      <c r="H33" s="35"/>
    </row>
    <row r="34" spans="1:8" x14ac:dyDescent="0.2">
      <c r="A34" s="23" t="s">
        <v>154</v>
      </c>
      <c r="B34" t="s">
        <v>155</v>
      </c>
      <c r="C34" s="35"/>
      <c r="D34" s="35"/>
      <c r="E34" s="35"/>
      <c r="F34" s="35"/>
      <c r="G34" s="35"/>
      <c r="H34" s="35"/>
    </row>
    <row r="35" spans="1:8" x14ac:dyDescent="0.2">
      <c r="A35" s="23" t="s">
        <v>156</v>
      </c>
      <c r="B35" t="s">
        <v>157</v>
      </c>
      <c r="C35" s="8"/>
      <c r="D35" s="8"/>
      <c r="E35" s="8"/>
      <c r="F35" s="8"/>
      <c r="G35" s="8"/>
      <c r="H35" s="8"/>
    </row>
    <row r="36" spans="1:8" x14ac:dyDescent="0.2">
      <c r="A36" s="23" t="s">
        <v>158</v>
      </c>
      <c r="B36" t="s">
        <v>159</v>
      </c>
    </row>
    <row r="37" spans="1:8" x14ac:dyDescent="0.2">
      <c r="A37" s="23" t="s">
        <v>160</v>
      </c>
      <c r="B37" t="s">
        <v>161</v>
      </c>
    </row>
    <row r="38" spans="1:8" x14ac:dyDescent="0.2">
      <c r="A38" s="23" t="s">
        <v>162</v>
      </c>
      <c r="B38" s="36" t="s">
        <v>163</v>
      </c>
    </row>
    <row r="39" spans="1:8" x14ac:dyDescent="0.2">
      <c r="A39" s="23" t="s">
        <v>164</v>
      </c>
      <c r="B39" s="36" t="s">
        <v>165</v>
      </c>
    </row>
  </sheetData>
  <mergeCells count="4">
    <mergeCell ref="A2:H2"/>
    <mergeCell ref="A1:H1"/>
    <mergeCell ref="A3:H3"/>
    <mergeCell ref="A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FFCA-17EE-CC49-9CF3-42542F521F36}">
  <dimension ref="A1:G48"/>
  <sheetViews>
    <sheetView workbookViewId="0">
      <selection activeCell="B40" sqref="B40:G40"/>
    </sheetView>
  </sheetViews>
  <sheetFormatPr baseColWidth="10" defaultColWidth="10.6640625" defaultRowHeight="16" x14ac:dyDescent="0.2"/>
  <cols>
    <col min="2" max="2" width="15.33203125" customWidth="1"/>
    <col min="3" max="3" width="9.6640625" bestFit="1" customWidth="1"/>
    <col min="4" max="4" width="12.83203125" bestFit="1" customWidth="1"/>
    <col min="5" max="5" width="49.83203125" bestFit="1" customWidth="1"/>
    <col min="6" max="6" width="95" bestFit="1" customWidth="1"/>
    <col min="7" max="7" width="45" customWidth="1"/>
  </cols>
  <sheetData>
    <row r="1" spans="1:7" x14ac:dyDescent="0.2">
      <c r="A1" s="2" t="s">
        <v>0</v>
      </c>
      <c r="B1" s="2" t="s">
        <v>115</v>
      </c>
      <c r="C1" s="2" t="s">
        <v>116</v>
      </c>
      <c r="D1" s="2" t="s">
        <v>166</v>
      </c>
      <c r="E1" s="2" t="s">
        <v>167</v>
      </c>
      <c r="F1" s="9" t="s">
        <v>4</v>
      </c>
      <c r="G1" s="9" t="s">
        <v>118</v>
      </c>
    </row>
    <row r="2" spans="1:7" ht="15.75" customHeight="1" x14ac:dyDescent="0.2">
      <c r="A2" t="s">
        <v>6</v>
      </c>
      <c r="B2" s="8" t="s">
        <v>119</v>
      </c>
      <c r="C2" s="8" t="s">
        <v>120</v>
      </c>
      <c r="D2" s="10" t="s">
        <v>168</v>
      </c>
      <c r="E2" s="33" t="s">
        <v>169</v>
      </c>
      <c r="F2" s="46" t="s">
        <v>170</v>
      </c>
      <c r="G2" s="48" t="s">
        <v>171</v>
      </c>
    </row>
    <row r="3" spans="1:7" ht="16" customHeight="1" x14ac:dyDescent="0.2">
      <c r="A3" t="s">
        <v>6</v>
      </c>
      <c r="B3" s="8" t="s">
        <v>119</v>
      </c>
      <c r="C3" s="8" t="s">
        <v>123</v>
      </c>
      <c r="D3" s="10" t="s">
        <v>168</v>
      </c>
      <c r="E3" s="33" t="s">
        <v>172</v>
      </c>
      <c r="F3" s="46"/>
      <c r="G3" s="46"/>
    </row>
    <row r="4" spans="1:7" ht="16" customHeight="1" x14ac:dyDescent="0.2">
      <c r="A4" t="s">
        <v>6</v>
      </c>
      <c r="B4" s="8" t="s">
        <v>119</v>
      </c>
      <c r="C4" s="8" t="s">
        <v>125</v>
      </c>
      <c r="D4" s="10" t="s">
        <v>168</v>
      </c>
      <c r="E4" s="33" t="s">
        <v>173</v>
      </c>
      <c r="F4" s="46"/>
      <c r="G4" s="46"/>
    </row>
    <row r="5" spans="1:7" ht="16" customHeight="1" x14ac:dyDescent="0.2">
      <c r="A5" t="s">
        <v>6</v>
      </c>
      <c r="B5" s="8" t="s">
        <v>126</v>
      </c>
      <c r="C5" s="8" t="s">
        <v>120</v>
      </c>
      <c r="D5" s="10" t="s">
        <v>174</v>
      </c>
      <c r="E5" s="33" t="s">
        <v>175</v>
      </c>
      <c r="F5" s="46"/>
      <c r="G5" s="46"/>
    </row>
    <row r="6" spans="1:7" ht="16" customHeight="1" x14ac:dyDescent="0.2">
      <c r="A6" t="s">
        <v>6</v>
      </c>
      <c r="B6" s="8" t="s">
        <v>126</v>
      </c>
      <c r="C6" s="8" t="s">
        <v>123</v>
      </c>
      <c r="D6" s="10" t="s">
        <v>168</v>
      </c>
      <c r="E6" s="33" t="s">
        <v>176</v>
      </c>
      <c r="F6" s="46"/>
      <c r="G6" s="46"/>
    </row>
    <row r="7" spans="1:7" ht="16" customHeight="1" x14ac:dyDescent="0.2">
      <c r="A7" t="s">
        <v>6</v>
      </c>
      <c r="B7" s="8" t="s">
        <v>126</v>
      </c>
      <c r="C7" s="8" t="s">
        <v>125</v>
      </c>
      <c r="D7" s="10" t="s">
        <v>177</v>
      </c>
      <c r="E7" s="33" t="s">
        <v>178</v>
      </c>
      <c r="F7" s="46"/>
      <c r="G7" s="46"/>
    </row>
    <row r="8" spans="1:7" ht="16" customHeight="1" x14ac:dyDescent="0.2">
      <c r="A8" t="s">
        <v>6</v>
      </c>
      <c r="B8" s="8" t="s">
        <v>127</v>
      </c>
      <c r="C8" s="8" t="s">
        <v>120</v>
      </c>
      <c r="D8" s="10" t="s">
        <v>179</v>
      </c>
      <c r="E8" s="33" t="s">
        <v>180</v>
      </c>
      <c r="F8" s="46"/>
      <c r="G8" s="46"/>
    </row>
    <row r="9" spans="1:7" ht="16" customHeight="1" x14ac:dyDescent="0.2">
      <c r="A9" t="s">
        <v>6</v>
      </c>
      <c r="B9" s="8" t="s">
        <v>127</v>
      </c>
      <c r="C9" s="8" t="s">
        <v>123</v>
      </c>
      <c r="D9" s="10" t="s">
        <v>179</v>
      </c>
      <c r="E9" s="33" t="s">
        <v>181</v>
      </c>
      <c r="F9" s="46"/>
      <c r="G9" s="46"/>
    </row>
    <row r="10" spans="1:7" ht="16" customHeight="1" x14ac:dyDescent="0.2">
      <c r="A10" t="s">
        <v>6</v>
      </c>
      <c r="B10" s="8" t="s">
        <v>127</v>
      </c>
      <c r="C10" s="8" t="s">
        <v>125</v>
      </c>
      <c r="D10" s="10" t="s">
        <v>179</v>
      </c>
      <c r="E10" s="33" t="s">
        <v>182</v>
      </c>
      <c r="F10" s="46"/>
      <c r="G10" s="46"/>
    </row>
    <row r="11" spans="1:7" ht="16" customHeight="1" x14ac:dyDescent="0.2">
      <c r="A11" t="s">
        <v>6</v>
      </c>
      <c r="B11" s="8" t="s">
        <v>128</v>
      </c>
      <c r="C11" s="8" t="s">
        <v>120</v>
      </c>
      <c r="D11" s="10" t="s">
        <v>174</v>
      </c>
      <c r="E11" s="33" t="s">
        <v>183</v>
      </c>
      <c r="F11" s="46"/>
      <c r="G11" s="46"/>
    </row>
    <row r="12" spans="1:7" ht="16" customHeight="1" x14ac:dyDescent="0.2">
      <c r="A12" t="s">
        <v>6</v>
      </c>
      <c r="B12" s="8" t="s">
        <v>128</v>
      </c>
      <c r="C12" s="8" t="s">
        <v>123</v>
      </c>
      <c r="D12" s="10" t="s">
        <v>168</v>
      </c>
      <c r="E12" s="33" t="s">
        <v>184</v>
      </c>
      <c r="F12" s="46"/>
      <c r="G12" s="46"/>
    </row>
    <row r="13" spans="1:7" ht="16" customHeight="1" x14ac:dyDescent="0.2">
      <c r="A13" t="s">
        <v>6</v>
      </c>
      <c r="B13" s="8" t="s">
        <v>128</v>
      </c>
      <c r="C13" s="8" t="s">
        <v>125</v>
      </c>
      <c r="D13" s="10" t="s">
        <v>168</v>
      </c>
      <c r="E13" s="33" t="s">
        <v>185</v>
      </c>
      <c r="F13" s="46"/>
      <c r="G13" s="46"/>
    </row>
    <row r="14" spans="1:7" ht="16" customHeight="1" x14ac:dyDescent="0.2">
      <c r="A14" t="s">
        <v>6</v>
      </c>
      <c r="B14" s="8" t="s">
        <v>129</v>
      </c>
      <c r="C14" s="8" t="s">
        <v>120</v>
      </c>
      <c r="D14" s="10" t="s">
        <v>174</v>
      </c>
      <c r="E14" s="33" t="s">
        <v>186</v>
      </c>
      <c r="F14" s="46"/>
      <c r="G14" s="46"/>
    </row>
    <row r="15" spans="1:7" ht="16" customHeight="1" x14ac:dyDescent="0.2">
      <c r="A15" t="s">
        <v>6</v>
      </c>
      <c r="B15" s="8" t="s">
        <v>129</v>
      </c>
      <c r="C15" s="8" t="s">
        <v>123</v>
      </c>
      <c r="D15" s="10" t="s">
        <v>168</v>
      </c>
      <c r="E15" s="33" t="s">
        <v>187</v>
      </c>
      <c r="F15" s="46"/>
      <c r="G15" s="46"/>
    </row>
    <row r="16" spans="1:7" ht="16" customHeight="1" x14ac:dyDescent="0.2">
      <c r="A16" t="s">
        <v>6</v>
      </c>
      <c r="B16" s="8" t="s">
        <v>129</v>
      </c>
      <c r="C16" s="8" t="s">
        <v>125</v>
      </c>
      <c r="D16" s="10" t="s">
        <v>168</v>
      </c>
      <c r="E16" s="33" t="s">
        <v>188</v>
      </c>
      <c r="F16" s="46"/>
      <c r="G16" s="46"/>
    </row>
    <row r="17" spans="1:7" ht="16" customHeight="1" x14ac:dyDescent="0.2">
      <c r="A17" t="s">
        <v>6</v>
      </c>
      <c r="B17" s="8" t="s">
        <v>130</v>
      </c>
      <c r="C17" s="8" t="s">
        <v>120</v>
      </c>
      <c r="D17" s="10" t="s">
        <v>174</v>
      </c>
      <c r="E17" s="33" t="s">
        <v>189</v>
      </c>
      <c r="F17" s="46"/>
      <c r="G17" s="46"/>
    </row>
    <row r="18" spans="1:7" ht="16" customHeight="1" x14ac:dyDescent="0.2">
      <c r="A18" t="s">
        <v>6</v>
      </c>
      <c r="B18" s="8" t="s">
        <v>130</v>
      </c>
      <c r="C18" s="8" t="s">
        <v>123</v>
      </c>
      <c r="D18" s="10" t="s">
        <v>168</v>
      </c>
      <c r="E18" s="33" t="s">
        <v>190</v>
      </c>
      <c r="F18" s="46"/>
      <c r="G18" s="46"/>
    </row>
    <row r="19" spans="1:7" ht="16" customHeight="1" x14ac:dyDescent="0.2">
      <c r="A19" t="s">
        <v>6</v>
      </c>
      <c r="B19" s="8" t="s">
        <v>130</v>
      </c>
      <c r="C19" s="8" t="s">
        <v>125</v>
      </c>
      <c r="D19" s="10" t="s">
        <v>168</v>
      </c>
      <c r="E19" s="33" t="s">
        <v>191</v>
      </c>
      <c r="F19" s="46"/>
      <c r="G19" s="46"/>
    </row>
    <row r="20" spans="1:7" x14ac:dyDescent="0.2">
      <c r="E20" s="47"/>
    </row>
    <row r="21" spans="1:7" x14ac:dyDescent="0.2">
      <c r="E21" s="47"/>
    </row>
    <row r="22" spans="1:7" x14ac:dyDescent="0.2">
      <c r="A22" s="11" t="s">
        <v>192</v>
      </c>
      <c r="B22" s="11"/>
      <c r="C22" s="11"/>
      <c r="D22" s="11"/>
      <c r="E22" s="11"/>
      <c r="F22" s="2"/>
      <c r="G22" s="1"/>
    </row>
    <row r="23" spans="1:7" ht="16" customHeight="1" x14ac:dyDescent="0.2">
      <c r="A23" s="37" t="s">
        <v>142</v>
      </c>
      <c r="B23" s="45" t="s">
        <v>193</v>
      </c>
      <c r="C23" s="45"/>
      <c r="D23" s="45"/>
      <c r="E23" s="45"/>
      <c r="F23" s="45"/>
      <c r="G23" s="45"/>
    </row>
    <row r="24" spans="1:7" ht="16" customHeight="1" x14ac:dyDescent="0.2">
      <c r="A24" s="37" t="s">
        <v>144</v>
      </c>
      <c r="B24" s="45" t="s">
        <v>194</v>
      </c>
      <c r="C24" s="45"/>
      <c r="D24" s="45"/>
      <c r="E24" s="45"/>
      <c r="F24" s="45"/>
      <c r="G24" s="45"/>
    </row>
    <row r="25" spans="1:7" ht="16" customHeight="1" x14ac:dyDescent="0.2">
      <c r="A25" s="37" t="s">
        <v>146</v>
      </c>
      <c r="B25" s="45" t="s">
        <v>195</v>
      </c>
      <c r="C25" s="45"/>
      <c r="D25" s="45"/>
      <c r="E25" s="45"/>
      <c r="F25" s="45"/>
      <c r="G25" s="45"/>
    </row>
    <row r="26" spans="1:7" ht="16" customHeight="1" x14ac:dyDescent="0.2">
      <c r="A26" s="37" t="s">
        <v>148</v>
      </c>
      <c r="B26" s="45" t="s">
        <v>196</v>
      </c>
      <c r="C26" s="45"/>
      <c r="D26" s="45"/>
      <c r="E26" s="45"/>
      <c r="F26" s="45"/>
      <c r="G26" s="45"/>
    </row>
    <row r="27" spans="1:7" ht="16" customHeight="1" x14ac:dyDescent="0.2">
      <c r="A27" s="37" t="s">
        <v>150</v>
      </c>
      <c r="B27" s="45" t="s">
        <v>197</v>
      </c>
      <c r="C27" s="45"/>
      <c r="D27" s="45"/>
      <c r="E27" s="45"/>
      <c r="F27" s="45"/>
      <c r="G27" s="45"/>
    </row>
    <row r="28" spans="1:7" x14ac:dyDescent="0.2">
      <c r="A28" s="37" t="s">
        <v>152</v>
      </c>
      <c r="B28" t="s">
        <v>198</v>
      </c>
    </row>
    <row r="29" spans="1:7" x14ac:dyDescent="0.2">
      <c r="A29" s="37" t="s">
        <v>154</v>
      </c>
      <c r="B29" t="s">
        <v>199</v>
      </c>
    </row>
    <row r="30" spans="1:7" x14ac:dyDescent="0.2">
      <c r="A30" s="37" t="s">
        <v>156</v>
      </c>
      <c r="B30" t="s">
        <v>200</v>
      </c>
    </row>
    <row r="31" spans="1:7" x14ac:dyDescent="0.2">
      <c r="A31" s="37" t="s">
        <v>158</v>
      </c>
      <c r="B31" t="s">
        <v>201</v>
      </c>
    </row>
    <row r="33" spans="1:7" x14ac:dyDescent="0.2">
      <c r="A33" s="13" t="s">
        <v>202</v>
      </c>
      <c r="B33" s="11"/>
      <c r="C33" s="11"/>
      <c r="D33" s="11"/>
      <c r="E33" s="11"/>
      <c r="F33" s="2"/>
      <c r="G33" s="1"/>
    </row>
    <row r="34" spans="1:7" ht="16" customHeight="1" x14ac:dyDescent="0.2">
      <c r="A34" s="37" t="s">
        <v>142</v>
      </c>
      <c r="B34" s="45" t="s">
        <v>203</v>
      </c>
      <c r="C34" s="45"/>
      <c r="D34" s="45"/>
      <c r="E34" s="45"/>
      <c r="F34" s="45"/>
      <c r="G34" s="45"/>
    </row>
    <row r="35" spans="1:7" ht="16" customHeight="1" x14ac:dyDescent="0.2">
      <c r="A35" s="37" t="s">
        <v>144</v>
      </c>
      <c r="B35" s="45" t="s">
        <v>204</v>
      </c>
      <c r="C35" s="45"/>
      <c r="D35" s="45"/>
      <c r="E35" s="45"/>
      <c r="F35" s="45"/>
      <c r="G35" s="45"/>
    </row>
    <row r="36" spans="1:7" ht="16" customHeight="1" x14ac:dyDescent="0.2">
      <c r="A36" s="37" t="s">
        <v>146</v>
      </c>
      <c r="B36" s="45" t="s">
        <v>205</v>
      </c>
      <c r="C36" s="45"/>
      <c r="D36" s="45"/>
      <c r="E36" s="45"/>
      <c r="F36" s="45"/>
      <c r="G36" s="45"/>
    </row>
    <row r="37" spans="1:7" ht="16" customHeight="1" x14ac:dyDescent="0.2">
      <c r="A37" s="37" t="s">
        <v>148</v>
      </c>
      <c r="B37" s="45" t="s">
        <v>206</v>
      </c>
      <c r="C37" s="45"/>
      <c r="D37" s="45"/>
      <c r="E37" s="45"/>
      <c r="F37" s="45"/>
      <c r="G37" s="45"/>
    </row>
    <row r="38" spans="1:7" ht="16" customHeight="1" x14ac:dyDescent="0.2">
      <c r="A38" s="37" t="s">
        <v>150</v>
      </c>
      <c r="B38" s="45" t="s">
        <v>207</v>
      </c>
      <c r="C38" s="45"/>
      <c r="D38" s="45"/>
      <c r="E38" s="45"/>
      <c r="F38" s="45"/>
      <c r="G38" s="45"/>
    </row>
    <row r="39" spans="1:7" ht="16" customHeight="1" x14ac:dyDescent="0.2">
      <c r="A39" s="37" t="s">
        <v>152</v>
      </c>
      <c r="B39" s="45" t="s">
        <v>208</v>
      </c>
      <c r="C39" s="45"/>
      <c r="D39" s="45"/>
      <c r="E39" s="45"/>
      <c r="F39" s="45"/>
      <c r="G39" s="45"/>
    </row>
    <row r="40" spans="1:7" ht="16" customHeight="1" x14ac:dyDescent="0.2">
      <c r="A40" s="37" t="s">
        <v>154</v>
      </c>
      <c r="B40" s="45" t="s">
        <v>209</v>
      </c>
      <c r="C40" s="45"/>
      <c r="D40" s="45"/>
      <c r="E40" s="45"/>
      <c r="F40" s="45"/>
      <c r="G40" s="45"/>
    </row>
    <row r="41" spans="1:7" ht="16" customHeight="1" x14ac:dyDescent="0.2">
      <c r="A41" s="37" t="s">
        <v>156</v>
      </c>
      <c r="B41" s="45" t="s">
        <v>210</v>
      </c>
      <c r="C41" s="45"/>
      <c r="D41" s="45"/>
      <c r="E41" s="45"/>
      <c r="F41" s="45"/>
      <c r="G41" s="45"/>
    </row>
    <row r="42" spans="1:7" ht="16" customHeight="1" x14ac:dyDescent="0.2">
      <c r="A42" s="37" t="s">
        <v>158</v>
      </c>
      <c r="B42" s="45" t="s">
        <v>211</v>
      </c>
      <c r="C42" s="45"/>
      <c r="D42" s="45"/>
      <c r="E42" s="45"/>
      <c r="F42" s="45"/>
      <c r="G42" s="45"/>
    </row>
    <row r="43" spans="1:7" ht="16" customHeight="1" x14ac:dyDescent="0.2">
      <c r="A43" s="37" t="s">
        <v>160</v>
      </c>
      <c r="B43" s="45" t="s">
        <v>212</v>
      </c>
      <c r="C43" s="45"/>
      <c r="D43" s="45"/>
      <c r="E43" s="45"/>
      <c r="F43" s="45"/>
      <c r="G43" s="45"/>
    </row>
    <row r="44" spans="1:7" ht="16" customHeight="1" x14ac:dyDescent="0.2">
      <c r="A44" s="37" t="s">
        <v>162</v>
      </c>
      <c r="B44" s="45" t="s">
        <v>213</v>
      </c>
      <c r="C44" s="45"/>
      <c r="D44" s="45"/>
      <c r="E44" s="45"/>
      <c r="F44" s="45"/>
      <c r="G44" s="45"/>
    </row>
    <row r="45" spans="1:7" ht="16" customHeight="1" x14ac:dyDescent="0.2">
      <c r="A45" s="37" t="s">
        <v>164</v>
      </c>
      <c r="B45" s="45" t="s">
        <v>214</v>
      </c>
      <c r="C45" s="45"/>
      <c r="D45" s="45"/>
      <c r="E45" s="45"/>
      <c r="F45" s="45"/>
    </row>
    <row r="46" spans="1:7" ht="16" customHeight="1" x14ac:dyDescent="0.2">
      <c r="A46" s="37" t="s">
        <v>215</v>
      </c>
      <c r="B46" s="45" t="s">
        <v>216</v>
      </c>
      <c r="C46" s="45"/>
      <c r="D46" s="45"/>
      <c r="E46" s="45"/>
      <c r="F46" s="45"/>
    </row>
    <row r="47" spans="1:7" x14ac:dyDescent="0.2">
      <c r="A47" s="37" t="s">
        <v>217</v>
      </c>
      <c r="B47" s="45" t="s">
        <v>218</v>
      </c>
      <c r="C47" s="45"/>
      <c r="D47" s="45"/>
      <c r="E47" s="45"/>
      <c r="F47" s="45"/>
    </row>
    <row r="48" spans="1:7" x14ac:dyDescent="0.2">
      <c r="A48" s="23" t="s">
        <v>219</v>
      </c>
    </row>
  </sheetData>
  <mergeCells count="22">
    <mergeCell ref="F2:F19"/>
    <mergeCell ref="E20:E21"/>
    <mergeCell ref="B27:G27"/>
    <mergeCell ref="B23:G23"/>
    <mergeCell ref="B24:G24"/>
    <mergeCell ref="B25:G25"/>
    <mergeCell ref="B26:G26"/>
    <mergeCell ref="G2:G19"/>
    <mergeCell ref="B46:F46"/>
    <mergeCell ref="B47:F47"/>
    <mergeCell ref="B43:G4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4:G44"/>
    <mergeCell ref="B45:F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47A7-C40E-FE40-9344-E2CA57842148}">
  <dimension ref="A1:L16"/>
  <sheetViews>
    <sheetView workbookViewId="0">
      <selection sqref="A1:H1"/>
    </sheetView>
  </sheetViews>
  <sheetFormatPr baseColWidth="10" defaultColWidth="10.6640625" defaultRowHeight="16" x14ac:dyDescent="0.2"/>
  <cols>
    <col min="1" max="1" width="13.83203125" bestFit="1" customWidth="1"/>
    <col min="2" max="3" width="11.1640625" bestFit="1" customWidth="1"/>
    <col min="4" max="4" width="15.1640625" bestFit="1" customWidth="1"/>
    <col min="5" max="5" width="13.33203125" bestFit="1" customWidth="1"/>
    <col min="6" max="6" width="20.5" bestFit="1" customWidth="1"/>
    <col min="7" max="7" width="14.1640625" bestFit="1" customWidth="1"/>
    <col min="8" max="8" width="9" bestFit="1" customWidth="1"/>
    <col min="11" max="11" width="12.6640625" customWidth="1"/>
    <col min="12" max="12" width="14.83203125" customWidth="1"/>
  </cols>
  <sheetData>
    <row r="1" spans="1:12" x14ac:dyDescent="0.2">
      <c r="A1" s="49" t="s">
        <v>220</v>
      </c>
      <c r="B1" s="49"/>
      <c r="C1" s="49"/>
      <c r="D1" s="49"/>
      <c r="E1" s="49"/>
      <c r="F1" s="49"/>
      <c r="G1" s="49"/>
      <c r="H1" s="49"/>
      <c r="J1" s="52" t="s">
        <v>4</v>
      </c>
      <c r="K1" s="52"/>
      <c r="L1" s="52"/>
    </row>
    <row r="2" spans="1:12" x14ac:dyDescent="0.2">
      <c r="A2" s="2" t="s">
        <v>115</v>
      </c>
      <c r="B2" s="2" t="s">
        <v>1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J2" s="53" t="s">
        <v>227</v>
      </c>
      <c r="K2" s="53"/>
      <c r="L2" s="53"/>
    </row>
    <row r="3" spans="1:12" x14ac:dyDescent="0.2">
      <c r="A3" t="s">
        <v>129</v>
      </c>
      <c r="B3" t="s">
        <v>228</v>
      </c>
      <c r="C3" s="4">
        <v>22</v>
      </c>
      <c r="D3" s="4">
        <v>32</v>
      </c>
      <c r="E3" s="4">
        <v>51</v>
      </c>
      <c r="F3" s="4">
        <v>35</v>
      </c>
      <c r="G3" s="4">
        <v>6.0138728508895714</v>
      </c>
      <c r="H3" s="4">
        <v>36.166666666666664</v>
      </c>
      <c r="J3" s="53"/>
      <c r="K3" s="53"/>
      <c r="L3" s="53"/>
    </row>
    <row r="4" spans="1:12" x14ac:dyDescent="0.2">
      <c r="A4" t="s">
        <v>127</v>
      </c>
      <c r="B4" t="s">
        <v>228</v>
      </c>
      <c r="C4" s="4">
        <v>18</v>
      </c>
      <c r="D4" s="4">
        <v>25</v>
      </c>
      <c r="E4" s="4">
        <v>40</v>
      </c>
      <c r="F4" s="4">
        <v>27.666666666666668</v>
      </c>
      <c r="G4" s="4">
        <v>4.5886332993120682</v>
      </c>
      <c r="H4" s="4">
        <v>21.055555555555557</v>
      </c>
    </row>
    <row r="5" spans="1:12" ht="16" customHeight="1" x14ac:dyDescent="0.2">
      <c r="A5" t="s">
        <v>128</v>
      </c>
      <c r="B5" t="s">
        <v>228</v>
      </c>
      <c r="C5" s="4">
        <v>15</v>
      </c>
      <c r="D5" s="4">
        <v>22</v>
      </c>
      <c r="E5" s="4">
        <v>35</v>
      </c>
      <c r="F5" s="4">
        <v>24</v>
      </c>
      <c r="G5" s="4">
        <v>4.1432676315520176</v>
      </c>
      <c r="H5" s="4">
        <v>17.166666666666668</v>
      </c>
      <c r="J5" s="52" t="s">
        <v>118</v>
      </c>
      <c r="K5" s="52"/>
      <c r="L5" s="52"/>
    </row>
    <row r="6" spans="1:12" x14ac:dyDescent="0.2">
      <c r="A6" t="s">
        <v>119</v>
      </c>
      <c r="B6" t="s">
        <v>228</v>
      </c>
      <c r="C6" s="4">
        <v>10</v>
      </c>
      <c r="D6" s="4">
        <v>15</v>
      </c>
      <c r="E6" s="4">
        <v>24</v>
      </c>
      <c r="F6" s="4">
        <v>16.333333333333332</v>
      </c>
      <c r="G6" s="4">
        <v>2.8963578661637945</v>
      </c>
      <c r="H6" s="4">
        <v>8.3888888888888893</v>
      </c>
      <c r="J6" s="51" t="s">
        <v>229</v>
      </c>
      <c r="K6" s="51"/>
      <c r="L6" s="51"/>
    </row>
    <row r="7" spans="1:12" x14ac:dyDescent="0.2">
      <c r="A7" t="s">
        <v>126</v>
      </c>
      <c r="B7" t="s">
        <v>228</v>
      </c>
      <c r="C7" s="4">
        <v>27</v>
      </c>
      <c r="D7" s="4">
        <v>38</v>
      </c>
      <c r="E7" s="4">
        <v>61</v>
      </c>
      <c r="F7" s="4">
        <v>42</v>
      </c>
      <c r="G7" s="4">
        <v>7.0828431202919262</v>
      </c>
      <c r="H7" s="4">
        <v>50.166666666666664</v>
      </c>
      <c r="J7" s="51"/>
      <c r="K7" s="51"/>
      <c r="L7" s="51"/>
    </row>
    <row r="8" spans="1:12" x14ac:dyDescent="0.2">
      <c r="J8" s="51"/>
      <c r="K8" s="51"/>
      <c r="L8" s="51"/>
    </row>
    <row r="9" spans="1:12" x14ac:dyDescent="0.2">
      <c r="A9" s="50" t="s">
        <v>230</v>
      </c>
      <c r="B9" s="50"/>
      <c r="C9" s="50"/>
      <c r="D9" s="50"/>
      <c r="E9" s="50"/>
      <c r="F9" s="50"/>
      <c r="G9" s="50"/>
    </row>
    <row r="10" spans="1:12" x14ac:dyDescent="0.2">
      <c r="A10" s="6" t="s">
        <v>231</v>
      </c>
      <c r="B10" s="6" t="s">
        <v>129</v>
      </c>
      <c r="C10" s="6" t="s">
        <v>127</v>
      </c>
      <c r="D10" s="6" t="s">
        <v>128</v>
      </c>
      <c r="E10" s="6" t="s">
        <v>119</v>
      </c>
      <c r="F10" s="6" t="s">
        <v>130</v>
      </c>
      <c r="G10" s="6" t="s">
        <v>126</v>
      </c>
    </row>
    <row r="11" spans="1:12" x14ac:dyDescent="0.2">
      <c r="A11" s="5" t="s">
        <v>129</v>
      </c>
      <c r="B11" s="7">
        <v>0</v>
      </c>
      <c r="C11" s="7">
        <v>45</v>
      </c>
      <c r="D11" s="7">
        <v>25</v>
      </c>
      <c r="E11" s="7">
        <v>22</v>
      </c>
      <c r="F11" s="7">
        <v>32</v>
      </c>
      <c r="G11" s="7">
        <v>45</v>
      </c>
    </row>
    <row r="12" spans="1:12" x14ac:dyDescent="0.2">
      <c r="A12" s="5" t="s">
        <v>127</v>
      </c>
      <c r="B12" s="7">
        <v>45</v>
      </c>
      <c r="C12" s="7">
        <v>0</v>
      </c>
      <c r="D12" s="7">
        <v>35</v>
      </c>
      <c r="E12" s="7">
        <v>20</v>
      </c>
      <c r="F12" s="7">
        <v>25</v>
      </c>
      <c r="G12" s="7">
        <v>55</v>
      </c>
    </row>
    <row r="13" spans="1:12" x14ac:dyDescent="0.2">
      <c r="A13" s="5" t="s">
        <v>128</v>
      </c>
      <c r="B13" s="7">
        <v>25</v>
      </c>
      <c r="C13" s="7">
        <v>35</v>
      </c>
      <c r="D13" s="7">
        <v>0</v>
      </c>
      <c r="E13" s="7">
        <v>18</v>
      </c>
      <c r="F13" s="7">
        <v>22</v>
      </c>
      <c r="G13" s="7">
        <v>35</v>
      </c>
    </row>
    <row r="14" spans="1:12" x14ac:dyDescent="0.2">
      <c r="A14" s="5" t="s">
        <v>119</v>
      </c>
      <c r="B14" s="7">
        <v>22</v>
      </c>
      <c r="C14" s="7">
        <v>20</v>
      </c>
      <c r="D14" s="7">
        <v>18</v>
      </c>
      <c r="E14" s="7">
        <v>0</v>
      </c>
      <c r="F14" s="7">
        <v>15</v>
      </c>
      <c r="G14" s="7">
        <v>40</v>
      </c>
    </row>
    <row r="15" spans="1:12" x14ac:dyDescent="0.2">
      <c r="A15" s="5" t="s">
        <v>130</v>
      </c>
      <c r="B15" s="7">
        <v>32</v>
      </c>
      <c r="C15" s="7">
        <v>25</v>
      </c>
      <c r="D15" s="7">
        <v>22</v>
      </c>
      <c r="E15" s="7">
        <v>15</v>
      </c>
      <c r="F15" s="7">
        <v>0</v>
      </c>
      <c r="G15" s="7">
        <v>38</v>
      </c>
    </row>
    <row r="16" spans="1:12" x14ac:dyDescent="0.2">
      <c r="A16" s="5" t="s">
        <v>126</v>
      </c>
      <c r="B16" s="7">
        <v>45</v>
      </c>
      <c r="C16" s="7">
        <v>55</v>
      </c>
      <c r="D16" s="7">
        <v>35</v>
      </c>
      <c r="E16" s="7">
        <v>40</v>
      </c>
      <c r="F16" s="7">
        <v>38</v>
      </c>
      <c r="G16" s="7">
        <v>0</v>
      </c>
    </row>
  </sheetData>
  <mergeCells count="6">
    <mergeCell ref="A1:H1"/>
    <mergeCell ref="A9:G9"/>
    <mergeCell ref="J6:L8"/>
    <mergeCell ref="J5:L5"/>
    <mergeCell ref="J2:L3"/>
    <mergeCell ref="J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F9F1-3E93-D14C-A278-5B2AE1AE88AE}">
  <dimension ref="A1:B51"/>
  <sheetViews>
    <sheetView workbookViewId="0">
      <selection sqref="A1:B1"/>
    </sheetView>
  </sheetViews>
  <sheetFormatPr baseColWidth="10" defaultColWidth="11" defaultRowHeight="16" x14ac:dyDescent="0.2"/>
  <cols>
    <col min="1" max="1" width="31.6640625" customWidth="1"/>
    <col min="2" max="2" width="106.6640625" customWidth="1"/>
  </cols>
  <sheetData>
    <row r="1" spans="1:2" ht="19" x14ac:dyDescent="0.2">
      <c r="A1" s="56" t="s">
        <v>232</v>
      </c>
      <c r="B1" s="56"/>
    </row>
    <row r="2" spans="1:2" ht="17" x14ac:dyDescent="0.2">
      <c r="A2" s="18" t="s">
        <v>233</v>
      </c>
      <c r="B2" s="18" t="s">
        <v>234</v>
      </c>
    </row>
    <row r="3" spans="1:2" ht="17" x14ac:dyDescent="0.2">
      <c r="A3" s="17" t="s">
        <v>235</v>
      </c>
      <c r="B3" s="16" t="s">
        <v>236</v>
      </c>
    </row>
    <row r="4" spans="1:2" ht="17" x14ac:dyDescent="0.2">
      <c r="A4" s="17" t="s">
        <v>237</v>
      </c>
      <c r="B4" s="16" t="s">
        <v>238</v>
      </c>
    </row>
    <row r="5" spans="1:2" ht="17" x14ac:dyDescent="0.2">
      <c r="A5" s="17" t="s">
        <v>239</v>
      </c>
      <c r="B5" s="16" t="s">
        <v>240</v>
      </c>
    </row>
    <row r="6" spans="1:2" ht="17" x14ac:dyDescent="0.2">
      <c r="A6" s="17" t="s">
        <v>241</v>
      </c>
      <c r="B6" s="16" t="s">
        <v>242</v>
      </c>
    </row>
    <row r="7" spans="1:2" ht="17" x14ac:dyDescent="0.2">
      <c r="A7" s="17" t="s">
        <v>243</v>
      </c>
      <c r="B7" s="16" t="s">
        <v>244</v>
      </c>
    </row>
    <row r="8" spans="1:2" ht="34" x14ac:dyDescent="0.2">
      <c r="A8" s="17" t="s">
        <v>245</v>
      </c>
      <c r="B8" s="16" t="s">
        <v>246</v>
      </c>
    </row>
    <row r="9" spans="1:2" x14ac:dyDescent="0.2">
      <c r="A9" s="17"/>
      <c r="B9" s="16"/>
    </row>
    <row r="10" spans="1:2" ht="17" x14ac:dyDescent="0.2">
      <c r="A10" s="18" t="s">
        <v>247</v>
      </c>
      <c r="B10" s="18" t="s">
        <v>234</v>
      </c>
    </row>
    <row r="11" spans="1:2" ht="17" x14ac:dyDescent="0.2">
      <c r="A11" s="17" t="s">
        <v>248</v>
      </c>
      <c r="B11" s="16" t="s">
        <v>249</v>
      </c>
    </row>
    <row r="12" spans="1:2" ht="34" x14ac:dyDescent="0.2">
      <c r="A12" s="17" t="s">
        <v>250</v>
      </c>
      <c r="B12" s="16" t="s">
        <v>251</v>
      </c>
    </row>
    <row r="13" spans="1:2" ht="34" x14ac:dyDescent="0.2">
      <c r="A13" s="17" t="s">
        <v>252</v>
      </c>
      <c r="B13" s="16" t="s">
        <v>253</v>
      </c>
    </row>
    <row r="14" spans="1:2" ht="17" x14ac:dyDescent="0.2">
      <c r="A14" s="17" t="s">
        <v>254</v>
      </c>
      <c r="B14" s="16" t="s">
        <v>255</v>
      </c>
    </row>
    <row r="15" spans="1:2" ht="34" x14ac:dyDescent="0.2">
      <c r="A15" s="17" t="s">
        <v>256</v>
      </c>
      <c r="B15" s="16" t="s">
        <v>257</v>
      </c>
    </row>
    <row r="16" spans="1:2" ht="17" x14ac:dyDescent="0.2">
      <c r="A16" s="17" t="s">
        <v>258</v>
      </c>
      <c r="B16" s="16" t="s">
        <v>259</v>
      </c>
    </row>
    <row r="17" spans="1:2" ht="17" x14ac:dyDescent="0.2">
      <c r="A17" s="17" t="s">
        <v>260</v>
      </c>
      <c r="B17" s="16" t="s">
        <v>261</v>
      </c>
    </row>
    <row r="18" spans="1:2" x14ac:dyDescent="0.2">
      <c r="A18" s="17"/>
      <c r="B18" s="16"/>
    </row>
    <row r="19" spans="1:2" ht="34" x14ac:dyDescent="0.2">
      <c r="A19" s="18" t="s">
        <v>262</v>
      </c>
      <c r="B19" s="18" t="s">
        <v>234</v>
      </c>
    </row>
    <row r="20" spans="1:2" ht="17" x14ac:dyDescent="0.2">
      <c r="A20" s="17" t="s">
        <v>248</v>
      </c>
      <c r="B20" s="16" t="s">
        <v>263</v>
      </c>
    </row>
    <row r="21" spans="1:2" ht="34" x14ac:dyDescent="0.2">
      <c r="A21" s="17" t="s">
        <v>264</v>
      </c>
      <c r="B21" s="16" t="s">
        <v>265</v>
      </c>
    </row>
    <row r="22" spans="1:2" ht="17" x14ac:dyDescent="0.2">
      <c r="A22" s="17" t="s">
        <v>266</v>
      </c>
      <c r="B22" s="16" t="s">
        <v>267</v>
      </c>
    </row>
    <row r="23" spans="1:2" ht="34" x14ac:dyDescent="0.2">
      <c r="A23" s="17" t="s">
        <v>268</v>
      </c>
      <c r="B23" s="16" t="s">
        <v>269</v>
      </c>
    </row>
    <row r="24" spans="1:2" ht="17" x14ac:dyDescent="0.2">
      <c r="A24" s="17" t="s">
        <v>270</v>
      </c>
      <c r="B24" s="16" t="s">
        <v>271</v>
      </c>
    </row>
    <row r="25" spans="1:2" ht="17" x14ac:dyDescent="0.2">
      <c r="A25" s="17" t="s">
        <v>272</v>
      </c>
      <c r="B25" s="16" t="s">
        <v>273</v>
      </c>
    </row>
    <row r="26" spans="1:2" ht="17" x14ac:dyDescent="0.2">
      <c r="A26" s="17" t="s">
        <v>274</v>
      </c>
      <c r="B26" s="16" t="s">
        <v>275</v>
      </c>
    </row>
    <row r="27" spans="1:2" ht="17" x14ac:dyDescent="0.2">
      <c r="A27" s="17" t="s">
        <v>276</v>
      </c>
      <c r="B27" s="16" t="s">
        <v>277</v>
      </c>
    </row>
    <row r="28" spans="1:2" ht="17" x14ac:dyDescent="0.2">
      <c r="A28" s="17" t="s">
        <v>278</v>
      </c>
      <c r="B28" s="16" t="s">
        <v>279</v>
      </c>
    </row>
    <row r="29" spans="1:2" ht="34" x14ac:dyDescent="0.2">
      <c r="A29" s="17" t="s">
        <v>280</v>
      </c>
      <c r="B29" s="16" t="s">
        <v>281</v>
      </c>
    </row>
    <row r="30" spans="1:2" ht="17" x14ac:dyDescent="0.2">
      <c r="A30" s="19" t="s">
        <v>5</v>
      </c>
      <c r="B30" s="16" t="s">
        <v>282</v>
      </c>
    </row>
    <row r="31" spans="1:2" x14ac:dyDescent="0.2">
      <c r="A31" s="17"/>
      <c r="B31" s="16"/>
    </row>
    <row r="32" spans="1:2" ht="34" x14ac:dyDescent="0.2">
      <c r="A32" s="18" t="s">
        <v>283</v>
      </c>
      <c r="B32" s="18" t="s">
        <v>234</v>
      </c>
    </row>
    <row r="33" spans="1:2" ht="17" x14ac:dyDescent="0.2">
      <c r="A33" s="17" t="s">
        <v>284</v>
      </c>
      <c r="B33" s="16" t="s">
        <v>285</v>
      </c>
    </row>
    <row r="34" spans="1:2" ht="34" x14ac:dyDescent="0.2">
      <c r="A34" s="17" t="s">
        <v>286</v>
      </c>
      <c r="B34" s="16" t="s">
        <v>287</v>
      </c>
    </row>
    <row r="35" spans="1:2" ht="17" x14ac:dyDescent="0.2">
      <c r="A35" s="17" t="s">
        <v>288</v>
      </c>
      <c r="B35" s="16" t="s">
        <v>289</v>
      </c>
    </row>
    <row r="36" spans="1:2" ht="17" x14ac:dyDescent="0.2">
      <c r="A36" s="17" t="s">
        <v>290</v>
      </c>
      <c r="B36" s="16" t="s">
        <v>291</v>
      </c>
    </row>
    <row r="37" spans="1:2" ht="17" x14ac:dyDescent="0.2">
      <c r="A37" s="17" t="s">
        <v>292</v>
      </c>
      <c r="B37" s="16" t="s">
        <v>293</v>
      </c>
    </row>
    <row r="38" spans="1:2" ht="17" x14ac:dyDescent="0.2">
      <c r="A38" s="17" t="s">
        <v>294</v>
      </c>
      <c r="B38" s="16" t="s">
        <v>295</v>
      </c>
    </row>
    <row r="39" spans="1:2" ht="34" x14ac:dyDescent="0.2">
      <c r="A39" s="17" t="s">
        <v>296</v>
      </c>
      <c r="B39" s="16" t="s">
        <v>297</v>
      </c>
    </row>
    <row r="40" spans="1:2" ht="17" x14ac:dyDescent="0.2">
      <c r="A40" s="17" t="s">
        <v>298</v>
      </c>
      <c r="B40" s="16" t="s">
        <v>299</v>
      </c>
    </row>
    <row r="41" spans="1:2" ht="17" x14ac:dyDescent="0.2">
      <c r="A41" s="17" t="s">
        <v>300</v>
      </c>
      <c r="B41" s="16" t="s">
        <v>301</v>
      </c>
    </row>
    <row r="42" spans="1:2" x14ac:dyDescent="0.2">
      <c r="A42" s="17"/>
      <c r="B42" s="16"/>
    </row>
    <row r="43" spans="1:2" ht="17" x14ac:dyDescent="0.2">
      <c r="A43" s="18" t="s">
        <v>302</v>
      </c>
      <c r="B43" s="18" t="s">
        <v>234</v>
      </c>
    </row>
    <row r="44" spans="1:2" ht="34" x14ac:dyDescent="0.2">
      <c r="A44" s="17" t="s">
        <v>303</v>
      </c>
      <c r="B44" s="16" t="s">
        <v>304</v>
      </c>
    </row>
    <row r="45" spans="1:2" ht="17" x14ac:dyDescent="0.2">
      <c r="A45" s="17" t="s">
        <v>305</v>
      </c>
      <c r="B45" s="16" t="s">
        <v>306</v>
      </c>
    </row>
    <row r="46" spans="1:2" x14ac:dyDescent="0.2">
      <c r="A46" s="17"/>
      <c r="B46" s="16"/>
    </row>
    <row r="47" spans="1:2" ht="17" customHeight="1" x14ac:dyDescent="0.2">
      <c r="A47" s="54" t="s">
        <v>118</v>
      </c>
      <c r="B47" s="54"/>
    </row>
    <row r="48" spans="1:2" ht="17" customHeight="1" x14ac:dyDescent="0.2">
      <c r="A48" s="55" t="s">
        <v>307</v>
      </c>
      <c r="B48" s="55"/>
    </row>
    <row r="49" spans="1:2" ht="17" customHeight="1" x14ac:dyDescent="0.2">
      <c r="A49" s="55" t="s">
        <v>308</v>
      </c>
      <c r="B49" s="55"/>
    </row>
    <row r="50" spans="1:2" ht="17" customHeight="1" x14ac:dyDescent="0.2">
      <c r="A50" s="55" t="s">
        <v>309</v>
      </c>
      <c r="B50" s="55"/>
    </row>
    <row r="51" spans="1:2" x14ac:dyDescent="0.2">
      <c r="A51" s="17"/>
      <c r="B51" s="16"/>
    </row>
  </sheetData>
  <mergeCells count="5">
    <mergeCell ref="A47:B47"/>
    <mergeCell ref="A48:B48"/>
    <mergeCell ref="A49:B49"/>
    <mergeCell ref="A1:B1"/>
    <mergeCell ref="A50:B50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58CF-4D27-FB44-BFE1-35B7B1B132E3}">
  <dimension ref="A1:G29"/>
  <sheetViews>
    <sheetView workbookViewId="0"/>
  </sheetViews>
  <sheetFormatPr baseColWidth="10" defaultColWidth="11" defaultRowHeight="16" x14ac:dyDescent="0.2"/>
  <cols>
    <col min="1" max="1" width="63.33203125" bestFit="1" customWidth="1"/>
    <col min="2" max="3" width="12" bestFit="1" customWidth="1"/>
    <col min="5" max="5" width="18.5" customWidth="1"/>
    <col min="6" max="6" width="19.1640625" customWidth="1"/>
    <col min="7" max="7" width="21.1640625" customWidth="1"/>
  </cols>
  <sheetData>
    <row r="1" spans="1:7" x14ac:dyDescent="0.2">
      <c r="A1" s="9" t="s">
        <v>105</v>
      </c>
      <c r="B1" s="9" t="s">
        <v>310</v>
      </c>
      <c r="C1" s="9" t="s">
        <v>311</v>
      </c>
      <c r="D1" s="9" t="s">
        <v>312</v>
      </c>
      <c r="E1" s="2" t="s">
        <v>313</v>
      </c>
      <c r="F1" s="2" t="s">
        <v>314</v>
      </c>
      <c r="G1" s="2" t="s">
        <v>315</v>
      </c>
    </row>
    <row r="2" spans="1:7" x14ac:dyDescent="0.2">
      <c r="A2" t="s">
        <v>316</v>
      </c>
      <c r="B2" s="12"/>
      <c r="C2" s="12"/>
      <c r="D2" s="12"/>
      <c r="E2" s="34" t="e">
        <f>(C2-B2)/B2</f>
        <v>#DIV/0!</v>
      </c>
      <c r="F2" s="34" t="e">
        <f>(D2-B2)/B2</f>
        <v>#DIV/0!</v>
      </c>
      <c r="G2" s="34" t="e">
        <f>(D2-C2)/C2</f>
        <v>#DIV/0!</v>
      </c>
    </row>
    <row r="3" spans="1:7" x14ac:dyDescent="0.2">
      <c r="A3" t="s">
        <v>317</v>
      </c>
      <c r="B3" s="12"/>
      <c r="C3" s="12"/>
      <c r="D3" s="12"/>
      <c r="E3" s="34" t="e">
        <f t="shared" ref="E3:E24" si="0">(C3-B3)/B3</f>
        <v>#DIV/0!</v>
      </c>
      <c r="F3" s="34" t="e">
        <f t="shared" ref="F3:F24" si="1">(D3-B3)/B3</f>
        <v>#DIV/0!</v>
      </c>
      <c r="G3" s="34" t="e">
        <f t="shared" ref="G3:G24" si="2">(D3-C3)/C3</f>
        <v>#DIV/0!</v>
      </c>
    </row>
    <row r="4" spans="1:7" x14ac:dyDescent="0.2">
      <c r="A4" t="s">
        <v>318</v>
      </c>
      <c r="B4" s="12"/>
      <c r="C4" s="12"/>
      <c r="D4" s="12"/>
      <c r="E4" s="34" t="e">
        <f t="shared" si="0"/>
        <v>#DIV/0!</v>
      </c>
      <c r="F4" s="34" t="e">
        <f t="shared" si="1"/>
        <v>#DIV/0!</v>
      </c>
      <c r="G4" s="34" t="e">
        <f t="shared" si="2"/>
        <v>#DIV/0!</v>
      </c>
    </row>
    <row r="5" spans="1:7" x14ac:dyDescent="0.2">
      <c r="A5" t="s">
        <v>319</v>
      </c>
      <c r="B5" s="12"/>
      <c r="C5" s="12"/>
      <c r="D5" s="12"/>
      <c r="E5" s="34" t="e">
        <f t="shared" si="0"/>
        <v>#DIV/0!</v>
      </c>
      <c r="F5" s="34" t="e">
        <f t="shared" si="1"/>
        <v>#DIV/0!</v>
      </c>
      <c r="G5" s="34" t="e">
        <f t="shared" si="2"/>
        <v>#DIV/0!</v>
      </c>
    </row>
    <row r="6" spans="1:7" x14ac:dyDescent="0.2">
      <c r="A6" t="s">
        <v>320</v>
      </c>
      <c r="B6" s="12"/>
      <c r="C6" s="12"/>
      <c r="D6" s="12"/>
      <c r="E6" s="34" t="e">
        <f t="shared" si="0"/>
        <v>#DIV/0!</v>
      </c>
      <c r="F6" s="34" t="e">
        <f t="shared" si="1"/>
        <v>#DIV/0!</v>
      </c>
      <c r="G6" s="34" t="e">
        <f t="shared" si="2"/>
        <v>#DIV/0!</v>
      </c>
    </row>
    <row r="7" spans="1:7" x14ac:dyDescent="0.2">
      <c r="A7" t="s">
        <v>321</v>
      </c>
      <c r="B7" s="12"/>
      <c r="C7" s="12"/>
      <c r="D7" s="12"/>
      <c r="E7" s="34" t="e">
        <f t="shared" si="0"/>
        <v>#DIV/0!</v>
      </c>
      <c r="F7" s="34" t="e">
        <f t="shared" si="1"/>
        <v>#DIV/0!</v>
      </c>
      <c r="G7" s="34" t="e">
        <f t="shared" si="2"/>
        <v>#DIV/0!</v>
      </c>
    </row>
    <row r="8" spans="1:7" x14ac:dyDescent="0.2">
      <c r="A8" t="s">
        <v>322</v>
      </c>
      <c r="B8" s="12"/>
      <c r="C8" s="12"/>
      <c r="D8" s="12"/>
      <c r="E8" s="34" t="e">
        <f t="shared" si="0"/>
        <v>#DIV/0!</v>
      </c>
      <c r="F8" s="34" t="e">
        <f t="shared" si="1"/>
        <v>#DIV/0!</v>
      </c>
      <c r="G8" s="34" t="e">
        <f t="shared" si="2"/>
        <v>#DIV/0!</v>
      </c>
    </row>
    <row r="9" spans="1:7" x14ac:dyDescent="0.2">
      <c r="A9" t="s">
        <v>323</v>
      </c>
      <c r="B9" s="12"/>
      <c r="C9" s="12"/>
      <c r="D9" s="12"/>
      <c r="E9" s="34" t="e">
        <f t="shared" si="0"/>
        <v>#DIV/0!</v>
      </c>
      <c r="F9" s="34" t="e">
        <f t="shared" si="1"/>
        <v>#DIV/0!</v>
      </c>
      <c r="G9" s="34" t="e">
        <f t="shared" si="2"/>
        <v>#DIV/0!</v>
      </c>
    </row>
    <row r="10" spans="1:7" x14ac:dyDescent="0.2">
      <c r="A10" t="s">
        <v>324</v>
      </c>
      <c r="B10" s="12"/>
      <c r="C10" s="12"/>
      <c r="D10" s="12"/>
      <c r="E10" s="34" t="e">
        <f t="shared" si="0"/>
        <v>#DIV/0!</v>
      </c>
      <c r="F10" s="34" t="e">
        <f t="shared" si="1"/>
        <v>#DIV/0!</v>
      </c>
      <c r="G10" s="34" t="e">
        <f t="shared" si="2"/>
        <v>#DIV/0!</v>
      </c>
    </row>
    <row r="11" spans="1:7" x14ac:dyDescent="0.2">
      <c r="A11" t="s">
        <v>325</v>
      </c>
      <c r="B11" s="12"/>
      <c r="C11" s="12"/>
      <c r="D11" s="12"/>
      <c r="E11" s="34" t="e">
        <f t="shared" si="0"/>
        <v>#DIV/0!</v>
      </c>
      <c r="F11" s="34" t="e">
        <f t="shared" si="1"/>
        <v>#DIV/0!</v>
      </c>
      <c r="G11" s="34" t="e">
        <f t="shared" si="2"/>
        <v>#DIV/0!</v>
      </c>
    </row>
    <row r="12" spans="1:7" x14ac:dyDescent="0.2">
      <c r="A12" t="s">
        <v>326</v>
      </c>
      <c r="B12" s="12"/>
      <c r="C12" s="12"/>
      <c r="D12" s="12"/>
      <c r="E12" s="34" t="e">
        <f t="shared" si="0"/>
        <v>#DIV/0!</v>
      </c>
      <c r="F12" s="34" t="e">
        <f t="shared" si="1"/>
        <v>#DIV/0!</v>
      </c>
      <c r="G12" s="34" t="e">
        <f t="shared" si="2"/>
        <v>#DIV/0!</v>
      </c>
    </row>
    <row r="13" spans="1:7" x14ac:dyDescent="0.2">
      <c r="A13" t="s">
        <v>327</v>
      </c>
      <c r="B13" s="12"/>
      <c r="C13" s="12"/>
      <c r="D13" s="12"/>
      <c r="E13" s="34" t="e">
        <f t="shared" si="0"/>
        <v>#DIV/0!</v>
      </c>
      <c r="F13" s="34" t="e">
        <f t="shared" si="1"/>
        <v>#DIV/0!</v>
      </c>
      <c r="G13" s="34" t="e">
        <f t="shared" si="2"/>
        <v>#DIV/0!</v>
      </c>
    </row>
    <row r="14" spans="1:7" x14ac:dyDescent="0.2">
      <c r="A14" t="s">
        <v>328</v>
      </c>
      <c r="B14" s="12"/>
      <c r="C14" s="12"/>
      <c r="D14" s="12"/>
      <c r="E14" s="34" t="e">
        <f t="shared" si="0"/>
        <v>#DIV/0!</v>
      </c>
      <c r="F14" s="34" t="e">
        <f t="shared" si="1"/>
        <v>#DIV/0!</v>
      </c>
      <c r="G14" s="34" t="e">
        <f t="shared" si="2"/>
        <v>#DIV/0!</v>
      </c>
    </row>
    <row r="15" spans="1:7" x14ac:dyDescent="0.2">
      <c r="A15" t="s">
        <v>329</v>
      </c>
      <c r="B15" s="12"/>
      <c r="C15" s="12"/>
      <c r="D15" s="12"/>
      <c r="E15" s="34" t="e">
        <f t="shared" si="0"/>
        <v>#DIV/0!</v>
      </c>
      <c r="F15" s="34" t="e">
        <f t="shared" si="1"/>
        <v>#DIV/0!</v>
      </c>
      <c r="G15" s="34" t="e">
        <f t="shared" si="2"/>
        <v>#DIV/0!</v>
      </c>
    </row>
    <row r="16" spans="1:7" x14ac:dyDescent="0.2">
      <c r="A16" t="s">
        <v>330</v>
      </c>
      <c r="B16" s="12"/>
      <c r="C16" s="12"/>
      <c r="D16" s="12"/>
      <c r="E16" s="34" t="e">
        <f t="shared" si="0"/>
        <v>#DIV/0!</v>
      </c>
      <c r="F16" s="34" t="e">
        <f t="shared" si="1"/>
        <v>#DIV/0!</v>
      </c>
      <c r="G16" s="34" t="e">
        <f t="shared" si="2"/>
        <v>#DIV/0!</v>
      </c>
    </row>
    <row r="17" spans="1:7" x14ac:dyDescent="0.2">
      <c r="A17" t="s">
        <v>331</v>
      </c>
      <c r="B17" s="12"/>
      <c r="C17" s="12"/>
      <c r="D17" s="12"/>
      <c r="E17" s="34" t="e">
        <f t="shared" si="0"/>
        <v>#DIV/0!</v>
      </c>
      <c r="F17" s="34" t="e">
        <f t="shared" si="1"/>
        <v>#DIV/0!</v>
      </c>
      <c r="G17" s="34" t="e">
        <f t="shared" si="2"/>
        <v>#DIV/0!</v>
      </c>
    </row>
    <row r="18" spans="1:7" x14ac:dyDescent="0.2">
      <c r="A18" t="s">
        <v>332</v>
      </c>
      <c r="B18" s="12"/>
      <c r="C18" s="12"/>
      <c r="D18" s="12"/>
      <c r="E18" s="34" t="e">
        <f t="shared" si="0"/>
        <v>#DIV/0!</v>
      </c>
      <c r="F18" s="34" t="e">
        <f t="shared" si="1"/>
        <v>#DIV/0!</v>
      </c>
      <c r="G18" s="34" t="e">
        <f t="shared" si="2"/>
        <v>#DIV/0!</v>
      </c>
    </row>
    <row r="19" spans="1:7" x14ac:dyDescent="0.2">
      <c r="A19" t="s">
        <v>333</v>
      </c>
      <c r="B19" s="12"/>
      <c r="C19" s="12"/>
      <c r="D19" s="12"/>
      <c r="E19" s="34" t="e">
        <f t="shared" si="0"/>
        <v>#DIV/0!</v>
      </c>
      <c r="F19" s="34" t="e">
        <f t="shared" si="1"/>
        <v>#DIV/0!</v>
      </c>
      <c r="G19" s="34" t="e">
        <f t="shared" si="2"/>
        <v>#DIV/0!</v>
      </c>
    </row>
    <row r="20" spans="1:7" x14ac:dyDescent="0.2">
      <c r="A20" t="s">
        <v>334</v>
      </c>
      <c r="B20" s="12"/>
      <c r="C20" s="12"/>
      <c r="D20" s="12"/>
      <c r="E20" s="34" t="e">
        <f t="shared" si="0"/>
        <v>#DIV/0!</v>
      </c>
      <c r="F20" s="34" t="e">
        <f t="shared" si="1"/>
        <v>#DIV/0!</v>
      </c>
      <c r="G20" s="34" t="e">
        <f t="shared" si="2"/>
        <v>#DIV/0!</v>
      </c>
    </row>
    <row r="21" spans="1:7" x14ac:dyDescent="0.2">
      <c r="A21" t="s">
        <v>335</v>
      </c>
      <c r="B21" s="12"/>
      <c r="C21" s="12"/>
      <c r="D21" s="12"/>
      <c r="E21" s="34" t="e">
        <f t="shared" si="0"/>
        <v>#DIV/0!</v>
      </c>
      <c r="F21" s="34" t="e">
        <f t="shared" si="1"/>
        <v>#DIV/0!</v>
      </c>
      <c r="G21" s="34" t="e">
        <f t="shared" si="2"/>
        <v>#DIV/0!</v>
      </c>
    </row>
    <row r="22" spans="1:7" x14ac:dyDescent="0.2">
      <c r="A22" t="s">
        <v>336</v>
      </c>
      <c r="B22" s="12"/>
      <c r="C22" s="12"/>
      <c r="D22" s="12"/>
      <c r="E22" s="34" t="e">
        <f t="shared" si="0"/>
        <v>#DIV/0!</v>
      </c>
      <c r="F22" s="34" t="e">
        <f t="shared" si="1"/>
        <v>#DIV/0!</v>
      </c>
      <c r="G22" s="34" t="e">
        <f t="shared" si="2"/>
        <v>#DIV/0!</v>
      </c>
    </row>
    <row r="23" spans="1:7" x14ac:dyDescent="0.2">
      <c r="A23" t="s">
        <v>337</v>
      </c>
      <c r="B23" s="12"/>
      <c r="C23" s="12"/>
      <c r="D23" s="12"/>
      <c r="E23" s="34" t="e">
        <f t="shared" si="0"/>
        <v>#DIV/0!</v>
      </c>
      <c r="F23" s="34" t="e">
        <f t="shared" si="1"/>
        <v>#DIV/0!</v>
      </c>
      <c r="G23" s="34" t="e">
        <f t="shared" si="2"/>
        <v>#DIV/0!</v>
      </c>
    </row>
    <row r="24" spans="1:7" x14ac:dyDescent="0.2">
      <c r="A24" t="s">
        <v>338</v>
      </c>
      <c r="B24" s="12"/>
      <c r="C24" s="12"/>
      <c r="D24" s="12"/>
      <c r="E24" s="34" t="e">
        <f t="shared" si="0"/>
        <v>#DIV/0!</v>
      </c>
      <c r="F24" s="34" t="e">
        <f t="shared" si="1"/>
        <v>#DIV/0!</v>
      </c>
      <c r="G24" s="34" t="e">
        <f t="shared" si="2"/>
        <v>#DIV/0!</v>
      </c>
    </row>
    <row r="25" spans="1:7" x14ac:dyDescent="0.2">
      <c r="A25" t="s">
        <v>339</v>
      </c>
      <c r="B25">
        <v>0</v>
      </c>
      <c r="C25" t="s">
        <v>340</v>
      </c>
      <c r="D25" s="12"/>
      <c r="E25" s="34" t="s">
        <v>340</v>
      </c>
      <c r="F25" s="34" t="e">
        <f>(D25-B25)/B25</f>
        <v>#DIV/0!</v>
      </c>
      <c r="G25" s="34" t="s">
        <v>340</v>
      </c>
    </row>
    <row r="26" spans="1:7" x14ac:dyDescent="0.2">
      <c r="A26" t="s">
        <v>341</v>
      </c>
      <c r="B26" t="s">
        <v>340</v>
      </c>
      <c r="C26" t="s">
        <v>340</v>
      </c>
      <c r="D26" s="12"/>
      <c r="E26" s="34" t="s">
        <v>340</v>
      </c>
      <c r="F26" s="34" t="s">
        <v>340</v>
      </c>
      <c r="G26" s="34" t="s">
        <v>340</v>
      </c>
    </row>
    <row r="27" spans="1:7" x14ac:dyDescent="0.2">
      <c r="A27" t="s">
        <v>342</v>
      </c>
      <c r="B27" t="s">
        <v>340</v>
      </c>
      <c r="C27" s="12"/>
      <c r="D27" s="12"/>
      <c r="E27" s="34" t="s">
        <v>340</v>
      </c>
      <c r="F27" s="34" t="s">
        <v>340</v>
      </c>
      <c r="G27" s="34" t="e">
        <f>(D27-C27)/C27</f>
        <v>#DIV/0!</v>
      </c>
    </row>
    <row r="28" spans="1:7" x14ac:dyDescent="0.2">
      <c r="A28" t="s">
        <v>343</v>
      </c>
      <c r="B28" t="s">
        <v>340</v>
      </c>
      <c r="C28" s="12"/>
      <c r="D28" s="12"/>
      <c r="E28" s="34" t="s">
        <v>340</v>
      </c>
      <c r="F28" s="34" t="s">
        <v>340</v>
      </c>
      <c r="G28" s="34" t="e">
        <f>(D28-C28)/C28</f>
        <v>#DIV/0!</v>
      </c>
    </row>
    <row r="29" spans="1:7" x14ac:dyDescent="0.2">
      <c r="A29" t="s">
        <v>344</v>
      </c>
      <c r="B29" t="s">
        <v>340</v>
      </c>
      <c r="C29" s="12"/>
      <c r="D29" s="12"/>
      <c r="E29" s="34" t="s">
        <v>340</v>
      </c>
      <c r="F29" s="34" t="s">
        <v>340</v>
      </c>
      <c r="G29" s="34" t="e">
        <f>(D29-C29)/C29</f>
        <v>#DIV/0!</v>
      </c>
    </row>
  </sheetData>
  <autoFilter ref="A1:G29" xr:uid="{EDF658CF-4D27-FB44-BFE1-35B7B1B132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Parâmetros</vt:lpstr>
      <vt:lpstr>Critérios de Acionamento</vt:lpstr>
      <vt:lpstr>Cálculo Densidade Aparente</vt:lpstr>
      <vt:lpstr>Volumes e Mixing</vt:lpstr>
      <vt:lpstr>Distribuição de Chegada</vt:lpstr>
      <vt:lpstr>Matriz de Transporte</vt:lpstr>
      <vt:lpstr>Cálculos de Capacidade</vt:lpstr>
      <vt:lpstr>Validação RCCP e SIMUL8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Andrade Rodrigues</dc:creator>
  <cp:keywords/>
  <dc:description/>
  <cp:lastModifiedBy>FERNANDO ANDRADE RODRIGUES</cp:lastModifiedBy>
  <cp:revision/>
  <dcterms:created xsi:type="dcterms:W3CDTF">2026-08-05T02:06:12Z</dcterms:created>
  <dcterms:modified xsi:type="dcterms:W3CDTF">2026-08-20T22:54:27Z</dcterms:modified>
  <cp:category/>
  <cp:contentStatus/>
</cp:coreProperties>
</file>