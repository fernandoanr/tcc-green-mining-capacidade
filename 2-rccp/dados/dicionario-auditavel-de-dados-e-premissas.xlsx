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b66d2948e4c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6f73d52f5ce947f7"/>
    <x:sheet xmlns:r="http://schemas.openxmlformats.org/officeDocument/2006/relationships" name="Cenário Base" sheetId="2" r:id="Rf487247a1c584b18"/>
    <x:sheet xmlns:r="http://schemas.openxmlformats.org/officeDocument/2006/relationships" name="Demanda Centros" sheetId="3" r:id="Re1e3f413675749be"/>
    <x:sheet xmlns:r="http://schemas.openxmlformats.org/officeDocument/2006/relationships" name="Densidades" sheetId="4" r:id="R5f250dd8985a4428"/>
    <x:sheet xmlns:r="http://schemas.openxmlformats.org/officeDocument/2006/relationships" name="Centros de Coleta" sheetId="5" r:id="R0f158c42fca6448e"/>
    <x:sheet xmlns:r="http://schemas.openxmlformats.org/officeDocument/2006/relationships" name="Rotas" sheetId="6" r:id="R476618c750bd40e9"/>
    <x:sheet xmlns:r="http://schemas.openxmlformats.org/officeDocument/2006/relationships" name="Tempos Operacionais" sheetId="7" r:id="Rce0e30d82140492b"/>
    <x:sheet xmlns:r="http://schemas.openxmlformats.org/officeDocument/2006/relationships" name="Ciclos e Capacidade" sheetId="8" r:id="R01dfe9374b1946df"/>
    <x:sheet xmlns:r="http://schemas.openxmlformats.org/officeDocument/2006/relationships" name="Prensagem" sheetId="9" r:id="R1f203e0b7c8a40ba"/>
    <x:sheet xmlns:r="http://schemas.openxmlformats.org/officeDocument/2006/relationships" name="Expedição" sheetId="10" r:id="R89c6e05492aa4d1e"/>
    <x:sheet xmlns:r="http://schemas.openxmlformats.org/officeDocument/2006/relationships" name="Mapa As-Is" sheetId="11" r:id="Rd62cd40d86ea4bfe"/>
    <x:sheet xmlns:r="http://schemas.openxmlformats.org/officeDocument/2006/relationships" name="Validação Operadores" sheetId="12" r:id="Rd5a95cd7c35f4a50"/>
    <x:sheet xmlns:r="http://schemas.openxmlformats.org/officeDocument/2006/relationships" name="Medição Lead Time" sheetId="13" r:id="R18f7a0f73cf64ef9"/>
    <x:sheet xmlns:r="http://schemas.openxmlformats.org/officeDocument/2006/relationships" name="Sensibilidades RCCP" sheetId="14" r:id="R3daaa54a317a48e5"/>
    <x:sheet xmlns:r="http://schemas.openxmlformats.org/officeDocument/2006/relationships" name="Fontes e Tratamentos" sheetId="15" r:id="Rf9b18b3bb4bc4a5d"/>
    <x:sheet xmlns:r="http://schemas.openxmlformats.org/officeDocument/2006/relationships" name="Decisões" sheetId="16" r:id="Rad61fc10ccdf41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"/>
    <x:numFmt numFmtId="201" formatCode="#,##0"/>
    <x:numFmt numFmtId="202" formatCode="0.0%"/>
    <x:numFmt numFmtId="203" formatCode="0.00000"/>
    <x:numFmt numFmtId="204" formatCode="yyyy-mm-dd"/>
    <x:numFmt numFmtId="205" formatCode="#,##0.00"/>
    <x:numFmt numFmtId="206" formatCode="0.0"/>
    <x:numFmt numFmtId="207" formatCode="0.00"/>
    <x:numFmt numFmtId="208" formatCode="#,##0.000"/>
    <x:numFmt numFmtId="209" formatCode="0.000"/>
    <x:numFmt numFmtId="210" formatCode="yyyy-mm-dd hh:mm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470"/>
      <x:name val="Carlito"/>
    </x:font>
    <x:font>
      <x:b/>
      <x:sz val="10"/>
      <x:color rgb="FFFFFFFF"/>
      <x:name val="Carlito"/>
    </x:font>
    <x:font>
      <x:sz val="10"/>
      <x:color rgb="FF1F2933"/>
      <x:name val="Carlito"/>
    </x:font>
    <x:font>
      <x:i/>
      <x:sz val="9"/>
      <x:color rgb="FFA25C12"/>
      <x:name val="Carlito"/>
    </x:font>
    <x:font>
      <x:b/>
      <x:sz val="10"/>
      <x:color rgb="FF1F2933"/>
      <x:name val="Carlito"/>
    </x:font>
    <x:font>
      <x:b/>
      <x:sz val="12"/>
      <x:color rgb="FF164A3C"/>
      <x:name val="Carlito"/>
    </x:font>
    <x:font>
      <x:b/>
      <x:sz val="10"/>
      <x:color rgb="FFA25C12"/>
      <x:name val="Carlito"/>
    </x:font>
    <x:font>
      <x:sz val="10"/>
      <x:color rgb="FFA25C12"/>
      <x:name val="Carlito"/>
    </x:font>
    <x:font>
      <x:b/>
      <x:sz val="12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4A3C"/>
      </x:patternFill>
    </x:fill>
    <x:fill>
      <x:patternFill patternType="solid">
        <x:fgColor rgb="FFEAF4EE"/>
      </x:patternFill>
    </x:fill>
    <x:fill>
      <x:patternFill patternType="solid">
        <x:fgColor rgb="FF1F6A52"/>
      </x:patternFill>
    </x:fill>
    <x:fill>
      <x:patternFill patternType="solid">
        <x:fgColor rgb="FFFFFFFF"/>
      </x:patternFill>
    </x:fill>
    <x:fill>
      <x:patternFill patternType="solid">
        <x:fgColor rgb="FFFFF5D9"/>
      </x:patternFill>
    </x:fill>
    <x:fill>
      <x:patternFill patternType="solid">
        <x:fgColor rgb="FFF6FAF7"/>
      </x:patternFill>
    </x:fill>
  </x:fills>
  <x:borders count="13">
    <x:border/>
    <x:border>
      <x:left style="thin">
        <x:color rgb="FFD8E1DD"/>
      </x:left>
      <x:right style="thin">
        <x:color rgb="FFD8E1DD"/>
      </x:right>
      <x:top style="thin">
        <x:color rgb="FFD8E1DD"/>
      </x:top>
      <x:bottom style="thin">
        <x:color rgb="FFD8E1DD"/>
      </x:bottom>
    </x:border>
    <x:border>
      <x:left style="thin">
        <x:color rgb="FFD8E1DD"/>
      </x:left>
      <x:top style="thin">
        <x:color rgb="FFD8E1DD"/>
      </x:top>
    </x:border>
    <x:border>
      <x:top style="thin">
        <x:color rgb="FFD8E1DD"/>
      </x:top>
    </x:border>
    <x:border>
      <x:right style="thin">
        <x:color rgb="FFD8E1DD"/>
      </x:right>
      <x:top style="thin">
        <x:color rgb="FFD8E1DD"/>
      </x:top>
    </x:border>
    <x:border>
      <x:left style="thin">
        <x:color rgb="FFD8E1DD"/>
      </x:left>
    </x:border>
    <x:border>
      <x:right style="thin">
        <x:color rgb="FFD8E1DD"/>
      </x:right>
    </x:border>
    <x:border>
      <x:left style="thin">
        <x:color rgb="FFD8E1DD"/>
      </x:left>
      <x:bottom style="thin">
        <x:color rgb="FFD8E1DD"/>
      </x:bottom>
    </x:border>
    <x:border>
      <x:bottom style="thin">
        <x:color rgb="FFD8E1DD"/>
      </x:bottom>
    </x:border>
    <x:border>
      <x:right style="thin">
        <x:color rgb="FFD8E1DD"/>
      </x:right>
      <x:bottom style="thin">
        <x:color rgb="FFD8E1DD"/>
      </x:bottom>
    </x:border>
    <x:border>
      <x:left style="thin">
        <x:color rgb="FFD8E1DD"/>
      </x:left>
      <x:top style="thin">
        <x:color rgb="FFD8E1DD"/>
      </x:top>
      <x:bottom style="thin">
        <x:color rgb="FFD8E1DD"/>
      </x:bottom>
    </x:border>
    <x:border>
      <x:top style="thin">
        <x:color rgb="FFD8E1DD"/>
      </x:top>
      <x:bottom style="thin">
        <x:color rgb="FFD8E1DD"/>
      </x:bottom>
    </x:border>
    <x:border>
      <x:right style="thin">
        <x:color rgb="FFD8E1DD"/>
      </x:right>
      <x:top style="thin">
        <x:color rgb="FFD8E1DD"/>
      </x:top>
      <x:bottom style="thin">
        <x:color rgb="FFD8E1DD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203" fontId="4" fillId="5" borderId="1" xfId="0" applyNumberFormat="1" applyFont="1" applyFill="1" applyBorder="1" applyAlignment="1">
      <x:alignment vertical="center" wrapText="1"/>
    </x:xf>
    <x:xf numFmtId="204" fontId="4" fillId="5" borderId="1" xfId="0" applyNumberFormat="1" applyFont="1" applyFill="1" applyBorder="1" applyAlignment="1">
      <x:alignment vertical="center" wrapText="1"/>
    </x:xf>
    <x:xf numFmtId="0" fontId="4" fillId="7" borderId="7" xfId="0" applyNumberFormat="1" applyFont="1" applyFill="1" applyBorder="1" applyAlignment="1">
      <x:alignment vertical="center" wrapText="1"/>
    </x:xf>
    <x:xf numFmtId="0" fontId="4" fillId="7" borderId="8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200" fontId="6" fillId="7" borderId="1" xfId="0" applyNumberFormat="1" applyFont="1" applyFill="1" applyBorder="1" applyAlignment="1">
      <x:alignment vertical="center" wrapText="1"/>
    </x:xf>
    <x:xf numFmtId="204" fontId="6" fillId="7" borderId="1" xfId="0" applyNumberFormat="1" applyFont="1" applyFill="1" applyBorder="1" applyAlignment="1">
      <x:alignment vertical="center" wrapText="1"/>
    </x:xf>
    <x:xf numFmtId="205" fontId="4" fillId="5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205" fontId="6" fillId="7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200" fontId="6" fillId="5" borderId="1" xfId="0" applyNumberFormat="1" applyFont="1" applyFill="1" applyBorder="1" applyAlignment="1">
      <x:alignment vertical="center" wrapText="1"/>
    </x:xf>
    <x:xf numFmtId="206" fontId="4" fillId="5" borderId="1" xfId="0" applyNumberFormat="1" applyFont="1" applyFill="1" applyBorder="1" applyAlignment="1">
      <x:alignment vertical="center" wrapText="1"/>
    </x:xf>
    <x:xf numFmtId="207" fontId="4" fillId="5" borderId="1" xfId="0" applyNumberFormat="1" applyFont="1" applyFill="1" applyBorder="1" applyAlignment="1">
      <x:alignment vertical="center" wrapText="1"/>
    </x:xf>
    <x:xf numFmtId="208" fontId="4" fillId="5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200" fontId="4" fillId="7" borderId="1" xfId="0" applyNumberFormat="1" applyFont="1" applyFill="1" applyBorder="1" applyAlignment="1">
      <x:alignment vertical="center" wrapText="1"/>
    </x:xf>
    <x:xf numFmtId="202" fontId="4" fillId="7" borderId="1" xfId="0" applyNumberFormat="1" applyFont="1" applyFill="1" applyBorder="1" applyAlignment="1">
      <x:alignment vertical="center" wrapText="1"/>
    </x:xf>
    <x:xf numFmtId="201" fontId="4" fillId="7" borderId="1" xfId="0" applyNumberFormat="1" applyFont="1" applyFill="1" applyBorder="1" applyAlignment="1">
      <x:alignment vertical="center" wrapText="1"/>
    </x:xf>
    <x:xf numFmtId="201" fontId="6" fillId="7" borderId="1" xfId="0" applyNumberFormat="1" applyFont="1" applyFill="1" applyBorder="1" applyAlignment="1">
      <x:alignment vertical="center" wrapText="1"/>
    </x:xf>
    <x:xf numFmtId="201" fontId="4" fillId="3" borderId="1" xfId="0" applyNumberFormat="1" applyFont="1" applyFill="1" applyBorder="1" applyAlignment="1">
      <x:alignment vertical="center" wrapText="1"/>
    </x:xf>
    <x:xf numFmtId="201" fontId="6" fillId="3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200" fontId="6" fillId="3" borderId="1" xfId="0" applyNumberFormat="1" applyFont="1" applyFill="1" applyBorder="1" applyAlignment="1">
      <x:alignment vertical="center" wrapText="1"/>
    </x:xf>
    <x:xf numFmtId="202" fontId="6" fillId="7" borderId="1" xfId="0" applyNumberFormat="1" applyFont="1" applyFill="1" applyBorder="1" applyAlignment="1">
      <x:alignment vertical="center" wrapText="1"/>
    </x:xf>
    <x:xf numFmtId="200" fontId="4" fillId="3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200" fontId="9" fillId="6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209" fontId="4" fillId="5" borderId="1" xfId="0" applyNumberFormat="1" applyFont="1" applyFill="1" applyBorder="1" applyAlignment="1">
      <x:alignment vertical="center" wrapText="1"/>
    </x:xf>
    <x:xf numFmtId="209" fontId="4" fillId="3" borderId="1" xfId="0" applyNumberFormat="1" applyFont="1" applyFill="1" applyBorder="1" applyAlignment="1">
      <x:alignment vertical="center" wrapText="1"/>
    </x:xf>
    <x:xf numFmtId="206" fontId="4" fillId="3" borderId="1" xfId="0" applyNumberFormat="1" applyFont="1" applyFill="1" applyBorder="1" applyAlignment="1">
      <x:alignment vertical="center" wrapText="1"/>
    </x:xf>
    <x:xf numFmtId="209" fontId="6" fillId="3" borderId="1" xfId="0" applyNumberFormat="1" applyFont="1" applyFill="1" applyBorder="1" applyAlignment="1">
      <x:alignment vertical="center" wrapText="1"/>
    </x:xf>
    <x:xf numFmtId="206" fontId="6" fillId="3" borderId="1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208" fontId="6" fillId="3" borderId="1" xfId="0" applyNumberFormat="1" applyFont="1" applyFill="1" applyBorder="1" applyAlignment="1">
      <x:alignment vertical="center" wrapText="1"/>
    </x:xf>
    <x:xf numFmtId="210" fontId="4" fillId="5" borderId="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cebfe146e4b43" /><Relationship Type="http://schemas.openxmlformats.org/officeDocument/2006/relationships/theme" Target="/xl/theme/theme1.xml" Id="R97e36fce355b449c" /><Relationship Type="http://schemas.openxmlformats.org/officeDocument/2006/relationships/sharedStrings" Target="/xl/sharedStrings.xml" Id="R26787893ce87495f" /><Relationship Type="http://schemas.openxmlformats.org/officeDocument/2006/relationships/worksheet" Target="/xl/worksheets/sheet1.xml" Id="R6f73d52f5ce947f7" /><Relationship Type="http://schemas.openxmlformats.org/officeDocument/2006/relationships/worksheet" Target="/xl/worksheets/sheet2.xml" Id="Rf487247a1c584b18" /><Relationship Type="http://schemas.openxmlformats.org/officeDocument/2006/relationships/worksheet" Target="/xl/worksheets/sheet3.xml" Id="Re1e3f413675749be" /><Relationship Type="http://schemas.openxmlformats.org/officeDocument/2006/relationships/worksheet" Target="/xl/worksheets/sheet4.xml" Id="R5f250dd8985a4428" /><Relationship Type="http://schemas.openxmlformats.org/officeDocument/2006/relationships/worksheet" Target="/xl/worksheets/sheet5.xml" Id="R0f158c42fca6448e" /><Relationship Type="http://schemas.openxmlformats.org/officeDocument/2006/relationships/worksheet" Target="/xl/worksheets/sheet6.xml" Id="R476618c750bd40e9" /><Relationship Type="http://schemas.openxmlformats.org/officeDocument/2006/relationships/worksheet" Target="/xl/worksheets/sheet7.xml" Id="Rce0e30d82140492b" /><Relationship Type="http://schemas.openxmlformats.org/officeDocument/2006/relationships/worksheet" Target="/xl/worksheets/sheet8.xml" Id="R01dfe9374b1946df" /><Relationship Type="http://schemas.openxmlformats.org/officeDocument/2006/relationships/worksheet" Target="/xl/worksheets/sheet9.xml" Id="R1f203e0b7c8a40ba" /><Relationship Type="http://schemas.openxmlformats.org/officeDocument/2006/relationships/worksheet" Target="/xl/worksheets/sheet10.xml" Id="R89c6e05492aa4d1e" /><Relationship Type="http://schemas.openxmlformats.org/officeDocument/2006/relationships/worksheet" Target="/xl/worksheets/sheet11.xml" Id="Rd62cd40d86ea4bfe" /><Relationship Type="http://schemas.openxmlformats.org/officeDocument/2006/relationships/worksheet" Target="/xl/worksheets/sheet12.xml" Id="Rd5a95cd7c35f4a50" /><Relationship Type="http://schemas.openxmlformats.org/officeDocument/2006/relationships/worksheet" Target="/xl/worksheets/sheet13.xml" Id="R18f7a0f73cf64ef9" /><Relationship Type="http://schemas.openxmlformats.org/officeDocument/2006/relationships/worksheet" Target="/xl/worksheets/sheet14.xml" Id="R3daaa54a317a48e5" /><Relationship Type="http://schemas.openxmlformats.org/officeDocument/2006/relationships/worksheet" Target="/xl/worksheets/sheet15.xml" Id="Rf9b18b3bb4bc4a5d" /><Relationship Type="http://schemas.openxmlformats.org/officeDocument/2006/relationships/worksheet" Target="/xl/worksheets/sheet16.xml" Id="Rad61fc10ccdf414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4" hidden="0" customWidth="1"/>
    <x:col min="3" max="3" width="48" hidden="0" customWidth="1"/>
    <x:col min="4" max="4" width="20" hidden="0" customWidth="1"/>
  </x:cols>
  <x:sheetData>
    <x:row r="1" ht="30" customHeight="1">
      <x:c r="A1" s="4" t="str">
        <x:v>Dicionário Auditável de Dados e Premissas — RCCP</x:v>
      </x:c>
      <x:c r="B1" s="4"/>
      <x:c r="C1" s="4"/>
      <x:c r="D1" s="4"/>
    </x:row>
    <x:row r="2" ht="28" customHeight="1">
      <x:c r="A2" s="8" t="str">
        <x:v>A Base Geral de Parâmetros é a fonte oficial dos números vigentes. Este dicionário preserva a rastreabilidade, as fórmulas, a classificação e as decisões do RCCP.</x:v>
      </x:c>
      <x:c r="B2" s="8"/>
      <x:c r="C2" s="8"/>
      <x:c r="D2" s="8"/>
    </x:row>
    <x:row r="4" ht="30" customHeight="1">
      <x:c r="A4" s="14" t="str">
        <x:v>Como usar</x:v>
      </x:c>
      <x:c r="B4" s="14" t="str">
        <x:v>Regra</x:v>
      </x:c>
      <x:c r="C4" s="14" t="str">
        <x:v>Resultado esperado</x:v>
      </x:c>
      <x:c r="D4" s="14" t="str">
        <x:v>Responsável</x:v>
      </x:c>
    </x:row>
    <x:row r="5">
      <x:c r="A5" s="43" t="str">
        <x:v>1. Registrar</x:v>
      </x:c>
      <x:c r="B5" s="43" t="str">
        <x:v>Antes de usar um novo dado, criar ou atualizar a linha correspondente em Cenário Base, Rotas, Tempos Operacionais, Prensagem ou Expedição.</x:v>
      </x:c>
      <x:c r="C5" s="43" t="str">
        <x:v>Todo valor tem unidade, origem, classificação, confiança e status.</x:v>
      </x:c>
      <x:c r="D5" s="43" t="str">
        <x:v>Equipe do RCCP</x:v>
      </x:c>
    </x:row>
    <x:row r="6">
      <x:c r="A6" s="43" t="str">
        <x:v>2. Explicar</x:v>
      </x:c>
      <x:c r="B6" s="43" t="str">
        <x:v>Registrar o arquivo, aba/tabela/campo, período e eventual tratamento em Fontes e Tratamentos.</x:v>
      </x:c>
      <x:c r="C6" s="43" t="str">
        <x:v>O TCC pode rastrear a origem de cada conclusão.</x:v>
      </x:c>
      <x:c r="D6" s="43" t="str">
        <x:v>Equipe do RCCP</x:v>
      </x:c>
    </x:row>
    <x:row r="7">
      <x:c r="A7" s="43" t="str">
        <x:v>3. Decidir</x:v>
      </x:c>
      <x:c r="B7" s="43" t="str">
        <x:v>Registrar escolhas metodológicas em Decisões antes de alterar a plataforma.</x:v>
      </x:c>
      <x:c r="C7" s="43" t="str">
        <x:v>Premissas de cenário não são confundidas com observações de campo.</x:v>
      </x:c>
      <x:c r="D7" s="43" t="str">
        <x:v>Equipe do RCCP</x:v>
      </x:c>
    </x:row>
    <x:row r="8">
      <x:c r="A8" s="43" t="str">
        <x:v>4. Calcular</x:v>
      </x:c>
      <x:c r="B8" s="43" t="str">
        <x:v>Manter cálculos nas células de fórmula das abas Rotas, Ciclos e Capacidade, Prensagem e Expedição.</x:v>
      </x:c>
      <x:c r="C8" s="43" t="str">
        <x:v>Resultados atualizam quando os parâmetros editáveis mudam.</x:v>
      </x:c>
      <x:c r="D8" s="43" t="str">
        <x:v>Equipe do RCCP</x:v>
      </x:c>
    </x:row>
    <x:row r="9">
      <x:c r="A9" s="43" t="str">
        <x:v>5. Validar</x:v>
      </x:c>
      <x:c r="B9" s="43" t="str">
        <x:v>Substituir valores informados por medidas de campo quando houver observação disponível.</x:v>
      </x:c>
      <x:c r="C9" s="43" t="str">
        <x:v>A confiança e o status refletem a maturidade do modelo.</x:v>
      </x:c>
      <x:c r="D9" s="43" t="str">
        <x:v>Equipe do RCCP</x:v>
      </x:c>
    </x:row>
    <x:row r="10">
      <x:c r="A10" s="43" t="str">
        <x:v>6. Ouvir operadores</x:v>
      </x:c>
      <x:c r="B10" s="43" t="str">
        <x:v>Quando não houver histórico, registrar a estimativa estruturada na aba Validação Operadores, com definição, faixa plausível e confiança.</x:v>
      </x:c>
      <x:c r="C10" s="43" t="str">
        <x:v>Percepção operacional auditável, sem ser confundida com medição de campo.</x:v>
      </x:c>
      <x:c r="D10" s="43" t="str">
        <x:v>Equipe do RCCP</x:v>
      </x:c>
    </x:row>
    <x:row r="11">
      <x:c r="A11" s="43" t="str">
        <x:v>Classificações</x:v>
      </x:c>
      <x:c r="B11" s="43" t="str">
        <x:v>Observado = fonte medida; Calculado = fórmula; Informado pelo usuário = confirmado na construção; Cenário = hipótese editável.</x:v>
      </x:c>
      <x:c r="C11" s="43" t="str">
        <x:v>Leitura transparente do grau de evidência.</x:v>
      </x:c>
      <x:c r="D11" s="43" t="str">
        <x:v>Equipe do RCCP</x:v>
      </x:c>
    </x:row>
    <x:row r="13" ht="32" customHeight="1">
      <x:c r="A13" s="47" t="str">
        <x:v>Fronteira: esta pasta sustenta o planejamento agregado de capacidade e a análise de cenários. Filas, sequenciamento, rotas minuto a minuto e eventos discretos permanecem no SIMUL8; as medições prospectivas servem para validar e calibrar esse nível detalhado.</x:v>
      </x:c>
      <x:c r="B13" s="47"/>
      <x:c r="C13" s="47"/>
      <x:c r="D13" s="47"/>
    </x:row>
  </x:sheetData>
  <x:mergeCells>
    <x:mergeCell ref="A1:D1"/>
    <x:mergeCell ref="A2:D2"/>
    <x:mergeCell ref="A13:D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2" hidden="0" customWidth="1"/>
    <x:col min="4" max="4" width="17" hidden="0" customWidth="1"/>
    <x:col min="5" max="5" width="15" hidden="0" customWidth="1"/>
    <x:col min="6" max="6" width="40" hidden="0" customWidth="1"/>
    <x:col min="7" max="7" width="22" hidden="0" customWidth="1"/>
    <x:col min="8" max="8" width="33" hidden="0" customWidth="1"/>
    <x:col min="9" max="9" width="28" hidden="0" customWidth="1"/>
    <x:col min="10" max="10" width="25" hidden="0" customWidth="1"/>
    <x:col min="11" max="11" width="14" hidden="0" customWidth="1"/>
    <x:col min="12" max="12" width="12" hidden="0" customWidth="1"/>
    <x:col min="13" max="13" width="16" hidden="0" customWidth="1"/>
    <x:col min="14" max="14" width="14" hidden="0" customWidth="1"/>
    <x:col min="15" max="15" width="44" hidden="0" customWidth="1"/>
  </x:cols>
  <x:sheetData>
    <x:row r="1" ht="30" customHeight="1">
      <x:c r="A1" s="4" t="str">
        <x:v>Cenário Base — Entradas e Premissas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8" customHeight="1">
      <x:c r="A2" s="8" t="str">
        <x:v>Entradas editáveis da calculadora de capacidade agregada RCCP para Transporte, Centros de Coleta e Hub. O SIMUL8 valida a dinâmica detalhada.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 ht="30" customHeight="1">
      <x:c r="A3" s="14" t="str">
        <x:v>ID</x:v>
      </x:c>
      <x:c r="B3" s="14" t="str">
        <x:v>Categoria</x:v>
      </x:c>
      <x:c r="C3" s="14" t="str">
        <x:v>Parâmetro</x:v>
      </x:c>
      <x:c r="D3" s="14" t="str">
        <x:v>Valor</x:v>
      </x:c>
      <x:c r="E3" s="14" t="str">
        <x:v>Unidade</x:v>
      </x:c>
      <x:c r="F3" s="14" t="str">
        <x:v>Regra/Fórmula</x:v>
      </x:c>
      <x:c r="G3" s="14" t="str">
        <x:v>Classificação</x:v>
      </x:c>
      <x:c r="H3" s="14" t="str">
        <x:v>Fonte</x:v>
      </x:c>
      <x:c r="I3" s="14" t="str">
        <x:v>Localização/Contexto</x:v>
      </x:c>
      <x:c r="J3" s="14" t="str">
        <x:v>Escopo</x:v>
      </x:c>
      <x:c r="K3" s="14" t="str">
        <x:v>Confiança</x:v>
      </x:c>
      <x:c r="L3" s="14" t="str">
        <x:v>Editável?</x:v>
      </x:c>
      <x:c r="M3" s="14" t="str">
        <x:v>Status</x:v>
      </x:c>
      <x:c r="N3" s="14" t="str">
        <x:v>Data de inclusão</x:v>
      </x:c>
      <x:c r="O3" s="14" t="str">
        <x:v>Observação</x:v>
      </x:c>
    </x:row>
    <x:row r="4">
      <x:c r="A4" s="43" t="str">
        <x:v>TRN-001</x:v>
      </x:c>
      <x:c r="B4" s="43" t="str">
        <x:v>Frota</x:v>
      </x:c>
      <x:c r="C4" s="43" t="str">
        <x:v>Caminhões ativos</x:v>
      </x:c>
      <x:c r="D4" s="49" t="n">
        <x:v>1</x:v>
      </x:c>
      <x:c r="E4" s="43" t="str">
        <x:v>un.</x:v>
      </x:c>
      <x:c r="F4" s="43" t="str">
        <x:v>Capacidade diária multiplica por caminhões ativos</x:v>
      </x:c>
      <x:c r="G4" s="43" t="str">
        <x:v>Informado pelo usuário</x:v>
      </x:c>
      <x:c r="H4" s="43" t="str">
        <x:v>Conversa de projeto</x:v>
      </x:c>
      <x:c r="I4" s="43" t="str">
        <x:v>28/07/2026</x:v>
      </x:c>
      <x:c r="J4" s="43" t="str">
        <x:v>Transporte CC → Hub</x:v>
      </x:c>
      <x:c r="K4" s="43" t="str">
        <x:v>Média</x:v>
      </x:c>
      <x:c r="L4" s="43" t="str">
        <x:v>Sim</x:v>
      </x:c>
      <x:c r="M4" s="43" t="str">
        <x:v>Ativo</x:v>
      </x:c>
      <x:c r="N4" s="52" t="n">
        <x:v>46231.625</x:v>
      </x:c>
      <x:c r="O4" s="43" t="str">
        <x:v>Segundo caminhão será cenário alternativo.</x:v>
      </x:c>
    </x:row>
    <x:row r="5">
      <x:c r="A5" s="43" t="str">
        <x:v>TRN-002</x:v>
      </x:c>
      <x:c r="B5" s="43" t="str">
        <x:v>Jornada</x:v>
      </x:c>
      <x:c r="C5" s="43" t="str">
        <x:v>Janela efetiva do caminhão e motorista — segunda a sexta</x:v>
      </x:c>
      <x:c r="D5" s="49" t="n">
        <x:v>480</x:v>
      </x:c>
      <x:c r="E5" s="43" t="str">
        <x:v>min/dia</x:v>
      </x:c>
      <x:c r="F5" s="43" t="str">
        <x:v>08h–17h = 540 min de presença − 60 min de almoço exclusivo</x:v>
      </x:c>
      <x:c r="G5" s="43" t="str">
        <x:v>Informado pelo usuário</x:v>
      </x:c>
      <x:c r="H5" s="43" t="str">
        <x:v>Conversa de projeto</x:v>
      </x:c>
      <x:c r="I5" s="43" t="str">
        <x:v>31/07/2026</x:v>
      </x:c>
      <x:c r="J5" s="43" t="str">
        <x:v>Transporte CC → Hub</x:v>
      </x:c>
      <x:c r="K5" s="43" t="str">
        <x:v>Alta</x:v>
      </x:c>
      <x:c r="L5" s="43" t="str">
        <x:v>Sim</x:v>
      </x:c>
      <x:c r="M5" s="43" t="str">
        <x:v>Ativo</x:v>
      </x:c>
      <x:c r="N5" s="52" t="n">
        <x:v>46234.791666666664</x:v>
      </x:c>
      <x:c r="O5" s="43" t="str">
        <x:v>Aplicar a eficiência do Transporte sobre as viagens completas que cabem nesta janela; o ciclo-base permite quatro viagens nominais por dia útil.</x:v>
      </x:c>
    </x:row>
    <x:row r="6">
      <x:c r="A6" s="43" t="str">
        <x:v>TRN-003</x:v>
      </x:c>
      <x:c r="B6" s="43" t="str">
        <x:v>Jornada</x:v>
      </x:c>
      <x:c r="C6" s="43" t="str">
        <x:v>Pausa exclusiva do motorista</x:v>
      </x:c>
      <x:c r="D6" s="49" t="n">
        <x:v>60</x:v>
      </x:c>
      <x:c r="E6" s="43" t="str">
        <x:v>min/dia</x:v>
      </x:c>
      <x:c r="F6" s="43" t="str">
        <x:v>Deduzida dos 540 min de presença para obter 480 min/dia de Transporte</x:v>
      </x:c>
      <x:c r="G6" s="43" t="str">
        <x:v>Informado pelo usuário</x:v>
      </x:c>
      <x:c r="H6" s="43" t="str">
        <x:v>Conversa de projeto</x:v>
      </x:c>
      <x:c r="I6" s="43" t="str">
        <x:v>31/07/2026</x:v>
      </x:c>
      <x:c r="J6" s="43" t="str">
        <x:v>Transporte CC → Hub</x:v>
      </x:c>
      <x:c r="K6" s="43" t="str">
        <x:v>Alta</x:v>
      </x:c>
      <x:c r="L6" s="43" t="str">
        <x:v>Sim</x:v>
      </x:c>
      <x:c r="M6" s="43" t="str">
        <x:v>Ativo</x:v>
      </x:c>
      <x:c r="N6" s="52" t="n">
        <x:v>46234.791666666664</x:v>
      </x:c>
      <x:c r="O6" s="43" t="str">
        <x:v>Confirmação incorporada ao baseline. Não reduz a janela dos CCs nem do Hub, cujo almoço é revezado.</x:v>
      </x:c>
    </x:row>
    <x:row r="7">
      <x:c r="A7" s="43" t="str">
        <x:v>TRN-004</x:v>
      </x:c>
      <x:c r="B7" s="43" t="str">
        <x:v>Eficiência</x:v>
      </x:c>
      <x:c r="C7" s="43" t="str">
        <x:v>Eficiência do Transporte</x:v>
      </x:c>
      <x:c r="D7" s="50" t="n">
        <x:v>1</x:v>
      </x:c>
      <x:c r="E7" s="43" t="str">
        <x:v>% da capacidade nominal</x:v>
      </x:c>
      <x:c r="F7" s="43" t="str">
        <x:v>Viagens efetivas/sem = piso(partidas nominais/sem × eficiência do Transporte)</x:v>
      </x:c>
      <x:c r="G7" s="43" t="str">
        <x:v>Cenário confirmado</x:v>
      </x:c>
      <x:c r="H7" s="43" t="str">
        <x:v>Base Geral de Parâmetros.xlsx</x:v>
      </x:c>
      <x:c r="I7" s="43" t="str">
        <x:v>Parameters</x:v>
      </x:c>
      <x:c r="J7" s="43" t="str">
        <x:v>Transporte CC → Hub</x:v>
      </x:c>
      <x:c r="K7" s="43" t="str">
        <x:v>Alta</x:v>
      </x:c>
      <x:c r="L7" s="43" t="str">
        <x:v>Sim</x:v>
      </x:c>
      <x:c r="M7" s="43" t="str">
        <x:v>Ativo</x:v>
      </x:c>
      <x:c r="N7" s="52" t="n">
        <x:v>46246.625</x:v>
      </x:c>
      <x:c r="O7" s="43" t="str">
        <x:v>Parâmetro independente, aplicado uma única vez à disponibilidade.</x:v>
      </x:c>
    </x:row>
    <x:row r="8">
      <x:c r="A8" s="43" t="str">
        <x:v>TRN-005</x:v>
      </x:c>
      <x:c r="B8" s="43" t="str">
        <x:v>Veículo</x:v>
      </x:c>
      <x:c r="C8" s="43" t="str">
        <x:v>Volume útil do caminhão</x:v>
      </x:c>
      <x:c r="D8" s="48" t="n">
        <x:v>10</x:v>
      </x:c>
      <x:c r="E8" s="43" t="str">
        <x:v>m³/viagem</x:v>
      </x:c>
      <x:c r="F8" s="43" t="str">
        <x:v>Capacidade por volume = volume × ocupação × densidade</x:v>
      </x:c>
      <x:c r="G8" s="43" t="str">
        <x:v>Observado/modelado</x:v>
      </x:c>
      <x:c r="H8" s="43" t="str">
        <x:v>SIMUL8 e cadeia de validação</x:v>
      </x:c>
      <x:c r="I8" s="43" t="str">
        <x:v>Configuração validada</x:v>
      </x:c>
      <x:c r="J8" s="43" t="str">
        <x:v>Transporte CC → Hub</x:v>
      </x:c>
      <x:c r="K8" s="43" t="str">
        <x:v>Média</x:v>
      </x:c>
      <x:c r="L8" s="43" t="str">
        <x:v>Sim</x:v>
      </x:c>
      <x:c r="M8" s="43" t="str">
        <x:v>Ativo</x:v>
      </x:c>
      <x:c r="N8" s="52" t="n">
        <x:v>46231.625</x:v>
      </x:c>
      <x:c r="O8" s="43" t="str">
        <x:v>Valor-base do veículo atual.</x:v>
      </x:c>
    </x:row>
    <x:row r="9">
      <x:c r="A9" s="43" t="str">
        <x:v>TRN-006</x:v>
      </x:c>
      <x:c r="B9" s="43" t="str">
        <x:v>Veículo</x:v>
      </x:c>
      <x:c r="C9" s="43" t="str">
        <x:v>Limite de peso</x:v>
      </x:c>
      <x:c r="D9" s="48" t="n">
        <x:v>1800</x:v>
      </x:c>
      <x:c r="E9" s="43" t="str">
        <x:v>kg/viagem</x:v>
      </x:c>
      <x:c r="F9" s="43" t="str">
        <x:v>Capacidade por viagem = menor entre volume e peso</x:v>
      </x:c>
      <x:c r="G9" s="43" t="str">
        <x:v>Informado pelo usuário</x:v>
      </x:c>
      <x:c r="H9" s="43" t="str">
        <x:v>Conversa de projeto</x:v>
      </x:c>
      <x:c r="I9" s="43" t="str">
        <x:v>28/07/2026</x:v>
      </x:c>
      <x:c r="J9" s="43" t="str">
        <x:v>Transporte CC → Hub</x:v>
      </x:c>
      <x:c r="K9" s="43" t="str">
        <x:v>Média</x:v>
      </x:c>
      <x:c r="L9" s="43" t="str">
        <x:v>Sim</x:v>
      </x:c>
      <x:c r="M9" s="43" t="str">
        <x:v>Ativo</x:v>
      </x:c>
      <x:c r="N9" s="52" t="n">
        <x:v>46231.625</x:v>
      </x:c>
      <x:c r="O9" s="43" t="str">
        <x:v>Não restringe o mix-base, mas restringe cenários densos.</x:v>
      </x:c>
    </x:row>
    <x:row r="10">
      <x:c r="A10" s="43" t="str">
        <x:v>TRN-007</x:v>
      </x:c>
      <x:c r="B10" s="43" t="str">
        <x:v>Carga</x:v>
      </x:c>
      <x:c r="C10" s="43" t="str">
        <x:v>Ocupação média no momento da coleta</x:v>
      </x:c>
      <x:c r="D10" s="50" t="n">
        <x:v>0.95</x:v>
      </x:c>
      <x:c r="E10" s="43" t="str">
        <x:v>%</x:v>
      </x:c>
      <x:c r="F10" s="43" t="str">
        <x:v>Volume aproveitado na carga = volume útil × ocupação média</x:v>
      </x:c>
      <x:c r="G10" s="43" t="str">
        <x:v>Cenário confirmado</x:v>
      </x:c>
      <x:c r="H10" s="43" t="str">
        <x:v>Base Geral de Parâmetros.xlsx</x:v>
      </x:c>
      <x:c r="I10" s="43" t="str">
        <x:v>Parameters</x:v>
      </x:c>
      <x:c r="J10" s="43" t="str">
        <x:v>Transporte CC → Hub</x:v>
      </x:c>
      <x:c r="K10" s="43" t="str">
        <x:v>Alta</x:v>
      </x:c>
      <x:c r="L10" s="43" t="str">
        <x:v>Sim</x:v>
      </x:c>
      <x:c r="M10" s="43" t="str">
        <x:v>Ativo</x:v>
      </x:c>
      <x:c r="N10" s="52" t="n">
        <x:v>46246.625</x:v>
      </x:c>
      <x:c r="O10" s="43" t="str">
        <x:v>Editável por cenário ou veículo. O gatilho operacional de 15 m³ permanece fora do throughput RCCP.</x:v>
      </x:c>
    </x:row>
    <x:row r="11">
      <x:c r="A11" s="43" t="str">
        <x:v>TRN-008</x:v>
      </x:c>
      <x:c r="B11" s="43" t="str">
        <x:v>Carga</x:v>
      </x:c>
      <x:c r="C11" s="43" t="str">
        <x:v>Peso de 1 m³ do mix transportado</x:v>
      </x:c>
      <x:c r="D11" s="48" t="n">
        <x:f>'Densidades'!$O$10</x:f>
        <x:v>48.57875947610445</x:v>
      </x:c>
      <x:c r="E11" s="43" t="str">
        <x:v>kg/m³</x:v>
      </x:c>
      <x:c r="F11" s="43" t="str">
        <x:v>Média harmônica ponderada = 1 ÷ Σ(participação mássica no mix ÷ densidade específica)</x:v>
      </x:c>
      <x:c r="G11" s="43" t="str">
        <x:v>Calculado/modelado</x:v>
      </x:c>
      <x:c r="H11" s="43" t="str">
        <x:v>Base Geral de Parâmetros + tabela da etapa Caminhão de 19/08/2026</x:v>
      </x:c>
      <x:c r="I11" s="43" t="str">
        <x:v>Calculadora de capacidades</x:v>
      </x:c>
      <x:c r="J11" s="43" t="str">
        <x:v>Transporte CC → Hub</x:v>
      </x:c>
      <x:c r="K11" s="43" t="str">
        <x:v>Alta</x:v>
      </x:c>
      <x:c r="L11" s="43" t="str">
        <x:v>Não</x:v>
      </x:c>
      <x:c r="M11" s="43" t="str">
        <x:v>Ativo</x:v>
      </x:c>
      <x:c r="N11" s="52" t="n">
        <x:v>46253.625</x:v>
      </x:c>
      <x:c r="O11" s="43" t="str">
        <x:v>Resultado derivado automaticamente do mix de entrada e das densidades específicas de cada CC/material. Não é parâmetro do usuário e não escala as densidades informadas.</x:v>
      </x:c>
    </x:row>
    <x:row r="12">
      <x:c r="A12" s="43" t="str">
        <x:v>TRN-009</x:v>
      </x:c>
      <x:c r="B12" s="43" t="str">
        <x:v>Calendário</x:v>
      </x:c>
      <x:c r="C12" s="43" t="str">
        <x:v>Dias trabalhados no ano</x:v>
      </x:c>
      <x:c r="D12" s="48" t="n">
        <x:v>312</x:v>
      </x:c>
      <x:c r="E12" s="43" t="str">
        <x:v>dias/ano</x:v>
      </x:c>
      <x:c r="F12" s="43" t="str">
        <x:v>Capacidade anual = capacidade semanal × dias trabalhados no ano ÷ 6</x:v>
      </x:c>
      <x:c r="G12" s="43" t="str">
        <x:v>Cenário confirmado</x:v>
      </x:c>
      <x:c r="H12" s="43" t="str">
        <x:v>Conversa de projeto</x:v>
      </x:c>
      <x:c r="I12" s="43" t="str">
        <x:v>01/08/2026</x:v>
      </x:c>
      <x:c r="J12" s="43" t="str">
        <x:v>Transporte, Centros de Coleta e Hub</x:v>
      </x:c>
      <x:c r="K12" s="43" t="str">
        <x:v>Alta</x:v>
      </x:c>
      <x:c r="L12" s="43" t="str">
        <x:v>Sim</x:v>
      </x:c>
      <x:c r="M12" s="43" t="str">
        <x:v>Ativo</x:v>
      </x:c>
      <x:c r="N12" s="52" t="n">
        <x:v>46237.054814814815</x:v>
      </x:c>
      <x:c r="O12" s="43" t="str">
        <x:v>Default = 52 semanas × 6 dias, sem desconto de feriados, fechamentos ou paradas. Este campo anualiza somente capacidades; demanda semanal e mix seg–sex + sábado permanecem inalterados.</x:v>
      </x:c>
    </x:row>
    <x:row r="13">
      <x:c r="A13" s="43" t="str">
        <x:v>TRN-010</x:v>
      </x:c>
      <x:c r="B13" s="43" t="str">
        <x:v>Demanda</x:v>
      </x:c>
      <x:c r="C13" s="43" t="str">
        <x:v>Demanda semanal dos cinco centros externos</x:v>
      </x:c>
      <x:c r="D13" s="48" t="n">
        <x:f>'Demanda Centros'!$P$9</x:f>
        <x:v>7354.157692307692</x:v>
      </x:c>
      <x:c r="E13" s="43" t="str">
        <x:v>kg/semana</x:v>
      </x:c>
      <x:c r="F13" s="43" t="str">
        <x:v>Soma da aba Demanda Centros</x:v>
      </x:c>
      <x:c r="G13" s="43" t="str">
        <x:v>Calculado</x:v>
      </x:c>
      <x:c r="H13" s="43" t="str">
        <x:v>Base Geral de Parâmetros.xlsx</x:v>
      </x:c>
      <x:c r="I13" s="43" t="str">
        <x:v>Cinco centros externos</x:v>
      </x:c>
      <x:c r="J13" s="43" t="str">
        <x:v>Transporte CC → Hub</x:v>
      </x:c>
      <x:c r="K13" s="43" t="str">
        <x:v>Média</x:v>
      </x:c>
      <x:c r="L13" s="43" t="str">
        <x:v>Não</x:v>
      </x:c>
      <x:c r="M13" s="43" t="str">
        <x:v>Ativo</x:v>
      </x:c>
      <x:c r="N13" s="52" t="n">
        <x:v>46237.054814814815</x:v>
      </x:c>
      <x:c r="O13" s="43" t="str">
        <x:v>Não inclui Santo Amaro direto; alterar a demanda anual na aba Demanda Centros.</x:v>
      </x:c>
    </x:row>
    <x:row r="14">
      <x:c r="A14" s="43" t="str">
        <x:v>TRN-011</x:v>
      </x:c>
      <x:c r="B14" s="43" t="str">
        <x:v>Regra de operação</x:v>
      </x:c>
      <x:c r="C14" s="43" t="str">
        <x:v>Centros por viagem</x:v>
      </x:c>
      <x:c r="D14" s="48" t="str">
        <x:v>1 centro</x:v>
      </x:c>
      <x:c r="E14" s="43" t="str">
        <x:v>regra</x:v>
      </x:c>
      <x:c r="F14" s="43" t="str">
        <x:v>Sem consolidação na versão-base</x:v>
      </x:c>
      <x:c r="G14" s="43" t="str">
        <x:v>Cenário confirmado</x:v>
      </x:c>
      <x:c r="H14" s="43" t="str">
        <x:v>Conversa de projeto</x:v>
      </x:c>
      <x:c r="I14" s="43" t="str">
        <x:v>28/07/2026</x:v>
      </x:c>
      <x:c r="J14" s="43" t="str">
        <x:v>Transporte CC → Hub</x:v>
      </x:c>
      <x:c r="K14" s="43" t="str">
        <x:v>Alta</x:v>
      </x:c>
      <x:c r="L14" s="43" t="str">
        <x:v>Sim</x:v>
      </x:c>
      <x:c r="M14" s="43" t="str">
        <x:v>Ativo</x:v>
      </x:c>
      <x:c r="N14" s="52" t="n">
        <x:v>46231.625</x:v>
      </x:c>
      <x:c r="O14" s="43" t="str">
        <x:v>Consolidação será cenário futuro.</x:v>
      </x:c>
    </x:row>
    <x:row r="15">
      <x:c r="A15" s="43" t="str">
        <x:v>TRN-012</x:v>
      </x:c>
      <x:c r="B15" s="43" t="str">
        <x:v>Regra de capacidade</x:v>
      </x:c>
      <x:c r="C15" s="43" t="str">
        <x:v>Unidade de planejamento</x:v>
      </x:c>
      <x:c r="D15" s="48" t="str">
        <x:v>Semana operacional seg–sáb com viagens inteiras</x:v>
      </x:c>
      <x:c r="E15" s="43" t="str">
        <x:v>regra</x:v>
      </x:c>
      <x:c r="F15" s="43" t="str">
        <x:v>Viagens nominais = dias × piso(janela ÷ ciclo); viagens efetivas = piso(viagens nominais semanais × eficiência)</x:v>
      </x:c>
      <x:c r="G15" s="43" t="str">
        <x:v>Cenário confirmado</x:v>
      </x:c>
      <x:c r="H15" s="43" t="str">
        <x:v>Conversa de projeto</x:v>
      </x:c>
      <x:c r="I15" s="43" t="str">
        <x:v>31/07/2026</x:v>
      </x:c>
      <x:c r="J15" s="43" t="str">
        <x:v>Transporte CC → Hub</x:v>
      </x:c>
      <x:c r="K15" s="43" t="str">
        <x:v>Alta</x:v>
      </x:c>
      <x:c r="L15" s="43" t="str">
        <x:v>Sim</x:v>
      </x:c>
      <x:c r="M15" s="43" t="str">
        <x:v>Ativo</x:v>
      </x:c>
      <x:c r="N15" s="52" t="n">
        <x:v>46234.791666666664</x:v>
      </x:c>
      <x:c r="O15" s="43" t="str">
        <x:v>Somente ciclos completos cabem na janela; o piso final mantém viagens efetivas inteiras e evita uma viagem artificial em eficiência próxima de zero.</x:v>
      </x:c>
    </x:row>
    <x:row r="16">
      <x:c r="A16" s="43" t="str">
        <x:v>TRN-013</x:v>
      </x:c>
      <x:c r="B16" s="43" t="str">
        <x:v>Trânsito</x:v>
      </x:c>
      <x:c r="C16" s="43" t="str">
        <x:v>Cenário de trânsito selecionado</x:v>
      </x:c>
      <x:c r="D16" s="48" t="str">
        <x:v>Valor esperado triangular</x:v>
      </x:c>
      <x:c r="E16" s="43" t="str">
        <x:v>regra</x:v>
      </x:c>
      <x:c r="F16" s="43" t="str">
        <x:v>E = (a + c + b) ÷ 3</x:v>
      </x:c>
      <x:c r="G16" s="43" t="str">
        <x:v>Cenário confirmado</x:v>
      </x:c>
      <x:c r="H16" s="43" t="str">
        <x:v>Conversa de projeto</x:v>
      </x:c>
      <x:c r="I16" s="43" t="str">
        <x:v>28/07/2026</x:v>
      </x:c>
      <x:c r="J16" s="43" t="str">
        <x:v>Transporte CC → Hub</x:v>
      </x:c>
      <x:c r="K16" s="43" t="str">
        <x:v>Média</x:v>
      </x:c>
      <x:c r="L16" s="43" t="str">
        <x:v>Sim</x:v>
      </x:c>
      <x:c r="M16" s="43" t="str">
        <x:v>Ativo</x:v>
      </x:c>
      <x:c r="N16" s="52" t="n">
        <x:v>46231.625</x:v>
      </x:c>
      <x:c r="O16" s="43" t="str">
        <x:v>Otimista, provável e pessimista serão editáveis.</x:v>
      </x:c>
    </x:row>
    <x:row r="17">
      <x:c r="A17" s="43" t="str">
        <x:v>TRN-014</x:v>
      </x:c>
      <x:c r="B17" s="43" t="str">
        <x:v>Validação histórica</x:v>
      </x:c>
      <x:c r="C17" s="43" t="str">
        <x:v>Ciclo médio global histórico</x:v>
      </x:c>
      <x:c r="D17" s="48" t="n">
        <x:v>165.7668221662</x:v>
      </x:c>
      <x:c r="E17" s="43" t="str">
        <x:v>min/viagem</x:v>
      </x:c>
      <x:c r="F17" s="43" t="str">
        <x:v>Referência de validação SIMUL8</x:v>
      </x:c>
      <x:c r="G17" s="43" t="str">
        <x:v>Observado/modelado</x:v>
      </x:c>
      <x:c r="H17" s="43" t="str">
        <x:v>Log caminhão2.xlsx e análises de validação</x:v>
      </x:c>
      <x:c r="I17" s="43" t="str">
        <x:v>Modelo histórico</x:v>
      </x:c>
      <x:c r="J17" s="43" t="str">
        <x:v>Transporte CC → Hub</x:v>
      </x:c>
      <x:c r="K17" s="43" t="str">
        <x:v>Média</x:v>
      </x:c>
      <x:c r="L17" s="43" t="str">
        <x:v>Não</x:v>
      </x:c>
      <x:c r="M17" s="43" t="str">
        <x:v>Referência</x:v>
      </x:c>
      <x:c r="N17" s="52" t="n">
        <x:v>46231.625</x:v>
      </x:c>
      <x:c r="O17" s="43" t="str">
        <x:v>Não substituirá os novos ciclos por rota sem reconciliação.</x:v>
      </x:c>
    </x:row>
    <x:row r="18">
      <x:c r="A18" s="43" t="str">
        <x:v>TRN-015</x:v>
      </x:c>
      <x:c r="B18" s="43" t="str">
        <x:v>Regra de atendimento</x:v>
      </x:c>
      <x:c r="C18" s="43" t="str">
        <x:v>Ponderação do cenário-base</x:v>
      </x:c>
      <x:c r="D18" s="48" t="str">
        <x:v>Participação das viagens equivalentes de cada centro</x:v>
      </x:c>
      <x:c r="E18" s="43" t="str">
        <x:v>regra</x:v>
      </x:c>
      <x:c r="F18" s="43" t="str">
        <x:v>Ciclo médio agregado = soma(participação das viagens equivalentes × ciclo da rota)</x:v>
      </x:c>
      <x:c r="G18" s="43" t="str">
        <x:v>Cenário confirmado</x:v>
      </x:c>
      <x:c r="H18" s="43" t="str">
        <x:v>Conversa de projeto + matriz de tempos</x:v>
      </x:c>
      <x:c r="I18" s="43" t="str">
        <x:v>31/07/2026</x:v>
      </x:c>
      <x:c r="J18" s="43" t="str">
        <x:v>Transporte CC → Hub</x:v>
      </x:c>
      <x:c r="K18" s="43" t="str">
        <x:v>Alta</x:v>
      </x:c>
      <x:c r="L18" s="43" t="str">
        <x:v>Sim</x:v>
      </x:c>
      <x:c r="M18" s="43" t="str">
        <x:v>Ativo</x:v>
      </x:c>
      <x:c r="N18" s="52" t="n">
        <x:v>46234.791666666664</x:v>
      </x:c>
      <x:c r="O18" s="43" t="str">
        <x:v>Ponderação exclusiva do RCCP agregado. A prioridade operacional confirmada é o centro com maior ocupação de estoque.</x:v>
      </x:c>
    </x:row>
    <x:row r="19">
      <x:c r="A19" s="43" t="str">
        <x:v>ASIS-001</x:v>
      </x:c>
      <x:c r="B19" s="43" t="str">
        <x:v>Escopo</x:v>
      </x:c>
      <x:c r="C19" s="43" t="str">
        <x:v>Objetivo de capacidade vigente</x:v>
      </x:c>
      <x:c r="D19" s="48" t="str">
        <x:v>Planejamento agregado ponta a ponta (as-is)</x:v>
      </x:c>
      <x:c r="E19" s="43" t="str">
        <x:v>regra</x:v>
      </x:c>
      <x:c r="F19" s="43" t="str">
        <x:v>Capacidade integrada = menor capacidade sustentável entre etapas sequenciais e grupos de recurso</x:v>
      </x:c>
      <x:c r="G19" s="43" t="str">
        <x:v>Cenário confirmado</x:v>
      </x:c>
      <x:c r="H19" s="43" t="str">
        <x:v>Conversa de projeto</x:v>
      </x:c>
      <x:c r="I19" s="43" t="str">
        <x:v>31/07/2026</x:v>
      </x:c>
      <x:c r="J19" s="43" t="str">
        <x:v>Centros, Hub e expedição</x:v>
      </x:c>
      <x:c r="K19" s="43" t="str">
        <x:v>Alta</x:v>
      </x:c>
      <x:c r="L19" s="43" t="str">
        <x:v>Não</x:v>
      </x:c>
      <x:c r="M19" s="43" t="str">
        <x:v>Ativo</x:v>
      </x:c>
      <x:c r="N19" s="52" t="n">
        <x:v>46234.791666666664</x:v>
      </x:c>
      <x:c r="O19" s="43" t="str">
        <x:v>A calculadora estima capacidade, carga, folga e sensibilidade. O SIMUL8 valida filas, eventos e sequenciamento detalhado.</x:v>
      </x:c>
    </x:row>
    <x:row r="20">
      <x:c r="A20" s="43" t="str">
        <x:v>ASIS-002</x:v>
      </x:c>
      <x:c r="B20" s="43" t="str">
        <x:v>Evidência operacional</x:v>
      </x:c>
      <x:c r="C20" s="43" t="str">
        <x:v>Histórico real de coletas</x:v>
      </x:c>
      <x:c r="D20" s="48" t="str">
        <x:v>Não disponível</x:v>
      </x:c>
      <x:c r="E20" s="43" t="str">
        <x:v>status</x:v>
      </x:c>
      <x:c r="F20" s="43" t="str">
        <x:v>Usar validação estruturada com operadores até haver medição</x:v>
      </x:c>
      <x:c r="G20" s="43" t="str">
        <x:v>Informado pelo usuário</x:v>
      </x:c>
      <x:c r="H20" s="43" t="str">
        <x:v>Conversa de projeto</x:v>
      </x:c>
      <x:c r="I20" s="43" t="str">
        <x:v>28/07/2026</x:v>
      </x:c>
      <x:c r="J20" s="43" t="str">
        <x:v>Coleta e transporte</x:v>
      </x:c>
      <x:c r="K20" s="43" t="str">
        <x:v>Alta</x:v>
      </x:c>
      <x:c r="L20" s="43" t="str">
        <x:v>Não</x:v>
      </x:c>
      <x:c r="M20" s="43" t="str">
        <x:v>Pendente</x:v>
      </x:c>
      <x:c r="N20" s="52" t="n">
        <x:v>46231.625</x:v>
      </x:c>
      <x:c r="O20" s="43" t="str">
        <x:v>Estimativas dos operadores devem registrar definição, faixa plausível, confiança e data.</x:v>
      </x:c>
    </x:row>
    <x:row r="21">
      <x:c r="A21" s="43" t="str">
        <x:v>ASIS-003</x:v>
      </x:c>
      <x:c r="B21" s="43" t="str">
        <x:v>Sequência do projeto</x:v>
      </x:c>
      <x:c r="C21" s="43" t="str">
        <x:v>Cenários agregados RCCP e validação dinâmica</x:v>
      </x:c>
      <x:c r="D21" s="48" t="str">
        <x:v>Sensibilidades RCCP liberadas; dinâmica detalhada no SIMUL8</x:v>
      </x:c>
      <x:c r="E21" s="43" t="str">
        <x:v>regra</x:v>
      </x:c>
      <x:c r="F21" s="43" t="str">
        <x:v>Permitir cenários agregados de demanda, tempo, equipe, eficiência, volume, estoque e rotas; reservar filas, sequência e eventos ao SIMUL8</x:v>
      </x:c>
      <x:c r="G21" s="43" t="str">
        <x:v>Cenário confirmado</x:v>
      </x:c>
      <x:c r="H21" s="43" t="str">
        <x:v>Conversa de projeto</x:v>
      </x:c>
      <x:c r="I21" s="43" t="str">
        <x:v>31/07/2026</x:v>
      </x:c>
      <x:c r="J21" s="43" t="str">
        <x:v>Operação completa</x:v>
      </x:c>
      <x:c r="K21" s="43" t="str">
        <x:v>Alta</x:v>
      </x:c>
      <x:c r="L21" s="43" t="str">
        <x:v>Não</x:v>
      </x:c>
      <x:c r="M21" s="43" t="str">
        <x:v>Ativo</x:v>
      </x:c>
      <x:c r="N21" s="52" t="n">
        <x:v>46234.791666666664</x:v>
      </x:c>
      <x:c r="O21" s="43" t="str">
        <x:v>A linha de base permanece preservada para comparação. Coleta multi-CC e prensa local continuam cenários futuros agregados; a programação e o detalhe evento a evento pertencem ao SIMUL8.</x:v>
      </x:c>
    </x:row>
    <x:row r="22">
      <x:c r="A22" s="43" t="str">
        <x:v>ASIS-004</x:v>
      </x:c>
      <x:c r="B22" s="43" t="str">
        <x:v>Demanda do hub</x:v>
      </x:c>
      <x:c r="C22" s="43" t="str">
        <x:v>Entrada total do Hub Santo Amaro</x:v>
      </x:c>
      <x:c r="D22" s="48" t="n">
        <x:v>7636.151923076923</x:v>
      </x:c>
      <x:c r="E22" s="43" t="str">
        <x:v>kg/semana</x:v>
      </x:c>
      <x:c r="F22" s="43" t="str">
        <x:v>397.079,90 kg/ano ÷ 52 semanas</x:v>
      </x:c>
      <x:c r="G22" s="43" t="str">
        <x:v>Calculado/modelado</x:v>
      </x:c>
      <x:c r="H22" s="43" t="str">
        <x:v>Base Geral de Parâmetros.xlsx</x:v>
      </x:c>
      <x:c r="I22" s="43" t="str">
        <x:v>Volumes e Mixing</x:v>
      </x:c>
      <x:c r="J22" s="43" t="str">
        <x:v>Processamento no hub</x:v>
      </x:c>
      <x:c r="K22" s="43" t="str">
        <x:v>Alta</x:v>
      </x:c>
      <x:c r="L22" s="43" t="str">
        <x:v>Não</x:v>
      </x:c>
      <x:c r="M22" s="43" t="str">
        <x:v>Ativo</x:v>
      </x:c>
      <x:c r="N22" s="52" t="n">
        <x:v>46246.625</x:v>
      </x:c>
      <x:c r="O22" s="43" t="str">
        <x:v>Demanda integrada reconciliada com as 18 combinações centro/material, totalizando 397.079,90 kg/ano.</x:v>
      </x:c>
    </x:row>
    <x:row r="23">
      <x:c r="A23" s="43" t="str">
        <x:v>ASIS-005</x:v>
      </x:c>
      <x:c r="B23" s="43" t="str">
        <x:v>Fotografia operacional</x:v>
      </x:c>
      <x:c r="C23" s="43" t="str">
        <x:v>Divergência histórica de frota</x:v>
      </x:c>
      <x:c r="D23" s="48" t="str">
        <x:v>TCC histórico: 2; cenário atual: 1</x:v>
      </x:c>
      <x:c r="E23" s="43" t="str">
        <x:v>status</x:v>
      </x:c>
      <x:c r="F23" s="43" t="str">
        <x:v>Selecionar período e fotografia antes de comparar resultados</x:v>
      </x:c>
      <x:c r="G23" s="43" t="str">
        <x:v>Informado pelo usuário</x:v>
      </x:c>
      <x:c r="H23" s="43" t="str">
        <x:v>TCC - PMN01 - V2.docx + conversa de projeto</x:v>
      </x:c>
      <x:c r="I23" s="43" t="str">
        <x:v>Histórico versus cenário atual</x:v>
      </x:c>
      <x:c r="J23" s="43" t="str">
        <x:v>Frota e capacidade</x:v>
      </x:c>
      <x:c r="K23" s="43" t="str">
        <x:v>Média</x:v>
      </x:c>
      <x:c r="L23" s="43" t="str">
        <x:v>Não</x:v>
      </x:c>
      <x:c r="M23" s="43" t="str">
        <x:v>Pendente</x:v>
      </x:c>
      <x:c r="N23" s="52" t="n">
        <x:v>46231.625</x:v>
      </x:c>
      <x:c r="O23" s="43" t="str">
        <x:v>Não combinar a frota histórica com a demanda e os tempos do cenário atual sem reconciliação.</x:v>
      </x:c>
    </x:row>
    <x:row r="24">
      <x:c r="A24" s="43" t="str">
        <x:v>ASIS-006</x:v>
      </x:c>
      <x:c r="B24" s="43" t="str">
        <x:v>Recebimento no hub</x:v>
      </x:c>
      <x:c r="C24" s="43" t="str">
        <x:v>Estrutura de recebimento e descarga</x:v>
      </x:c>
      <x:c r="D24" s="48" t="str">
        <x:v>1 entrada; 3 pessoas na descarga</x:v>
      </x:c>
      <x:c r="E24" s="43" t="str">
        <x:v>recursos</x:v>
      </x:c>
      <x:c r="F24" s="43" t="str">
        <x:v>Uma viagem simultânea; descarga de 30 min</x:v>
      </x:c>
      <x:c r="G24" s="43" t="str">
        <x:v>Cenário confirmado</x:v>
      </x:c>
      <x:c r="H24" s="43" t="str">
        <x:v>Base Geral de Parâmetros.xlsx</x:v>
      </x:c>
      <x:c r="I24" s="43" t="str">
        <x:v>Parameters</x:v>
      </x:c>
      <x:c r="J24" s="43" t="str">
        <x:v>Hub Santo Amaro</x:v>
      </x:c>
      <x:c r="K24" s="43" t="str">
        <x:v>Alta</x:v>
      </x:c>
      <x:c r="L24" s="43" t="str">
        <x:v>Não</x:v>
      </x:c>
      <x:c r="M24" s="43" t="str">
        <x:v>Ativo</x:v>
      </x:c>
      <x:c r="N24" s="52" t="n">
        <x:v>46246.625</x:v>
      </x:c>
      <x:c r="O24" s="43" t="str">
        <x:v>Os 30 min incluem o recebimento das cargas vindas dos CCs; a triagem dessas cargas parte de zero no baseline.</x:v>
      </x:c>
    </x:row>
    <x:row r="25">
      <x:c r="A25" s="43" t="str">
        <x:v>ASIS-007</x:v>
      </x:c>
      <x:c r="B25" s="43" t="str">
        <x:v>Jornada do hub</x:v>
      </x:c>
      <x:c r="C25" s="43" t="str">
        <x:v>Janela de operação da equipe compartilhada (08h–17h)</x:v>
      </x:c>
      <x:c r="D25" s="48" t="n">
        <x:v>540</x:v>
      </x:c>
      <x:c r="E25" s="43" t="str">
        <x:v>min/dia de janela</x:v>
      </x:c>
      <x:c r="F25" s="43" t="str">
        <x:v>Jornada do Hub = 540 min/dia; almoço revezado sem parada coletiva</x:v>
      </x:c>
      <x:c r="G25" s="43" t="str">
        <x:v>Informado pelo usuário</x:v>
      </x:c>
      <x:c r="H25" s="43" t="str">
        <x:v>Conversa de projeto</x:v>
      </x:c>
      <x:c r="I25" s="43" t="str">
        <x:v>28/07/2026</x:v>
      </x:c>
      <x:c r="J25" s="43" t="str">
        <x:v>Hub Santo Amaro</x:v>
      </x:c>
      <x:c r="K25" s="43" t="str">
        <x:v>Média</x:v>
      </x:c>
      <x:c r="L25" s="43" t="str">
        <x:v>Sim</x:v>
      </x:c>
      <x:c r="M25" s="43" t="str">
        <x:v>Ativo</x:v>
      </x:c>
      <x:c r="N25" s="52" t="n">
        <x:v>46231.625</x:v>
      </x:c>
      <x:c r="O25" s="43" t="str">
        <x:v>Uma pessoa mantém a descarga no almoço; confirmar apenas a divisão típica do tempo entre as atividades.</x:v>
      </x:c>
    </x:row>
    <x:row r="26">
      <x:c r="A26" s="43" t="str">
        <x:v>ASIS-008</x:v>
      </x:c>
      <x:c r="B26" s="43" t="str">
        <x:v>Almoço e cobertura</x:v>
      </x:c>
      <x:c r="C26" s="43" t="str">
        <x:v>Regra de atendimento durante o almoço</x:v>
      </x:c>
      <x:c r="D26" s="48" t="str">
        <x:v>CC/Hub com revezamento; motorista com 60 min exclusivos</x:v>
      </x:c>
      <x:c r="E26" s="43" t="str">
        <x:v>regra</x:v>
      </x:c>
      <x:c r="F26" s="43" t="str">
        <x:v>CCs e Hub mantêm 540 min/dia; Transporte usa 480 min/dia depois da pausa confirmada</x:v>
      </x:c>
      <x:c r="G26" s="43" t="str">
        <x:v>Informado pelo usuário</x:v>
      </x:c>
      <x:c r="H26" s="43" t="str">
        <x:v>Conversa de projeto</x:v>
      </x:c>
      <x:c r="I26" s="43" t="str">
        <x:v>31/07/2026</x:v>
      </x:c>
      <x:c r="J26" s="43" t="str">
        <x:v>Hub Santo Amaro, CCs e Transporte</x:v>
      </x:c>
      <x:c r="K26" s="43" t="str">
        <x:v>Alta</x:v>
      </x:c>
      <x:c r="L26" s="43" t="str">
        <x:v>Não</x:v>
      </x:c>
      <x:c r="M26" s="43" t="str">
        <x:v>Ativo</x:v>
      </x:c>
      <x:c r="N26" s="52" t="n">
        <x:v>46234.791666666664</x:v>
      </x:c>
      <x:c r="O26" s="43" t="str">
        <x:v>A pausa do motorista afeta somente caminhão e motorista. Não deduzir novamente 60 min do calendário dos CCs ou do Hub.</x:v>
      </x:c>
    </x:row>
    <x:row r="27">
      <x:c r="A27" s="43" t="str">
        <x:v>ASIS-009</x:v>
      </x:c>
      <x:c r="B27" s="43" t="str">
        <x:v>Triagem de cargas vindas dos CCs</x:v>
      </x:c>
      <x:c r="C27" s="43" t="str">
        <x:v>Tempo de triagem por carga vinda dos CCs</x:v>
      </x:c>
      <x:c r="D27" s="48" t="n">
        <x:v>0</x:v>
      </x:c>
      <x:c r="E27" s="43" t="str">
        <x:v>min/carga</x:v>
      </x:c>
      <x:c r="F27" s="43" t="str">
        <x:v>Controle ativo no simulador com valor inicial zero</x:v>
      </x:c>
      <x:c r="G27" s="43" t="str">
        <x:v>Cenário confirmado</x:v>
      </x:c>
      <x:c r="H27" s="43" t="str">
        <x:v>Solicitação do usuário — 12/08/2026</x:v>
      </x:c>
      <x:c r="I27" s="43" t="str">
        <x:v>Calculadora RCCP</x:v>
      </x:c>
      <x:c r="J27" s="43" t="str">
        <x:v>Hub Santo Amaro</x:v>
      </x:c>
      <x:c r="K27" s="43" t="str">
        <x:v>Alta</x:v>
      </x:c>
      <x:c r="L27" s="43" t="str">
        <x:v>Não</x:v>
      </x:c>
      <x:c r="M27" s="43" t="str">
        <x:v>Ativo</x:v>
      </x:c>
      <x:c r="N27" s="52" t="n">
        <x:v>46246.625</x:v>
      </x:c>
      <x:c r="O27" s="43" t="str">
        <x:v>O valor zero preserva a carga do baseline e pode ser alterado para simular cenários.</x:v>
      </x:c>
    </x:row>
    <x:row r="28">
      <x:c r="A28" s="43" t="str">
        <x:v>ASIS-010</x:v>
      </x:c>
      <x:c r="B28" s="43" t="str">
        <x:v>Triagem de cargas vindas dos CCs</x:v>
      </x:c>
      <x:c r="C28" s="43" t="str">
        <x:v>Perdas e rejeitos considerados</x:v>
      </x:c>
      <x:c r="D28" s="50" t="n">
        <x:v>0</x:v>
      </x:c>
      <x:c r="E28" s="43" t="str">
        <x:v>% da massa recebida</x:v>
      </x:c>
      <x:c r="F28" s="43" t="str">
        <x:v>Massa triada = massa recebida × (1 − perdas)</x:v>
      </x:c>
      <x:c r="G28" s="43" t="str">
        <x:v>Cenário confirmado</x:v>
      </x:c>
      <x:c r="H28" s="43" t="str">
        <x:v>Conversa de projeto</x:v>
      </x:c>
      <x:c r="I28" s="43" t="str">
        <x:v>29/07/2026</x:v>
      </x:c>
      <x:c r="J28" s="43" t="str">
        <x:v>Hub Santo Amaro</x:v>
      </x:c>
      <x:c r="K28" s="43" t="str">
        <x:v>Média</x:v>
      </x:c>
      <x:c r="L28" s="43" t="str">
        <x:v>Sim</x:v>
      </x:c>
      <x:c r="M28" s="43" t="str">
        <x:v>Ativo</x:v>
      </x:c>
      <x:c r="N28" s="52" t="n">
        <x:v>46232.625</x:v>
      </x:c>
      <x:c r="O28" s="43" t="str">
        <x:v>Premissa as-is: não considerar perdas ou rejeitos nesta etapa.</x:v>
      </x:c>
    </x:row>
    <x:row r="29">
      <x:c r="A29" s="43" t="str">
        <x:v>ASIS-011</x:v>
      </x:c>
      <x:c r="B29" s="43" t="str">
        <x:v>Movimentação interna</x:v>
      </x:c>
      <x:c r="C29" s="43" t="str">
        <x:v>Tempo de levar a batelada à prensa</x:v>
      </x:c>
      <x:c r="D29" s="48" t="n">
        <x:v>10</x:v>
      </x:c>
      <x:c r="E29" s="43" t="str">
        <x:v>min/batelada</x:v>
      </x:c>
      <x:c r="F29" s="43" t="str">
        <x:v>Tempo de movimentação por fardo = min/batelada × bateladas por fardo</x:v>
      </x:c>
      <x:c r="G29" s="43" t="str">
        <x:v>Informado pelo usuário</x:v>
      </x:c>
      <x:c r="H29" s="43" t="str">
        <x:v>Conversa de projeto</x:v>
      </x:c>
      <x:c r="I29" s="43" t="str">
        <x:v>30/07/2026</x:v>
      </x:c>
      <x:c r="J29" s="43" t="str">
        <x:v>Hub Santo Amaro</x:v>
      </x:c>
      <x:c r="K29" s="43" t="str">
        <x:v>Média</x:v>
      </x:c>
      <x:c r="L29" s="43" t="str">
        <x:v>Sim</x:v>
      </x:c>
      <x:c r="M29" s="43" t="str">
        <x:v>Ativo</x:v>
      </x:c>
      <x:c r="N29" s="52" t="n">
        <x:v>46233.625</x:v>
      </x:c>
      <x:c r="O29" s="43" t="str">
        <x:v>Após a descarga, o operador leva do estoque intermediário à prensa a batelada de material que será prensada. Não está incluído nos 30 min de recebimento.</x:v>
      </x:c>
    </x:row>
    <x:row r="30">
      <x:c r="A30" s="43" t="str">
        <x:v>ASIS-012</x:v>
      </x:c>
      <x:c r="B30" s="43" t="str">
        <x:v>Prensagem</x:v>
      </x:c>
      <x:c r="C30" s="43" t="str">
        <x:v>Prensas pequenas ativas</x:v>
      </x:c>
      <x:c r="D30" s="48" t="n">
        <x:v>4</x:v>
      </x:c>
      <x:c r="E30" s="43" t="str">
        <x:v>un.</x:v>
      </x:c>
      <x:c r="F30" s="43" t="str">
        <x:v>Prensas pequenas atendem plástico e longa vida; ambas compartilham o mesmo tempo de máquina</x:v>
      </x:c>
      <x:c r="G30" s="43" t="str">
        <x:v>Informado pelo usuário</x:v>
      </x:c>
      <x:c r="H30" s="43" t="str">
        <x:v>Conversa de projeto</x:v>
      </x:c>
      <x:c r="I30" s="43" t="str">
        <x:v>30/07/2026</x:v>
      </x:c>
      <x:c r="J30" s="43" t="str">
        <x:v>Hub Santo Amaro</x:v>
      </x:c>
      <x:c r="K30" s="43" t="str">
        <x:v>Média</x:v>
      </x:c>
      <x:c r="L30" s="43" t="str">
        <x:v>Sim</x:v>
      </x:c>
      <x:c r="M30" s="43" t="str">
        <x:v>Ativo</x:v>
      </x:c>
      <x:c r="N30" s="52" t="n">
        <x:v>46233.625</x:v>
      </x:c>
      <x:c r="O30" s="43" t="str">
        <x:v>Dedicadas a plástico e longa vida; não somar as capacidades isoladas dessas famílias.</x:v>
      </x:c>
    </x:row>
    <x:row r="31">
      <x:c r="A31" s="43" t="str">
        <x:v>ASIS-013</x:v>
      </x:c>
      <x:c r="B31" s="43" t="str">
        <x:v>Prensagem</x:v>
      </x:c>
      <x:c r="C31" s="43" t="str">
        <x:v>Prensas grandes ativas</x:v>
      </x:c>
      <x:c r="D31" s="48" t="n">
        <x:v>2</x:v>
      </x:c>
      <x:c r="E31" s="43" t="str">
        <x:v>un.</x:v>
      </x:c>
      <x:c r="F31" s="43" t="str">
        <x:v>Prensas grandes atendem exclusivamente papelão</x:v>
      </x:c>
      <x:c r="G31" s="43" t="str">
        <x:v>Informado pelo usuário</x:v>
      </x:c>
      <x:c r="H31" s="43" t="str">
        <x:v>Conversa de projeto</x:v>
      </x:c>
      <x:c r="I31" s="43" t="str">
        <x:v>30/07/2026</x:v>
      </x:c>
      <x:c r="J31" s="43" t="str">
        <x:v>Hub Santo Amaro</x:v>
      </x:c>
      <x:c r="K31" s="43" t="str">
        <x:v>Média</x:v>
      </x:c>
      <x:c r="L31" s="43" t="str">
        <x:v>Sim</x:v>
      </x:c>
      <x:c r="M31" s="43" t="str">
        <x:v>Ativo</x:v>
      </x:c>
      <x:c r="N31" s="52" t="n">
        <x:v>46233.625</x:v>
      </x:c>
      <x:c r="O31" s="43" t="str">
        <x:v>Dedicadas a papelão; confirmar disponibilidade e paradas.</x:v>
      </x:c>
    </x:row>
    <x:row r="32">
      <x:c r="A32" s="43" t="str">
        <x:v>ASIS-014</x:v>
      </x:c>
      <x:c r="B32" s="43" t="str">
        <x:v>Prensagem</x:v>
      </x:c>
      <x:c r="C32" s="43" t="str">
        <x:v>Elegibilidade de materiais nas prensas</x:v>
      </x:c>
      <x:c r="D32" s="48" t="str">
        <x:v>Papelão → grandes; plástico e longa vida → pequenas</x:v>
      </x:c>
      <x:c r="E32" s="43" t="str">
        <x:v>regra</x:v>
      </x:c>
      <x:c r="F32" s="43" t="str">
        <x:v>Cada família só pode usar o porte de prensa correspondente</x:v>
      </x:c>
      <x:c r="G32" s="43" t="str">
        <x:v>Informado pelo usuário</x:v>
      </x:c>
      <x:c r="H32" s="43" t="str">
        <x:v>Conversa de projeto</x:v>
      </x:c>
      <x:c r="I32" s="43" t="str">
        <x:v>30/07/2026</x:v>
      </x:c>
      <x:c r="J32" s="43" t="str">
        <x:v>Hub Santo Amaro</x:v>
      </x:c>
      <x:c r="K32" s="43" t="str">
        <x:v>Média</x:v>
      </x:c>
      <x:c r="L32" s="43" t="str">
        <x:v>Sim</x:v>
      </x:c>
      <x:c r="M32" s="43" t="str">
        <x:v>Ativo</x:v>
      </x:c>
      <x:c r="N32" s="52" t="n">
        <x:v>46233.625</x:v>
      </x:c>
      <x:c r="O32" s="43" t="str">
        <x:v>Substitui a flexibilidade total registrada inicialmente.</x:v>
      </x:c>
    </x:row>
    <x:row r="33">
      <x:c r="A33" s="43" t="str">
        <x:v>ASIS-015</x:v>
      </x:c>
      <x:c r="B33" s="43" t="str">
        <x:v>Prensagem</x:v>
      </x:c>
      <x:c r="C33" s="43" t="str">
        <x:v>Tempo de prensagem por fardo de papelão</x:v>
      </x:c>
      <x:c r="D33" s="48" t="n">
        <x:v>20</x:v>
      </x:c>
      <x:c r="E33" s="43" t="str">
        <x:v>min/fardo</x:v>
      </x:c>
      <x:c r="F33" s="43" t="str">
        <x:v>Fardos técnicos = min-máquina disponíveis ÷ tempo de prensagem por fardo</x:v>
      </x:c>
      <x:c r="G33" s="43" t="str">
        <x:v>Informado pelo usuário</x:v>
      </x:c>
      <x:c r="H33" s="43" t="str">
        <x:v>Conversa de projeto</x:v>
      </x:c>
      <x:c r="I33" s="43" t="str">
        <x:v>30/07/2026</x:v>
      </x:c>
      <x:c r="J33" s="43" t="str">
        <x:v>Hub Santo Amaro</x:v>
      </x:c>
      <x:c r="K33" s="43" t="str">
        <x:v>Média</x:v>
      </x:c>
      <x:c r="L33" s="43" t="str">
        <x:v>Sim</x:v>
      </x:c>
      <x:c r="M33" s="43" t="str">
        <x:v>Ativo</x:v>
      </x:c>
      <x:c r="N33" s="52" t="n">
        <x:v>46233.625</x:v>
      </x:c>
      <x:c r="O33" s="43" t="str">
        <x:v>Etapa após levar a batelada à prensa: alimentar/prensar, amarrar e levar o fardo ao estoque. O deslocamento inicial de 10 min é separado.</x:v>
      </x:c>
    </x:row>
    <x:row r="34">
      <x:c r="A34" s="43" t="str">
        <x:v>ASIS-016</x:v>
      </x:c>
      <x:c r="B34" s="43" t="str">
        <x:v>Prensagem</x:v>
      </x:c>
      <x:c r="C34" s="43" t="str">
        <x:v>Peso médio por fardo de papelão</x:v>
      </x:c>
      <x:c r="D34" s="48" t="n">
        <x:v>200</x:v>
      </x:c>
      <x:c r="E34" s="43" t="str">
        <x:v>kg/fardo</x:v>
      </x:c>
      <x:c r="F34" s="43" t="str">
        <x:v>Massa prensada = fardos × peso por fardo</x:v>
      </x:c>
      <x:c r="G34" s="43" t="str">
        <x:v>Informado pelo usuário</x:v>
      </x:c>
      <x:c r="H34" s="43" t="str">
        <x:v>Conversa de projeto</x:v>
      </x:c>
      <x:c r="I34" s="43" t="str">
        <x:v>30/07/2026</x:v>
      </x:c>
      <x:c r="J34" s="43" t="str">
        <x:v>Hub Santo Amaro</x:v>
      </x:c>
      <x:c r="K34" s="43" t="str">
        <x:v>Média</x:v>
      </x:c>
      <x:c r="L34" s="43" t="str">
        <x:v>Sim</x:v>
      </x:c>
      <x:c r="M34" s="43" t="str">
        <x:v>Ativo</x:v>
      </x:c>
      <x:c r="N34" s="52" t="n">
        <x:v>46233.625</x:v>
      </x:c>
      <x:c r="O34" s="43" t="str">
        <x:v>Peso médio informado para o lote de papelão.</x:v>
      </x:c>
    </x:row>
    <x:row r="35">
      <x:c r="A35" s="43" t="str">
        <x:v>ASIS-017</x:v>
      </x:c>
      <x:c r="B35" s="43" t="str">
        <x:v>Prensagem</x:v>
      </x:c>
      <x:c r="C35" s="43" t="str">
        <x:v>Tempo de prensagem por fardo de longa vida</x:v>
      </x:c>
      <x:c r="D35" s="48" t="n">
        <x:v>8</x:v>
      </x:c>
      <x:c r="E35" s="43" t="str">
        <x:v>min/fardo</x:v>
      </x:c>
      <x:c r="F35" s="43" t="str">
        <x:v>Fardos técnicos = min-máquina disponíveis ÷ tempo de prensagem por fardo</x:v>
      </x:c>
      <x:c r="G35" s="43" t="str">
        <x:v>Informado pelo usuário</x:v>
      </x:c>
      <x:c r="H35" s="43" t="str">
        <x:v>Conversa de projeto</x:v>
      </x:c>
      <x:c r="I35" s="43" t="str">
        <x:v>30/07/2026</x:v>
      </x:c>
      <x:c r="J35" s="43" t="str">
        <x:v>Hub Santo Amaro</x:v>
      </x:c>
      <x:c r="K35" s="43" t="str">
        <x:v>Média</x:v>
      </x:c>
      <x:c r="L35" s="43" t="str">
        <x:v>Sim</x:v>
      </x:c>
      <x:c r="M35" s="43" t="str">
        <x:v>Ativo</x:v>
      </x:c>
      <x:c r="N35" s="52" t="n">
        <x:v>46233.625</x:v>
      </x:c>
      <x:c r="O35" s="43" t="str">
        <x:v>Etapa após levar a batelada à prensa: alimentar/prensar, amarrar e levar o fardo ao estoque. O deslocamento inicial de 10 min é separado.</x:v>
      </x:c>
    </x:row>
    <x:row r="36">
      <x:c r="A36" s="43" t="str">
        <x:v>ASIS-018</x:v>
      </x:c>
      <x:c r="B36" s="43" t="str">
        <x:v>Prensagem</x:v>
      </x:c>
      <x:c r="C36" s="43" t="str">
        <x:v>Peso médio por fardo de longa vida</x:v>
      </x:c>
      <x:c r="D36" s="48" t="n">
        <x:v>120</x:v>
      </x:c>
      <x:c r="E36" s="43" t="str">
        <x:v>kg/fardo</x:v>
      </x:c>
      <x:c r="F36" s="43" t="str">
        <x:v>Massa prensada = fardos × peso por fardo</x:v>
      </x:c>
      <x:c r="G36" s="43" t="str">
        <x:v>Informado pelo usuário</x:v>
      </x:c>
      <x:c r="H36" s="43" t="str">
        <x:v>Conversa de projeto</x:v>
      </x:c>
      <x:c r="I36" s="43" t="str">
        <x:v>30/07/2026</x:v>
      </x:c>
      <x:c r="J36" s="43" t="str">
        <x:v>Hub Santo Amaro</x:v>
      </x:c>
      <x:c r="K36" s="43" t="str">
        <x:v>Média</x:v>
      </x:c>
      <x:c r="L36" s="43" t="str">
        <x:v>Sim</x:v>
      </x:c>
      <x:c r="M36" s="43" t="str">
        <x:v>Ativo</x:v>
      </x:c>
      <x:c r="N36" s="52" t="n">
        <x:v>46233.625</x:v>
      </x:c>
      <x:c r="O36" s="43" t="str">
        <x:v>Peso médio informado para o lote de longa vida.</x:v>
      </x:c>
    </x:row>
    <x:row r="37">
      <x:c r="A37" s="43" t="str">
        <x:v>ASIS-019</x:v>
      </x:c>
      <x:c r="B37" s="43" t="str">
        <x:v>Prensagem</x:v>
      </x:c>
      <x:c r="C37" s="43" t="str">
        <x:v>Tempo de prensagem por fardo de plástico</x:v>
      </x:c>
      <x:c r="D37" s="48" t="n">
        <x:v>8</x:v>
      </x:c>
      <x:c r="E37" s="43" t="str">
        <x:v>min/fardo</x:v>
      </x:c>
      <x:c r="F37" s="43" t="str">
        <x:v>Fardos técnicos = min-máquina disponíveis ÷ tempo de prensagem por fardo</x:v>
      </x:c>
      <x:c r="G37" s="43" t="str">
        <x:v>Informado pelo usuário</x:v>
      </x:c>
      <x:c r="H37" s="43" t="str">
        <x:v>Conversa de projeto</x:v>
      </x:c>
      <x:c r="I37" s="43" t="str">
        <x:v>30/07/2026</x:v>
      </x:c>
      <x:c r="J37" s="43" t="str">
        <x:v>Hub Santo Amaro</x:v>
      </x:c>
      <x:c r="K37" s="43" t="str">
        <x:v>Média</x:v>
      </x:c>
      <x:c r="L37" s="43" t="str">
        <x:v>Sim</x:v>
      </x:c>
      <x:c r="M37" s="43" t="str">
        <x:v>Ativo</x:v>
      </x:c>
      <x:c r="N37" s="52" t="n">
        <x:v>46233.625</x:v>
      </x:c>
      <x:c r="O37" s="43" t="str">
        <x:v>Etapa após levar a batelada à prensa: alimentar/prensar, amarrar e levar o fardo ao estoque. O deslocamento inicial de 10 min é separado.</x:v>
      </x:c>
    </x:row>
    <x:row r="38">
      <x:c r="A38" s="43" t="str">
        <x:v>ASIS-020</x:v>
      </x:c>
      <x:c r="B38" s="43" t="str">
        <x:v>Prensagem</x:v>
      </x:c>
      <x:c r="C38" s="43" t="str">
        <x:v>Peso médio por fardo de plástico</x:v>
      </x:c>
      <x:c r="D38" s="48" t="n">
        <x:v>100</x:v>
      </x:c>
      <x:c r="E38" s="43" t="str">
        <x:v>kg/fardo</x:v>
      </x:c>
      <x:c r="F38" s="43" t="str">
        <x:v>Massa prensada = fardos × peso por fardo</x:v>
      </x:c>
      <x:c r="G38" s="43" t="str">
        <x:v>Cenário confirmado</x:v>
      </x:c>
      <x:c r="H38" s="43" t="str">
        <x:v>Base Geral de Parâmetros.xlsx</x:v>
      </x:c>
      <x:c r="I38" s="43" t="str">
        <x:v>Parameters</x:v>
      </x:c>
      <x:c r="J38" s="43" t="str">
        <x:v>Hub Santo Amaro</x:v>
      </x:c>
      <x:c r="K38" s="43" t="str">
        <x:v>Alta</x:v>
      </x:c>
      <x:c r="L38" s="43" t="str">
        <x:v>Sim</x:v>
      </x:c>
      <x:c r="M38" s="43" t="str">
        <x:v>Ativo</x:v>
      </x:c>
      <x:c r="N38" s="52" t="n">
        <x:v>46246.625</x:v>
      </x:c>
      <x:c r="O38" s="43" t="str">
        <x:v>Peso médio oficial do fardo de plástico.</x:v>
      </x:c>
    </x:row>
    <x:row r="39">
      <x:c r="A39" s="43" t="str">
        <x:v>ASIS-021</x:v>
      </x:c>
      <x:c r="B39" s="43" t="str">
        <x:v>Fardo grande</x:v>
      </x:c>
      <x:c r="C39" s="43" t="str">
        <x:v>Comprimento do fardo</x:v>
      </x:c>
      <x:c r="D39" s="48" t="n">
        <x:v>70</x:v>
      </x:c>
      <x:c r="E39" s="43" t="str">
        <x:v>cm</x:v>
      </x:c>
      <x:c r="F39" s="43" t="str">
        <x:v>Volume = comprimento × largura × altura ÷ 1.000.000</x:v>
      </x:c>
      <x:c r="G39" s="43" t="str">
        <x:v>Informado pelo usuário</x:v>
      </x:c>
      <x:c r="H39" s="43" t="str">
        <x:v>Conversa de projeto</x:v>
      </x:c>
      <x:c r="I39" s="43" t="str">
        <x:v>30/07/2026</x:v>
      </x:c>
      <x:c r="J39" s="43" t="str">
        <x:v>Hub Santo Amaro</x:v>
      </x:c>
      <x:c r="K39" s="43" t="str">
        <x:v>Média</x:v>
      </x:c>
      <x:c r="L39" s="43" t="str">
        <x:v>Sim</x:v>
      </x:c>
      <x:c r="M39" s="43" t="str">
        <x:v>Ativo</x:v>
      </x:c>
      <x:c r="N39" s="52" t="n">
        <x:v>46233.625</x:v>
      </x:c>
      <x:c r="O39" s="43" t="str">
        <x:v>Dimensão do fardo de papelão produzido na prensa grande.</x:v>
      </x:c>
    </x:row>
    <x:row r="40">
      <x:c r="A40" s="43" t="str">
        <x:v>ASIS-022</x:v>
      </x:c>
      <x:c r="B40" s="43" t="str">
        <x:v>Fardo grande</x:v>
      </x:c>
      <x:c r="C40" s="43" t="str">
        <x:v>Largura do fardo</x:v>
      </x:c>
      <x:c r="D40" s="48" t="n">
        <x:v>110</x:v>
      </x:c>
      <x:c r="E40" s="43" t="str">
        <x:v>cm</x:v>
      </x:c>
      <x:c r="F40" s="43" t="str">
        <x:v>Volume = comprimento × largura × altura ÷ 1.000.000</x:v>
      </x:c>
      <x:c r="G40" s="43" t="str">
        <x:v>Informado pelo usuário</x:v>
      </x:c>
      <x:c r="H40" s="43" t="str">
        <x:v>Conversa de projeto</x:v>
      </x:c>
      <x:c r="I40" s="43" t="str">
        <x:v>30/07/2026</x:v>
      </x:c>
      <x:c r="J40" s="43" t="str">
        <x:v>Hub Santo Amaro</x:v>
      </x:c>
      <x:c r="K40" s="43" t="str">
        <x:v>Média</x:v>
      </x:c>
      <x:c r="L40" s="43" t="str">
        <x:v>Sim</x:v>
      </x:c>
      <x:c r="M40" s="43" t="str">
        <x:v>Ativo</x:v>
      </x:c>
      <x:c r="N40" s="52" t="n">
        <x:v>46233.625</x:v>
      </x:c>
      <x:c r="O40" s="43" t="str">
        <x:v>Dimensão do fardo de papelão produzido na prensa grande.</x:v>
      </x:c>
    </x:row>
    <x:row r="41">
      <x:c r="A41" s="43" t="str">
        <x:v>ASIS-023</x:v>
      </x:c>
      <x:c r="B41" s="43" t="str">
        <x:v>Fardo grande</x:v>
      </x:c>
      <x:c r="C41" s="43" t="str">
        <x:v>Altura do fardo</x:v>
      </x:c>
      <x:c r="D41" s="48" t="n">
        <x:v>70</x:v>
      </x:c>
      <x:c r="E41" s="43" t="str">
        <x:v>cm</x:v>
      </x:c>
      <x:c r="F41" s="43" t="str">
        <x:v>Volume = comprimento × largura × altura ÷ 1.000.000</x:v>
      </x:c>
      <x:c r="G41" s="43" t="str">
        <x:v>Informado pelo usuário</x:v>
      </x:c>
      <x:c r="H41" s="43" t="str">
        <x:v>Conversa de projeto</x:v>
      </x:c>
      <x:c r="I41" s="43" t="str">
        <x:v>30/07/2026</x:v>
      </x:c>
      <x:c r="J41" s="43" t="str">
        <x:v>Hub Santo Amaro</x:v>
      </x:c>
      <x:c r="K41" s="43" t="str">
        <x:v>Média</x:v>
      </x:c>
      <x:c r="L41" s="43" t="str">
        <x:v>Sim</x:v>
      </x:c>
      <x:c r="M41" s="43" t="str">
        <x:v>Ativo</x:v>
      </x:c>
      <x:c r="N41" s="52" t="n">
        <x:v>46233.625</x:v>
      </x:c>
      <x:c r="O41" s="43" t="str">
        <x:v>Dimensão do fardo de papelão produzido na prensa grande.</x:v>
      </x:c>
    </x:row>
    <x:row r="42">
      <x:c r="A42" s="43" t="str">
        <x:v>ASIS-024</x:v>
      </x:c>
      <x:c r="B42" s="43" t="str">
        <x:v>Fardo grande</x:v>
      </x:c>
      <x:c r="C42" s="43" t="str">
        <x:v>Volume calculado do fardo</x:v>
      </x:c>
      <x:c r="D42" s="51" t="n">
        <x:f>D39*D40*D41/1000000</x:f>
        <x:v>0.539</x:v>
      </x:c>
      <x:c r="E42" s="43" t="str">
        <x:v>m³/fardo</x:v>
      </x:c>
      <x:c r="F42" s="43" t="str">
        <x:v>Comprimento × largura × altura ÷ 1.000.000</x:v>
      </x:c>
      <x:c r="G42" s="43" t="str">
        <x:v>Calculado/modelado</x:v>
      </x:c>
      <x:c r="H42" s="43" t="str">
        <x:v>Conversa de projeto</x:v>
      </x:c>
      <x:c r="I42" s="43" t="str">
        <x:v>Dimensões informadas em 30/07/2026</x:v>
      </x:c>
      <x:c r="J42" s="43" t="str">
        <x:v>Hub Santo Amaro</x:v>
      </x:c>
      <x:c r="K42" s="43" t="str">
        <x:v>Média</x:v>
      </x:c>
      <x:c r="L42" s="43" t="str">
        <x:v>Não</x:v>
      </x:c>
      <x:c r="M42" s="43" t="str">
        <x:v>Ativo</x:v>
      </x:c>
      <x:c r="N42" s="52" t="n">
        <x:v>46233.625</x:v>
      </x:c>
      <x:c r="O42" s="43" t="str">
        <x:v>Derivado das dimensões editáveis do fardo grande.</x:v>
      </x:c>
    </x:row>
    <x:row r="43">
      <x:c r="A43" s="43" t="str">
        <x:v>ASIS-025</x:v>
      </x:c>
      <x:c r="B43" s="43" t="str">
        <x:v>Fardo pequeno</x:v>
      </x:c>
      <x:c r="C43" s="43" t="str">
        <x:v>Comprimento histórico do fardo</x:v>
      </x:c>
      <x:c r="D43" s="48" t="n">
        <x:v>75</x:v>
      </x:c>
      <x:c r="E43" s="43" t="str">
        <x:v>cm</x:v>
      </x:c>
      <x:c r="F43" s="43" t="str">
        <x:v>Referência anterior; não deriva o volume oficial vigente</x:v>
      </x:c>
      <x:c r="G43" s="43" t="str">
        <x:v>Referência</x:v>
      </x:c>
      <x:c r="H43" s="43" t="str">
        <x:v>Dicionário anterior</x:v>
      </x:c>
      <x:c r="I43" s="43" t="str">
        <x:v>Histórico</x:v>
      </x:c>
      <x:c r="J43" s="43" t="str">
        <x:v>Hub Santo Amaro</x:v>
      </x:c>
      <x:c r="K43" s="43" t="str">
        <x:v>Baixa</x:v>
      </x:c>
      <x:c r="L43" s="43" t="str">
        <x:v>Não</x:v>
      </x:c>
      <x:c r="M43" s="43" t="str">
        <x:v>Referência</x:v>
      </x:c>
      <x:c r="N43" s="52" t="n">
        <x:v>46233.625</x:v>
      </x:c>
      <x:c r="O43" s="43" t="str">
        <x:v>Preservado somente como evidência; o baseline usa diretamente 0,247 m³/fardo.</x:v>
      </x:c>
    </x:row>
    <x:row r="44">
      <x:c r="A44" s="43" t="str">
        <x:v>ASIS-026</x:v>
      </x:c>
      <x:c r="B44" s="43" t="str">
        <x:v>Fardo pequeno</x:v>
      </x:c>
      <x:c r="C44" s="43" t="str">
        <x:v>Largura histórica do fardo</x:v>
      </x:c>
      <x:c r="D44" s="48" t="n">
        <x:v>78</x:v>
      </x:c>
      <x:c r="E44" s="43" t="str">
        <x:v>cm</x:v>
      </x:c>
      <x:c r="F44" s="43" t="str">
        <x:v>Referência anterior; não deriva o volume oficial vigente</x:v>
      </x:c>
      <x:c r="G44" s="43" t="str">
        <x:v>Referência</x:v>
      </x:c>
      <x:c r="H44" s="43" t="str">
        <x:v>Dicionário anterior</x:v>
      </x:c>
      <x:c r="I44" s="43" t="str">
        <x:v>Histórico</x:v>
      </x:c>
      <x:c r="J44" s="43" t="str">
        <x:v>Hub Santo Amaro</x:v>
      </x:c>
      <x:c r="K44" s="43" t="str">
        <x:v>Baixa</x:v>
      </x:c>
      <x:c r="L44" s="43" t="str">
        <x:v>Não</x:v>
      </x:c>
      <x:c r="M44" s="43" t="str">
        <x:v>Referência</x:v>
      </x:c>
      <x:c r="N44" s="52" t="n">
        <x:v>46233.625</x:v>
      </x:c>
      <x:c r="O44" s="43" t="str">
        <x:v>Preservado somente como evidência; o baseline usa diretamente 0,247 m³/fardo.</x:v>
      </x:c>
    </x:row>
    <x:row r="45">
      <x:c r="A45" s="43" t="str">
        <x:v>ASIS-027</x:v>
      </x:c>
      <x:c r="B45" s="43" t="str">
        <x:v>Fardo pequeno</x:v>
      </x:c>
      <x:c r="C45" s="43" t="str">
        <x:v>Altura histórica do fardo</x:v>
      </x:c>
      <x:c r="D45" s="48" t="n">
        <x:v>49</x:v>
      </x:c>
      <x:c r="E45" s="43" t="str">
        <x:v>cm</x:v>
      </x:c>
      <x:c r="F45" s="43" t="str">
        <x:v>Referência anterior; não deriva o volume oficial vigente</x:v>
      </x:c>
      <x:c r="G45" s="43" t="str">
        <x:v>Referência</x:v>
      </x:c>
      <x:c r="H45" s="43" t="str">
        <x:v>Dicionário anterior</x:v>
      </x:c>
      <x:c r="I45" s="43" t="str">
        <x:v>Histórico</x:v>
      </x:c>
      <x:c r="J45" s="43" t="str">
        <x:v>Hub Santo Amaro</x:v>
      </x:c>
      <x:c r="K45" s="43" t="str">
        <x:v>Baixa</x:v>
      </x:c>
      <x:c r="L45" s="43" t="str">
        <x:v>Não</x:v>
      </x:c>
      <x:c r="M45" s="43" t="str">
        <x:v>Referência</x:v>
      </x:c>
      <x:c r="N45" s="52" t="n">
        <x:v>46233.625</x:v>
      </x:c>
      <x:c r="O45" s="43" t="str">
        <x:v>Preservado somente como evidência; o baseline usa diretamente 0,247 m³/fardo.</x:v>
      </x:c>
    </x:row>
    <x:row r="46">
      <x:c r="A46" s="43" t="str">
        <x:v>ASIS-028</x:v>
      </x:c>
      <x:c r="B46" s="43" t="str">
        <x:v>Fardo pequeno</x:v>
      </x:c>
      <x:c r="C46" s="43" t="str">
        <x:v>Volume oficial do fardo</x:v>
      </x:c>
      <x:c r="D46" s="51" t="n">
        <x:v>0.247</x:v>
      </x:c>
      <x:c r="E46" s="43" t="str">
        <x:v>m³/fardo</x:v>
      </x:c>
      <x:c r="F46" s="43" t="str">
        <x:v>Valor direto oficial para plástico e longa vida</x:v>
      </x:c>
      <x:c r="G46" s="43" t="str">
        <x:v>Cenário confirmado</x:v>
      </x:c>
      <x:c r="H46" s="43" t="str">
        <x:v>Base Geral de Parâmetros.xlsx</x:v>
      </x:c>
      <x:c r="I46" s="43" t="str">
        <x:v>Parameters</x:v>
      </x:c>
      <x:c r="J46" s="43" t="str">
        <x:v>Hub Santo Amaro</x:v>
      </x:c>
      <x:c r="K46" s="43" t="str">
        <x:v>Alta</x:v>
      </x:c>
      <x:c r="L46" s="43" t="str">
        <x:v>Sim</x:v>
      </x:c>
      <x:c r="M46" s="43" t="str">
        <x:v>Ativo</x:v>
      </x:c>
      <x:c r="N46" s="52" t="n">
        <x:v>46246.625</x:v>
      </x:c>
      <x:c r="O46" s="43" t="str">
        <x:v>Não recalcular a partir das dimensões históricas.</x:v>
      </x:c>
    </x:row>
    <x:row r="47">
      <x:c r="A47" s="43" t="str">
        <x:v>ASIS-029</x:v>
      </x:c>
      <x:c r="B47" s="43" t="str">
        <x:v>Equipe do hub</x:v>
      </x:c>
      <x:c r="C47" s="43" t="str">
        <x:v>Pessoas compartilhadas disponíveis</x:v>
      </x:c>
      <x:c r="D47" s="49" t="n">
        <x:v>6</x:v>
      </x:c>
      <x:c r="E47" s="43" t="str">
        <x:v>pessoas</x:v>
      </x:c>
      <x:c r="F47" s="43" t="str">
        <x:v>Recurso máximo simultâneo para atividades internas</x:v>
      </x:c>
      <x:c r="G47" s="43" t="str">
        <x:v>Cenário confirmado</x:v>
      </x:c>
      <x:c r="H47" s="43" t="str">
        <x:v>Base Geral de Parâmetros.xlsx</x:v>
      </x:c>
      <x:c r="I47" s="43" t="str">
        <x:v>Parameters</x:v>
      </x:c>
      <x:c r="J47" s="43" t="str">
        <x:v>Hub Santo Amaro</x:v>
      </x:c>
      <x:c r="K47" s="43" t="str">
        <x:v>Alta</x:v>
      </x:c>
      <x:c r="L47" s="43" t="str">
        <x:v>Sim</x:v>
      </x:c>
      <x:c r="M47" s="43" t="str">
        <x:v>Ativo</x:v>
      </x:c>
      <x:c r="N47" s="52" t="n">
        <x:v>46246.625</x:v>
      </x:c>
      <x:c r="O47" s="43" t="str">
        <x:v>A equipe atende descarga, movimentação, prensagem, expedição e a triagem das cargas vindas dos CCs quando houver tempo configurado.</x:v>
      </x:c>
    </x:row>
    <x:row r="48">
      <x:c r="A48" s="43" t="str">
        <x:v>ASIS-030</x:v>
      </x:c>
      <x:c r="B48" s="43" t="str">
        <x:v>Prensagem</x:v>
      </x:c>
      <x:c r="C48" s="43" t="str">
        <x:v>Pessoas necessárias por prensa em operação</x:v>
      </x:c>
      <x:c r="D48" s="49" t="n">
        <x:v>1</x:v>
      </x:c>
      <x:c r="E48" s="43" t="str">
        <x:v>pessoa/prensa</x:v>
      </x:c>
      <x:c r="F48" s="43" t="str">
        <x:v>Cada prensa ativa exige um operador dedicado</x:v>
      </x:c>
      <x:c r="G48" s="43" t="str">
        <x:v>Informado pelo usuário</x:v>
      </x:c>
      <x:c r="H48" s="43" t="str">
        <x:v>Conversa de projeto</x:v>
      </x:c>
      <x:c r="I48" s="43" t="str">
        <x:v>30/07/2026</x:v>
      </x:c>
      <x:c r="J48" s="43" t="str">
        <x:v>Hub Santo Amaro</x:v>
      </x:c>
      <x:c r="K48" s="43" t="str">
        <x:v>Média</x:v>
      </x:c>
      <x:c r="L48" s="43" t="str">
        <x:v>Sim</x:v>
      </x:c>
      <x:c r="M48" s="43" t="str">
        <x:v>Ativo</x:v>
      </x:c>
      <x:c r="N48" s="52" t="n">
        <x:v>46233.625</x:v>
      </x:c>
      <x:c r="O48" s="43" t="str">
        <x:v>O mesmo operador movimenta a batelada até a prensa e executa a etapa de prensagem, amarração e estoque do fardo.</x:v>
      </x:c>
    </x:row>
    <x:row r="49">
      <x:c r="A49" s="43" t="str">
        <x:v>ASIS-031</x:v>
      </x:c>
      <x:c r="B49" s="43" t="str">
        <x:v>Prensagem</x:v>
      </x:c>
      <x:c r="C49" s="43" t="str">
        <x:v>Prensas simultâneas por pessoa</x:v>
      </x:c>
      <x:c r="D49" s="49" t="n">
        <x:v>1</x:v>
      </x:c>
      <x:c r="E49" s="43" t="str">
        <x:v>prensa/pessoa</x:v>
      </x:c>
      <x:c r="F49" s="43" t="str">
        <x:v>Uma pessoa não opera mais de uma prensa ao mesmo tempo</x:v>
      </x:c>
      <x:c r="G49" s="43" t="str">
        <x:v>Informado pelo usuário</x:v>
      </x:c>
      <x:c r="H49" s="43" t="str">
        <x:v>Conversa de projeto</x:v>
      </x:c>
      <x:c r="I49" s="43" t="str">
        <x:v>30/07/2026</x:v>
      </x:c>
      <x:c r="J49" s="43" t="str">
        <x:v>Hub Santo Amaro</x:v>
      </x:c>
      <x:c r="K49" s="43" t="str">
        <x:v>Média</x:v>
      </x:c>
      <x:c r="L49" s="43" t="str">
        <x:v>Sim</x:v>
      </x:c>
      <x:c r="M49" s="43" t="str">
        <x:v>Ativo</x:v>
      </x:c>
      <x:c r="N49" s="52" t="n">
        <x:v>46233.625</x:v>
      </x:c>
      <x:c r="O49" s="43" t="str">
        <x:v>Regra de simultaneidade; não representa disponibilidade diária para prensagem.</x:v>
      </x:c>
    </x:row>
    <x:row r="50">
      <x:c r="A50" s="43" t="str">
        <x:v>ASIS-032</x:v>
      </x:c>
      <x:c r="B50" s="43" t="str">
        <x:v>Prensagem</x:v>
      </x:c>
      <x:c r="C50" s="43" t="str">
        <x:v>Prensas simultâneas máximas pela equipe</x:v>
      </x:c>
      <x:c r="D50" s="49" t="n">
        <x:f>MIN(D47*D49/D48,D30+D31)</x:f>
        <x:v>6</x:v>
      </x:c>
      <x:c r="E50" s="43" t="str">
        <x:v>prensas</x:v>
      </x:c>
      <x:c r="F50" s="43" t="str">
        <x:v>Mínimo entre limite de pessoas e prensas físicas</x:v>
      </x:c>
      <x:c r="G50" s="43" t="str">
        <x:v>Calculado/modelado</x:v>
      </x:c>
      <x:c r="H50" s="43" t="str">
        <x:v>Base Geral de Parâmetros.xlsx</x:v>
      </x:c>
      <x:c r="I50" s="43" t="str">
        <x:v>Parameters</x:v>
      </x:c>
      <x:c r="J50" s="43" t="str">
        <x:v>Hub Santo Amaro</x:v>
      </x:c>
      <x:c r="K50" s="43" t="str">
        <x:v>Alta</x:v>
      </x:c>
      <x:c r="L50" s="43" t="str">
        <x:v>Não</x:v>
      </x:c>
      <x:c r="M50" s="43" t="str">
        <x:v>Ativo</x:v>
      </x:c>
      <x:c r="N50" s="52" t="n">
        <x:v>46246.625</x:v>
      </x:c>
      <x:c r="O50" s="43" t="str">
        <x:v>Teto instantâneo de seis prensas quando toda a equipe está livre; não é capacidade sustentável diária.</x:v>
      </x:c>
    </x:row>
    <x:row r="51">
      <x:c r="A51" s="43" t="str">
        <x:v>ASIS-033</x:v>
      </x:c>
      <x:c r="B51" s="43" t="str">
        <x:v>Movimentação interna</x:v>
      </x:c>
      <x:c r="C51" s="43" t="str">
        <x:v>Bateladas movimentadas por fardo</x:v>
      </x:c>
      <x:c r="D51" s="48" t="n">
        <x:v>1</x:v>
      </x:c>
      <x:c r="E51" s="43" t="str">
        <x:v>batelada/fardo</x:v>
      </x:c>
      <x:c r="F51" s="43" t="str">
        <x:v>Tempo de movimentação por fardo = min/batelada × bateladas/fardo</x:v>
      </x:c>
      <x:c r="G51" s="43" t="str">
        <x:v>Informado pelo usuário</x:v>
      </x:c>
      <x:c r="H51" s="43" t="str">
        <x:v>Conversa de projeto</x:v>
      </x:c>
      <x:c r="I51" s="43" t="str">
        <x:v>Confirmação explícita em 30/07/2026</x:v>
      </x:c>
      <x:c r="J51" s="43" t="str">
        <x:v>Hub Santo Amaro</x:v>
      </x:c>
      <x:c r="K51" s="43" t="str">
        <x:v>Alta</x:v>
      </x:c>
      <x:c r="L51" s="43" t="str">
        <x:v>Sim</x:v>
      </x:c>
      <x:c r="M51" s="43" t="str">
        <x:v>Ativo</x:v>
      </x:c>
      <x:c r="N51" s="52" t="n">
        <x:v>46233.625</x:v>
      </x:c>
      <x:c r="O51" s="43" t="str">
        <x:v>Confirmado: batelada = fardo = lote para papelão, plástico e longa vida. Mantido editável para eventual alteração do processo.</x:v>
      </x:c>
    </x:row>
    <x:row r="52">
      <x:c r="A52" s="43" t="str">
        <x:v>ASIS-034</x:v>
      </x:c>
      <x:c r="B52" s="43" t="str">
        <x:v>Movimentação interna</x:v>
      </x:c>
      <x:c r="C52" s="43" t="str">
        <x:v>Tempo calculado de movimentação por fardo</x:v>
      </x:c>
      <x:c r="D52" s="48" t="n">
        <x:f>D29*D51</x:f>
        <x:v>10</x:v>
      </x:c>
      <x:c r="E52" s="43" t="str">
        <x:v>min/fardo</x:v>
      </x:c>
      <x:c r="F52" s="43" t="str">
        <x:v>Tempo por batelada × bateladas por fardo</x:v>
      </x:c>
      <x:c r="G52" s="43" t="str">
        <x:v>Calculado/modelado</x:v>
      </x:c>
      <x:c r="H52" s="43" t="str">
        <x:v>Cenário Base</x:v>
      </x:c>
      <x:c r="I52" s="43" t="str">
        <x:v>Fórmula D29 × D51</x:v>
      </x:c>
      <x:c r="J52" s="43" t="str">
        <x:v>Hub Santo Amaro</x:v>
      </x:c>
      <x:c r="K52" s="43" t="str">
        <x:v>Média</x:v>
      </x:c>
      <x:c r="L52" s="43" t="str">
        <x:v>Não</x:v>
      </x:c>
      <x:c r="M52" s="43" t="str">
        <x:v>Ativo</x:v>
      </x:c>
      <x:c r="N52" s="52" t="n">
        <x:v>46233.625</x:v>
      </x:c>
      <x:c r="O52" s="43" t="str">
        <x:v>Usado no tempo total do operador; não aumenta os minutos-máquina da prensa.</x:v>
      </x:c>
    </x:row>
    <x:row r="53">
      <x:c r="A53" s="43" t="str">
        <x:v>ASIS-035</x:v>
      </x:c>
      <x:c r="B53" s="43" t="str">
        <x:v>Expedição</x:v>
      </x:c>
      <x:c r="C53" s="43" t="str">
        <x:v>Tempo mínimo de carregamento por retirada</x:v>
      </x:c>
      <x:c r="D53" s="49" t="n">
        <x:v>30</x:v>
      </x:c>
      <x:c r="E53" s="43" t="str">
        <x:v>min/retirada</x:v>
      </x:c>
      <x:c r="F53" s="43" t="str">
        <x:v>Tempo-base confirmado para a operação interna</x:v>
      </x:c>
      <x:c r="G53" s="43" t="str">
        <x:v>Cenário confirmado</x:v>
      </x:c>
      <x:c r="H53" s="43" t="str">
        <x:v>Base Geral de Parâmetros.xlsx</x:v>
      </x:c>
      <x:c r="I53" s="43" t="str">
        <x:v>Parameters</x:v>
      </x:c>
      <x:c r="J53" s="43" t="str">
        <x:v>Hub Santo Amaro</x:v>
      </x:c>
      <x:c r="K53" s="43" t="str">
        <x:v>Alta</x:v>
      </x:c>
      <x:c r="L53" s="43" t="str">
        <x:v>Sim</x:v>
      </x:c>
      <x:c r="M53" s="43" t="str">
        <x:v>Ativo</x:v>
      </x:c>
      <x:c r="N53" s="52" t="n">
        <x:v>46246.625</x:v>
      </x:c>
      <x:c r="O53" s="43" t="str">
        <x:v>Confirmado para o baseline; ainda não cronometrado em campo.</x:v>
      </x:c>
    </x:row>
    <x:row r="54">
      <x:c r="A54" s="43" t="str">
        <x:v>ASIS-036</x:v>
      </x:c>
      <x:c r="B54" s="43" t="str">
        <x:v>Expedição</x:v>
      </x:c>
      <x:c r="C54" s="43" t="str">
        <x:v>Tempo máximo de carregamento por retirada</x:v>
      </x:c>
      <x:c r="D54" s="49" t="n">
        <x:v>30</x:v>
      </x:c>
      <x:c r="E54" s="43" t="str">
        <x:v>min/retirada</x:v>
      </x:c>
      <x:c r="F54" s="43" t="str">
        <x:v>Sem faixa no baseline oficial</x:v>
      </x:c>
      <x:c r="G54" s="43" t="str">
        <x:v>Cenário confirmado</x:v>
      </x:c>
      <x:c r="H54" s="43" t="str">
        <x:v>Base Geral de Parâmetros.xlsx</x:v>
      </x:c>
      <x:c r="I54" s="43" t="str">
        <x:v>Parameters</x:v>
      </x:c>
      <x:c r="J54" s="43" t="str">
        <x:v>Hub Santo Amaro</x:v>
      </x:c>
      <x:c r="K54" s="43" t="str">
        <x:v>Alta</x:v>
      </x:c>
      <x:c r="L54" s="43" t="str">
        <x:v>Sim</x:v>
      </x:c>
      <x:c r="M54" s="43" t="str">
        <x:v>Ativo</x:v>
      </x:c>
      <x:c r="N54" s="52" t="n">
        <x:v>46246.625</x:v>
      </x:c>
      <x:c r="O54" s="43" t="str">
        <x:v>Confirmado para o baseline; ainda não cronometrado em campo.</x:v>
      </x:c>
    </x:row>
    <x:row r="55">
      <x:c r="A55" s="43" t="str">
        <x:v>ASIS-037</x:v>
      </x:c>
      <x:c r="B55" s="43" t="str">
        <x:v>Expedição</x:v>
      </x:c>
      <x:c r="C55" s="43" t="str">
        <x:v>Tempo de referência de carregamento</x:v>
      </x:c>
      <x:c r="D55" s="48" t="n">
        <x:f>(D53+D54)/2</x:f>
        <x:v>30</x:v>
      </x:c>
      <x:c r="E55" s="43" t="str">
        <x:v>min/retirada</x:v>
      </x:c>
      <x:c r="F55" s="43" t="str">
        <x:v>Média entre os limites, ambos iguais a 30 min</x:v>
      </x:c>
      <x:c r="G55" s="43" t="str">
        <x:v>Calculado/modelado</x:v>
      </x:c>
      <x:c r="H55" s="43" t="str">
        <x:v>Cenário Base</x:v>
      </x:c>
      <x:c r="I55" s="43" t="str">
        <x:v>Fórmula D53 e D54</x:v>
      </x:c>
      <x:c r="J55" s="43" t="str">
        <x:v>Hub Santo Amaro</x:v>
      </x:c>
      <x:c r="K55" s="43" t="str">
        <x:v>Alta</x:v>
      </x:c>
      <x:c r="L55" s="43" t="str">
        <x:v>Não</x:v>
      </x:c>
      <x:c r="M55" s="43" t="str">
        <x:v>Ativo</x:v>
      </x:c>
      <x:c r="N55" s="52" t="n">
        <x:v>46246.625</x:v>
      </x:c>
      <x:c r="O55" s="43" t="str">
        <x:v>Resultado de 30 min no baseline.</x:v>
      </x:c>
    </x:row>
    <x:row r="56">
      <x:c r="A56" s="43" t="str">
        <x:v>ASIS-038</x:v>
      </x:c>
      <x:c r="B56" s="43" t="str">
        <x:v>Expedição</x:v>
      </x:c>
      <x:c r="C56" s="43" t="str">
        <x:v>Operadores simultâneos no carregamento</x:v>
      </x:c>
      <x:c r="D56" s="49" t="n">
        <x:v>6</x:v>
      </x:c>
      <x:c r="E56" s="43" t="str">
        <x:v>pessoas</x:v>
      </x:c>
      <x:c r="F56" s="43" t="str">
        <x:v>Seis pessoas participam da retirada</x:v>
      </x:c>
      <x:c r="G56" s="43" t="str">
        <x:v>Cenário confirmado</x:v>
      </x:c>
      <x:c r="H56" s="43" t="str">
        <x:v>Base Geral de Parâmetros.xlsx</x:v>
      </x:c>
      <x:c r="I56" s="43" t="str">
        <x:v>Parameters</x:v>
      </x:c>
      <x:c r="J56" s="43" t="str">
        <x:v>Hub Santo Amaro</x:v>
      </x:c>
      <x:c r="K56" s="43" t="str">
        <x:v>Alta</x:v>
      </x:c>
      <x:c r="L56" s="43" t="str">
        <x:v>Sim</x:v>
      </x:c>
      <x:c r="M56" s="43" t="str">
        <x:v>Ativo</x:v>
      </x:c>
      <x:c r="N56" s="52" t="n">
        <x:v>46246.625</x:v>
      </x:c>
      <x:c r="O56" s="43" t="str">
        <x:v>Confirmado para o baseline; simultaneidade ainda não cronometrada em campo.</x:v>
      </x:c>
    </x:row>
    <x:row r="57">
      <x:c r="A57" s="43" t="str">
        <x:v>ASIS-039</x:v>
      </x:c>
      <x:c r="B57" s="43" t="str">
        <x:v>Expedição</x:v>
      </x:c>
      <x:c r="C57" s="43" t="str">
        <x:v>Gatilho de retirada — papelão</x:v>
      </x:c>
      <x:c r="D57" s="49" t="n">
        <x:v>6400</x:v>
      </x:c>
      <x:c r="E57" s="43" t="str">
        <x:v>kg/retirada</x:v>
      </x:c>
      <x:c r="F57" s="43" t="str">
        <x:v>32 fardos × 200 kg/fardo</x:v>
      </x:c>
      <x:c r="G57" s="43" t="str">
        <x:v>Cenário confirmado</x:v>
      </x:c>
      <x:c r="H57" s="43" t="str">
        <x:v>Base Geral de Parâmetros.xlsx</x:v>
      </x:c>
      <x:c r="I57" s="43" t="str">
        <x:v>Parameters</x:v>
      </x:c>
      <x:c r="J57" s="43" t="str">
        <x:v>Hub Santo Amaro</x:v>
      </x:c>
      <x:c r="K57" s="43" t="str">
        <x:v>Alta</x:v>
      </x:c>
      <x:c r="L57" s="43" t="str">
        <x:v>Sim</x:v>
      </x:c>
      <x:c r="M57" s="43" t="str">
        <x:v>Ativo</x:v>
      </x:c>
      <x:c r="N57" s="52" t="n">
        <x:v>46246.625</x:v>
      </x:c>
      <x:c r="O57" s="43" t="str">
        <x:v>Acionar ao atingir 32 fardos.</x:v>
      </x:c>
    </x:row>
    <x:row r="58">
      <x:c r="A58" s="43" t="str">
        <x:v>ASIS-040</x:v>
      </x:c>
      <x:c r="B58" s="43" t="str">
        <x:v>Expedição</x:v>
      </x:c>
      <x:c r="C58" s="43" t="str">
        <x:v>Gatilho de retirada — plástico</x:v>
      </x:c>
      <x:c r="D58" s="49" t="n">
        <x:v>1900</x:v>
      </x:c>
      <x:c r="E58" s="43" t="str">
        <x:v>kg/retirada</x:v>
      </x:c>
      <x:c r="F58" s="43" t="str">
        <x:v>19 fardos × 100 kg/fardo</x:v>
      </x:c>
      <x:c r="G58" s="43" t="str">
        <x:v>Cenário confirmado</x:v>
      </x:c>
      <x:c r="H58" s="43" t="str">
        <x:v>Base Geral de Parâmetros.xlsx</x:v>
      </x:c>
      <x:c r="I58" s="43" t="str">
        <x:v>Parameters</x:v>
      </x:c>
      <x:c r="J58" s="43" t="str">
        <x:v>Hub Santo Amaro</x:v>
      </x:c>
      <x:c r="K58" s="43" t="str">
        <x:v>Alta</x:v>
      </x:c>
      <x:c r="L58" s="43" t="str">
        <x:v>Sim</x:v>
      </x:c>
      <x:c r="M58" s="43" t="str">
        <x:v>Ativo</x:v>
      </x:c>
      <x:c r="N58" s="52" t="n">
        <x:v>46246.625</x:v>
      </x:c>
      <x:c r="O58" s="43" t="str">
        <x:v>Acionar ao atingir 19 fardos.</x:v>
      </x:c>
    </x:row>
    <x:row r="59">
      <x:c r="A59" s="43" t="str">
        <x:v>ASIS-041</x:v>
      </x:c>
      <x:c r="B59" s="43" t="str">
        <x:v>Expedição</x:v>
      </x:c>
      <x:c r="C59" s="43" t="str">
        <x:v>Gatilho de retirada — longa vida</x:v>
      </x:c>
      <x:c r="D59" s="49" t="n">
        <x:v>6480</x:v>
      </x:c>
      <x:c r="E59" s="43" t="str">
        <x:v>kg/retirada</x:v>
      </x:c>
      <x:c r="F59" s="43" t="str">
        <x:v>54 fardos × 120 kg/fardo</x:v>
      </x:c>
      <x:c r="G59" s="43" t="str">
        <x:v>Cenário confirmado</x:v>
      </x:c>
      <x:c r="H59" s="43" t="str">
        <x:v>Base Geral de Parâmetros.xlsx</x:v>
      </x:c>
      <x:c r="I59" s="43" t="str">
        <x:v>Parameters</x:v>
      </x:c>
      <x:c r="J59" s="43" t="str">
        <x:v>Hub Santo Amaro</x:v>
      </x:c>
      <x:c r="K59" s="43" t="str">
        <x:v>Alta</x:v>
      </x:c>
      <x:c r="L59" s="43" t="str">
        <x:v>Sim</x:v>
      </x:c>
      <x:c r="M59" s="43" t="str">
        <x:v>Ativo</x:v>
      </x:c>
      <x:c r="N59" s="52" t="n">
        <x:v>46246.625</x:v>
      </x:c>
      <x:c r="O59" s="43" t="str">
        <x:v>Acionar ao atingir 54 fardos.</x:v>
      </x:c>
    </x:row>
    <x:row r="60">
      <x:c r="A60" s="43" t="str">
        <x:v>ASIS-042</x:v>
      </x:c>
      <x:c r="B60" s="43" t="str">
        <x:v>Expedição</x:v>
      </x:c>
      <x:c r="C60" s="43" t="str">
        <x:v>Veículo do parceiro</x:v>
      </x:c>
      <x:c r="D60" s="48" t="str">
        <x:v>Terceiro; não limitante</x:v>
      </x:c>
      <x:c r="E60" s="43" t="str">
        <x:v>regra</x:v>
      </x:c>
      <x:c r="F60" s="43" t="str">
        <x:v>Não aplicar frota, peso, volume ou disponibilidade do parceiro como gargalo desta etapa</x:v>
      </x:c>
      <x:c r="G60" s="43" t="str">
        <x:v>Informado pelo usuário</x:v>
      </x:c>
      <x:c r="H60" s="43" t="str">
        <x:v>Conversa de projeto</x:v>
      </x:c>
      <x:c r="I60" s="43" t="str">
        <x:v>30/07/2026</x:v>
      </x:c>
      <x:c r="J60" s="43" t="str">
        <x:v>Hub Santo Amaro</x:v>
      </x:c>
      <x:c r="K60" s="43" t="str">
        <x:v>Alta</x:v>
      </x:c>
      <x:c r="L60" s="43" t="str">
        <x:v>Sim</x:v>
      </x:c>
      <x:c r="M60" s="43" t="str">
        <x:v>Ativo</x:v>
      </x:c>
      <x:c r="N60" s="52" t="n">
        <x:v>46233.625</x:v>
      </x:c>
      <x:c r="O60" s="43" t="str">
        <x:v>O modelo mede apenas a cadência de retirada e o consumo da equipe interna; chegada/portão permanecem pendências de validação.</x:v>
      </x:c>
    </x:row>
    <x:row r="61">
      <x:c r="A61" s="43" t="str">
        <x:v>CAL-001</x:v>
      </x:c>
      <x:c r="B61" s="43" t="str">
        <x:v>Calendário</x:v>
      </x:c>
      <x:c r="C61" s="43" t="str">
        <x:v>Dias de segunda a sexta por semana</x:v>
      </x:c>
      <x:c r="D61" s="49" t="n">
        <x:v>5</x:v>
      </x:c>
      <x:c r="E61" s="43" t="str">
        <x:v>dias/semana</x:v>
      </x:c>
      <x:c r="F61" s="43" t="str">
        <x:v>Calendário semanal canônico</x:v>
      </x:c>
      <x:c r="G61" s="43" t="str">
        <x:v>Informado pelo usuário</x:v>
      </x:c>
      <x:c r="H61" s="43" t="str">
        <x:v>Conversa de projeto</x:v>
      </x:c>
      <x:c r="I61" s="43" t="str">
        <x:v>31/07/2026</x:v>
      </x:c>
      <x:c r="J61" s="43" t="str">
        <x:v>Transporte, Centros de Coleta e Hub</x:v>
      </x:c>
      <x:c r="K61" s="43" t="str">
        <x:v>Alta</x:v>
      </x:c>
      <x:c r="L61" s="43" t="str">
        <x:v>Sim</x:v>
      </x:c>
      <x:c r="M61" s="43" t="str">
        <x:v>Ativo</x:v>
      </x:c>
      <x:c r="N61" s="52" t="n">
        <x:v>46234.791666666664</x:v>
      </x:c>
      <x:c r="O61" s="43" t="str">
        <x:v>Todas as unidades operam de segunda a sexta das 08h às 17h.</x:v>
      </x:c>
    </x:row>
    <x:row r="62">
      <x:c r="A62" s="43" t="str">
        <x:v>CAL-002</x:v>
      </x:c>
      <x:c r="B62" s="43" t="str">
        <x:v>Calendário</x:v>
      </x:c>
      <x:c r="C62" s="43" t="str">
        <x:v>Janela de segunda a sexta — CCs e Hub</x:v>
      </x:c>
      <x:c r="D62" s="49" t="n">
        <x:v>540</x:v>
      </x:c>
      <x:c r="E62" s="43" t="str">
        <x:v>min/dia</x:v>
      </x:c>
      <x:c r="F62" s="43" t="str">
        <x:v>08h–17h com almoço revezado e sem parada coletiva</x:v>
      </x:c>
      <x:c r="G62" s="43" t="str">
        <x:v>Informado pelo usuário</x:v>
      </x:c>
      <x:c r="H62" s="43" t="str">
        <x:v>Conversa de projeto</x:v>
      </x:c>
      <x:c r="I62" s="43" t="str">
        <x:v>31/07/2026</x:v>
      </x:c>
      <x:c r="J62" s="43" t="str">
        <x:v>Centros de Coleta e Hub</x:v>
      </x:c>
      <x:c r="K62" s="43" t="str">
        <x:v>Alta</x:v>
      </x:c>
      <x:c r="L62" s="43" t="str">
        <x:v>Sim</x:v>
      </x:c>
      <x:c r="M62" s="43" t="str">
        <x:v>Ativo</x:v>
      </x:c>
      <x:c r="N62" s="52" t="n">
        <x:v>46234.791666666664</x:v>
      </x:c>
      <x:c r="O62" s="43" t="str">
        <x:v>Tempo de calendário antes das eficiências de CC e Hub. O Transporte usa a janela própria de 480 min/dia registrada em TRN-002.</x:v>
      </x:c>
    </x:row>
    <x:row r="63">
      <x:c r="A63" s="43" t="str">
        <x:v>CAL-003</x:v>
      </x:c>
      <x:c r="B63" s="43" t="str">
        <x:v>Calendário</x:v>
      </x:c>
      <x:c r="C63" s="43" t="str">
        <x:v>Sábados operacionais por semana</x:v>
      </x:c>
      <x:c r="D63" s="49" t="n">
        <x:v>1</x:v>
      </x:c>
      <x:c r="E63" s="43" t="str">
        <x:v>dia/semana</x:v>
      </x:c>
      <x:c r="F63" s="43" t="str">
        <x:v>Calendário semanal canônico</x:v>
      </x:c>
      <x:c r="G63" s="43" t="str">
        <x:v>Informado pelo usuário</x:v>
      </x:c>
      <x:c r="H63" s="43" t="str">
        <x:v>Conversa de projeto</x:v>
      </x:c>
      <x:c r="I63" s="43" t="str">
        <x:v>31/07/2026</x:v>
      </x:c>
      <x:c r="J63" s="43" t="str">
        <x:v>Transporte, Centros de Coleta e Hub</x:v>
      </x:c>
      <x:c r="K63" s="43" t="str">
        <x:v>Alta</x:v>
      </x:c>
      <x:c r="L63" s="43" t="str">
        <x:v>Sim</x:v>
      </x:c>
      <x:c r="M63" s="43" t="str">
        <x:v>Ativo</x:v>
      </x:c>
      <x:c r="N63" s="52" t="n">
        <x:v>46234.791666666664</x:v>
      </x:c>
      <x:c r="O63" s="43" t="str">
        <x:v>Não há operação aos domingos no cenário-base.</x:v>
      </x:c>
    </x:row>
    <x:row r="64">
      <x:c r="A64" s="43" t="str">
        <x:v>CAL-004</x:v>
      </x:c>
      <x:c r="B64" s="43" t="str">
        <x:v>Calendário</x:v>
      </x:c>
      <x:c r="C64" s="43" t="str">
        <x:v>Janela de sábado</x:v>
      </x:c>
      <x:c r="D64" s="49" t="n">
        <x:v>240</x:v>
      </x:c>
      <x:c r="E64" s="43" t="str">
        <x:v>min/sábado</x:v>
      </x:c>
      <x:c r="F64" s="43" t="str">
        <x:v>08h–12h</x:v>
      </x:c>
      <x:c r="G64" s="43" t="str">
        <x:v>Informado pelo usuário</x:v>
      </x:c>
      <x:c r="H64" s="43" t="str">
        <x:v>Conversa de projeto</x:v>
      </x:c>
      <x:c r="I64" s="43" t="str">
        <x:v>31/07/2026</x:v>
      </x:c>
      <x:c r="J64" s="43" t="str">
        <x:v>Transporte, Centros de Coleta e Hub</x:v>
      </x:c>
      <x:c r="K64" s="43" t="str">
        <x:v>Alta</x:v>
      </x:c>
      <x:c r="L64" s="43" t="str">
        <x:v>Sim</x:v>
      </x:c>
      <x:c r="M64" s="43" t="str">
        <x:v>Ativo</x:v>
      </x:c>
      <x:c r="N64" s="52" t="n">
        <x:v>46234.791666666664</x:v>
      </x:c>
      <x:c r="O64" s="43" t="str">
        <x:v>A última viagem pode terminar após 12h se tiver iniciado dentro da janela.</x:v>
      </x:c>
    </x:row>
    <x:row r="65">
      <x:c r="A65" s="43" t="str">
        <x:v>CAL-005</x:v>
      </x:c>
      <x:c r="B65" s="43" t="str">
        <x:v>Calendário</x:v>
      </x:c>
      <x:c r="C65" s="43" t="str">
        <x:v>Semanas de planejamento por ano</x:v>
      </x:c>
      <x:c r="D65" s="49" t="n">
        <x:v>52</x:v>
      </x:c>
      <x:c r="E65" s="43" t="str">
        <x:v>semanas/ano</x:v>
      </x:c>
      <x:c r="F65" s="43" t="str">
        <x:v>Conversão anual para semanal da demanda e das visitas</x:v>
      </x:c>
      <x:c r="G65" s="43" t="str">
        <x:v>Cenário confirmado</x:v>
      </x:c>
      <x:c r="H65" s="43" t="str">
        <x:v>Conversa de projeto</x:v>
      </x:c>
      <x:c r="I65" s="43" t="str">
        <x:v>01/08/2026</x:v>
      </x:c>
      <x:c r="J65" s="43" t="str">
        <x:v>Operação integrada</x:v>
      </x:c>
      <x:c r="K65" s="43" t="str">
        <x:v>Alta</x:v>
      </x:c>
      <x:c r="L65" s="43" t="str">
        <x:v>Sim</x:v>
      </x:c>
      <x:c r="M65" s="43" t="str">
        <x:v>Ativo</x:v>
      </x:c>
      <x:c r="N65" s="52" t="n">
        <x:v>46237.054814814815</x:v>
      </x:c>
      <x:c r="O65" s="43" t="str">
        <x:v>Baseline confirmado sem desconto de feriados, fechamentos ou paradas; frequência de atendimentos = registros válidos de 2025 ÷ 52.</x:v>
      </x:c>
    </x:row>
    <x:row r="66">
      <x:c r="A66" s="43" t="str">
        <x:v>EFF-CC</x:v>
      </x:c>
      <x:c r="B66" s="43" t="str">
        <x:v>Eficiência</x:v>
      </x:c>
      <x:c r="C66" s="43" t="str">
        <x:v>Eficiência dos Centros de Coleta</x:v>
      </x:c>
      <x:c r="D66" s="50" t="n">
        <x:v>1</x:v>
      </x:c>
      <x:c r="E66" s="43" t="str">
        <x:v>% do tempo</x:v>
      </x:c>
      <x:c r="F66" s="43" t="str">
        <x:v>Minutos efetivos dos CCs = operadores × janela semanal × eficiência dos CCs</x:v>
      </x:c>
      <x:c r="G66" s="43" t="str">
        <x:v>Cenário confirmado</x:v>
      </x:c>
      <x:c r="H66" s="43" t="str">
        <x:v>Base Geral de Parâmetros.xlsx</x:v>
      </x:c>
      <x:c r="I66" s="43" t="str">
        <x:v>Parameters</x:v>
      </x:c>
      <x:c r="J66" s="43" t="str">
        <x:v>Centros de Coleta</x:v>
      </x:c>
      <x:c r="K66" s="43" t="str">
        <x:v>Alta</x:v>
      </x:c>
      <x:c r="L66" s="43" t="str">
        <x:v>Sim</x:v>
      </x:c>
      <x:c r="M66" s="43" t="str">
        <x:v>Ativo</x:v>
      </x:c>
      <x:c r="N66" s="52" t="n">
        <x:v>46246.625</x:v>
      </x:c>
      <x:c r="O66" s="43" t="str">
        <x:v>Independente do Transporte e do Hub; aplicada uma única vez à disponibilidade.</x:v>
      </x:c>
    </x:row>
    <x:row r="67">
      <x:c r="A67" s="43" t="str">
        <x:v>EFF-HUB</x:v>
      </x:c>
      <x:c r="B67" s="43" t="str">
        <x:v>Eficiência</x:v>
      </x:c>
      <x:c r="C67" s="43" t="str">
        <x:v>Eficiência do Hub</x:v>
      </x:c>
      <x:c r="D67" s="50" t="n">
        <x:v>1</x:v>
      </x:c>
      <x:c r="E67" s="43" t="str">
        <x:v>% do tempo</x:v>
      </x:c>
      <x:c r="F67" s="43" t="str">
        <x:v>Disponibilidade efetiva do Hub = equipe e prensas × janela semanal × eficiência do Hub</x:v>
      </x:c>
      <x:c r="G67" s="43" t="str">
        <x:v>Cenário confirmado</x:v>
      </x:c>
      <x:c r="H67" s="43" t="str">
        <x:v>Base Geral de Parâmetros.xlsx</x:v>
      </x:c>
      <x:c r="I67" s="43" t="str">
        <x:v>Parameters</x:v>
      </x:c>
      <x:c r="J67" s="43" t="str">
        <x:v>Hub Santo Amaro</x:v>
      </x:c>
      <x:c r="K67" s="43" t="str">
        <x:v>Alta</x:v>
      </x:c>
      <x:c r="L67" s="43" t="str">
        <x:v>Sim</x:v>
      </x:c>
      <x:c r="M67" s="43" t="str">
        <x:v>Ativo</x:v>
      </x:c>
      <x:c r="N67" s="52" t="n">
        <x:v>46246.625</x:v>
      </x:c>
      <x:c r="O67" s="43" t="str">
        <x:v>Independente do Transporte e dos CCs; aplicada uma única vez à disponibilidade.</x:v>
      </x:c>
    </x:row>
    <x:row r="68">
      <x:c r="A68" s="43" t="str">
        <x:v>CC-OP-001</x:v>
      </x:c>
      <x:c r="B68" s="43" t="str">
        <x:v>Atendimento local</x:v>
      </x:c>
      <x:c r="C68" s="43" t="str">
        <x:v>Recepção por chegada física</x:v>
      </x:c>
      <x:c r="D68" s="48" t="n">
        <x:v>0.5</x:v>
      </x:c>
      <x:c r="E68" s="43" t="str">
        <x:v>min/chegada</x:v>
      </x:c>
      <x:c r="F68" s="43" t="str">
        <x:v>Tempo fixo por visita física</x:v>
      </x:c>
      <x:c r="G68" s="43" t="str">
        <x:v>Cenário confirmado</x:v>
      </x:c>
      <x:c r="H68" s="43" t="str">
        <x:v>Base Geral de Parâmetros.xlsx</x:v>
      </x:c>
      <x:c r="I68" s="43" t="str">
        <x:v>Parameters</x:v>
      </x:c>
      <x:c r="J68" s="43" t="str">
        <x:v>Todos os centros, inclusive Santo Amaro direto</x:v>
      </x:c>
      <x:c r="K68" s="43" t="str">
        <x:v>Alta</x:v>
      </x:c>
      <x:c r="L68" s="43" t="str">
        <x:v>Sim</x:v>
      </x:c>
      <x:c r="M68" s="43" t="str">
        <x:v>Ativo</x:v>
      </x:c>
      <x:c r="N68" s="52" t="n">
        <x:v>46246.625</x:v>
      </x:c>
      <x:c r="O68" s="43" t="str">
        <x:v>Quantidade oficial de chegadas é dividida por 52 semanas.</x:v>
      </x:c>
    </x:row>
    <x:row r="69">
      <x:c r="A69" s="43" t="str">
        <x:v>CC-OP-002</x:v>
      </x:c>
      <x:c r="B69" s="43" t="str">
        <x:v>Atendimento local</x:v>
      </x:c>
      <x:c r="C69" s="43" t="str">
        <x:v>Pesagem por chegada física</x:v>
      </x:c>
      <x:c r="D69" s="48" t="n">
        <x:v>0.5</x:v>
      </x:c>
      <x:c r="E69" s="43" t="str">
        <x:v>min/chegada</x:v>
      </x:c>
      <x:c r="F69" s="43" t="str">
        <x:v>Tempo fixo por visita física</x:v>
      </x:c>
      <x:c r="G69" s="43" t="str">
        <x:v>Informado pelo usuário</x:v>
      </x:c>
      <x:c r="H69" s="43" t="str">
        <x:v>Conversa de projeto</x:v>
      </x:c>
      <x:c r="I69" s="43" t="str">
        <x:v>31/07/2026</x:v>
      </x:c>
      <x:c r="J69" s="43" t="str">
        <x:v>Todos os centros, inclusive Santo Amaro direto</x:v>
      </x:c>
      <x:c r="K69" s="43" t="str">
        <x:v>Alta</x:v>
      </x:c>
      <x:c r="L69" s="43" t="str">
        <x:v>Sim</x:v>
      </x:c>
      <x:c r="M69" s="43" t="str">
        <x:v>Ativo</x:v>
      </x:c>
      <x:c r="N69" s="52" t="n">
        <x:v>46234.791666666664</x:v>
      </x:c>
      <x:c r="O69" s="43" t="str">
        <x:v>Uma balança por unidade; declarada não limitante.</x:v>
      </x:c>
    </x:row>
    <x:row r="70">
      <x:c r="A70" s="43" t="str">
        <x:v>CC-OP-003</x:v>
      </x:c>
      <x:c r="B70" s="43" t="str">
        <x:v>Atendimento local</x:v>
      </x:c>
      <x:c r="C70" s="43" t="str">
        <x:v>Registro por chegada física</x:v>
      </x:c>
      <x:c r="D70" s="48" t="n">
        <x:v>1</x:v>
      </x:c>
      <x:c r="E70" s="43" t="str">
        <x:v>min/chegada</x:v>
      </x:c>
      <x:c r="F70" s="43" t="str">
        <x:v>Tempo fixo por visita física</x:v>
      </x:c>
      <x:c r="G70" s="43" t="str">
        <x:v>Cenário confirmado</x:v>
      </x:c>
      <x:c r="H70" s="43" t="str">
        <x:v>Base Geral de Parâmetros.xlsx</x:v>
      </x:c>
      <x:c r="I70" s="43" t="str">
        <x:v>Parameters</x:v>
      </x:c>
      <x:c r="J70" s="43" t="str">
        <x:v>Todos os centros, inclusive Santo Amaro direto</x:v>
      </x:c>
      <x:c r="K70" s="43" t="str">
        <x:v>Alta</x:v>
      </x:c>
      <x:c r="L70" s="43" t="str">
        <x:v>Sim</x:v>
      </x:c>
      <x:c r="M70" s="43" t="str">
        <x:v>Ativo</x:v>
      </x:c>
      <x:c r="N70" s="52" t="n">
        <x:v>46246.625</x:v>
      </x:c>
      <x:c r="O70" s="43" t="str">
        <x:v>Registro ocorre depois da pesagem.</x:v>
      </x:c>
    </x:row>
    <x:row r="71">
      <x:c r="A71" s="43" t="str">
        <x:v>CC-OP-004</x:v>
      </x:c>
      <x:c r="B71" s="43" t="str">
        <x:v>Atendimento local</x:v>
      </x:c>
      <x:c r="C71" s="43" t="str">
        <x:v>Segregação e armazenagem por chegada</x:v>
      </x:c>
      <x:c r="D71" s="48" t="n">
        <x:v>2</x:v>
      </x:c>
      <x:c r="E71" s="43" t="str">
        <x:v>min/chegada</x:v>
      </x:c>
      <x:c r="F71" s="43" t="str">
        <x:v>Tempo fixo por visita física</x:v>
      </x:c>
      <x:c r="G71" s="43" t="str">
        <x:v>Informado pelo usuário</x:v>
      </x:c>
      <x:c r="H71" s="43" t="str">
        <x:v>Conversa de projeto</x:v>
      </x:c>
      <x:c r="I71" s="43" t="str">
        <x:v>31/07/2026</x:v>
      </x:c>
      <x:c r="J71" s="43" t="str">
        <x:v>Todos os centros, inclusive Santo Amaro direto</x:v>
      </x:c>
      <x:c r="K71" s="43" t="str">
        <x:v>Alta</x:v>
      </x:c>
      <x:c r="L71" s="43" t="str">
        <x:v>Sim</x:v>
      </x:c>
      <x:c r="M71" s="43" t="str">
        <x:v>Ativo</x:v>
      </x:c>
      <x:c r="N71" s="52" t="n">
        <x:v>46234.791666666664</x:v>
      </x:c>
      <x:c r="O71" s="43" t="str">
        <x:v>Termina com o material no estoque compartilhado da unidade.</x:v>
      </x:c>
    </x:row>
    <x:row r="72">
      <x:c r="A72" s="43" t="str">
        <x:v>CC-OP-005</x:v>
      </x:c>
      <x:c r="B72" s="43" t="str">
        <x:v>Atendimento local</x:v>
      </x:c>
      <x:c r="C72" s="43" t="str">
        <x:v>Ciclo total por chegada física</x:v>
      </x:c>
      <x:c r="D72" s="48" t="n">
        <x:f>SUM(D68:D71)</x:f>
        <x:v>4</x:v>
      </x:c>
      <x:c r="E72" s="43" t="str">
        <x:v>min/chegada</x:v>
      </x:c>
      <x:c r="F72" s="43" t="str">
        <x:v>Recepção + pesagem + registro + segregação/armazenagem</x:v>
      </x:c>
      <x:c r="G72" s="43" t="str">
        <x:v>Calculado/modelado</x:v>
      </x:c>
      <x:c r="H72" s="43" t="str">
        <x:v>Cenário Base</x:v>
      </x:c>
      <x:c r="I72" s="43" t="str">
        <x:v>Soma CC-OP-001 a CC-OP-004</x:v>
      </x:c>
      <x:c r="J72" s="43" t="str">
        <x:v>Todos os centros, inclusive Santo Amaro direto</x:v>
      </x:c>
      <x:c r="K72" s="43" t="str">
        <x:v>Alta</x:v>
      </x:c>
      <x:c r="L72" s="43" t="str">
        <x:v>Não</x:v>
      </x:c>
      <x:c r="M72" s="43" t="str">
        <x:v>Ativo</x:v>
      </x:c>
      <x:c r="N72" s="52" t="n">
        <x:v>46234.791666666664</x:v>
      </x:c>
      <x:c r="O72" s="43" t="str">
        <x:v>Tempo de tarefa não recebe multiplicação por eficiência.</x:v>
      </x:c>
    </x:row>
    <x:row r="73">
      <x:c r="A73" s="43" t="str">
        <x:v>CC-OP-006</x:v>
      </x:c>
      <x:c r="B73" s="43" t="str">
        <x:v>Pesagem</x:v>
      </x:c>
      <x:c r="C73" s="43" t="str">
        <x:v>Balanças por unidade</x:v>
      </x:c>
      <x:c r="D73" s="49" t="n">
        <x:v>1</x:v>
      </x:c>
      <x:c r="E73" s="43" t="str">
        <x:v>balança/centro</x:v>
      </x:c>
      <x:c r="F73" s="43" t="str">
        <x:v>Uma posição de pesagem por unidade</x:v>
      </x:c>
      <x:c r="G73" s="43" t="str">
        <x:v>Informado pelo usuário</x:v>
      </x:c>
      <x:c r="H73" s="43" t="str">
        <x:v>Conversa de projeto</x:v>
      </x:c>
      <x:c r="I73" s="43" t="str">
        <x:v>31/07/2026</x:v>
      </x:c>
      <x:c r="J73" s="43" t="str">
        <x:v>Todos os centros</x:v>
      </x:c>
      <x:c r="K73" s="43" t="str">
        <x:v>Alta</x:v>
      </x:c>
      <x:c r="L73" s="43" t="str">
        <x:v>Sim</x:v>
      </x:c>
      <x:c r="M73" s="43" t="str">
        <x:v>Ativo</x:v>
      </x:c>
      <x:c r="N73" s="52" t="n">
        <x:v>46234.791666666664</x:v>
      </x:c>
      <x:c r="O73" s="43" t="str">
        <x:v>Declarada não limitante no cenário as-is.</x:v>
      </x:c>
    </x:row>
    <x:row r="74">
      <x:c r="A74" s="43" t="str">
        <x:v>CC-STK-001</x:v>
      </x:c>
      <x:c r="B74" s="43" t="str">
        <x:v>Armazenagem</x:v>
      </x:c>
      <x:c r="C74" s="43" t="str">
        <x:v>Gatilho operacional de solicitação</x:v>
      </x:c>
      <x:c r="D74" s="50" t="n">
        <x:v>15</x:v>
      </x:c>
      <x:c r="E74" s="43" t="str">
        <x:v>m³</x:v>
      </x:c>
      <x:c r="F74" s="43" t="str">
        <x:v>Acionar a solicitação ao atingir 15 m³</x:v>
      </x:c>
      <x:c r="G74" s="43" t="str">
        <x:v>Cenário confirmado</x:v>
      </x:c>
      <x:c r="H74" s="43" t="str">
        <x:v>Base Geral de Parâmetros.xlsx</x:v>
      </x:c>
      <x:c r="I74" s="43" t="str">
        <x:v>Capacity Methodology</x:v>
      </x:c>
      <x:c r="J74" s="43" t="str">
        <x:v>Centros externos</x:v>
      </x:c>
      <x:c r="K74" s="43" t="str">
        <x:v>Alta</x:v>
      </x:c>
      <x:c r="L74" s="43" t="str">
        <x:v>Não</x:v>
      </x:c>
      <x:c r="M74" s="43" t="str">
        <x:v>Referência</x:v>
      </x:c>
      <x:c r="N74" s="52" t="n">
        <x:v>46246.625</x:v>
      </x:c>
      <x:c r="O74" s="43" t="str">
        <x:v>Política operacional fora do throughput agregado; usada na dinâmica SIMUL8/replay.</x:v>
      </x:c>
    </x:row>
    <x:row r="75">
      <x:c r="A75" s="43" t="str">
        <x:v>CC-PRS-001</x:v>
      </x:c>
      <x:c r="B75" s="43" t="str">
        <x:v>Prensagem local</x:v>
      </x:c>
      <x:c r="C75" s="43" t="str">
        <x:v>Prensas ativas nos Centros de Coleta</x:v>
      </x:c>
      <x:c r="D75" s="48" t="n">
        <x:v>0</x:v>
      </x:c>
      <x:c r="E75" s="43" t="str">
        <x:v>un.</x:v>
      </x:c>
      <x:c r="F75" s="43" t="str">
        <x:v>Sem prensagem local no cenário as-is</x:v>
      </x:c>
      <x:c r="G75" s="43" t="str">
        <x:v>Informado pelo usuário</x:v>
      </x:c>
      <x:c r="H75" s="43" t="str">
        <x:v>Conversa de projeto</x:v>
      </x:c>
      <x:c r="I75" s="43" t="str">
        <x:v>31/07/2026</x:v>
      </x:c>
      <x:c r="J75" s="43" t="str">
        <x:v>Cinco centros externos</x:v>
      </x:c>
      <x:c r="K75" s="43" t="str">
        <x:v>Alta</x:v>
      </x:c>
      <x:c r="L75" s="43" t="str">
        <x:v>Não</x:v>
      </x:c>
      <x:c r="M75" s="43" t="str">
        <x:v>Ativo</x:v>
      </x:c>
      <x:c r="N75" s="52" t="n">
        <x:v>46234.791666666664</x:v>
      </x:c>
      <x:c r="O75" s="43" t="str">
        <x:v>Cenário futuro confirmado: prensa pequena apta a todos os materiais; ainda definir centro/localização, ciclo, fardo, equipe e estoque.</x:v>
      </x:c>
    </x:row>
    <x:row r="76">
      <x:c r="A76" s="43" t="str">
        <x:v>HUB-STK-001</x:v>
      </x:c>
      <x:c r="B76" s="43" t="str">
        <x:v>Armazenagem</x:v>
      </x:c>
      <x:c r="C76" s="43" t="str">
        <x:v>Estoque compartilhado do Hub</x:v>
      </x:c>
      <x:c r="D76" s="48" t="n">
        <x:v>493</x:v>
      </x:c>
      <x:c r="E76" s="43" t="str">
        <x:v>m³</x:v>
      </x:c>
      <x:c r="F76" s="43" t="str">
        <x:v>Material solto e fardos usam a mesma capacidade física sem divisão fixa</x:v>
      </x:c>
      <x:c r="G76" s="43" t="str">
        <x:v>Cenário confirmado</x:v>
      </x:c>
      <x:c r="H76" s="43" t="str">
        <x:v>Base Geral de Parâmetros.xlsx</x:v>
      </x:c>
      <x:c r="I76" s="43" t="str">
        <x:v>Parameters</x:v>
      </x:c>
      <x:c r="J76" s="43" t="str">
        <x:v>Hub Santo Amaro</x:v>
      </x:c>
      <x:c r="K76" s="43" t="str">
        <x:v>Alta</x:v>
      </x:c>
      <x:c r="L76" s="43" t="str">
        <x:v>Sim</x:v>
      </x:c>
      <x:c r="M76" s="43" t="str">
        <x:v>Ativo</x:v>
      </x:c>
      <x:c r="N76" s="52" t="n">
        <x:v>46246.625</x:v>
      </x:c>
      <x:c r="O76" s="43" t="str">
        <x:v>As coberturas de material solto e fardos são leituras isoladas, não parcelas simultâneas.</x:v>
      </x:c>
    </x:row>
    <x:row r="77">
      <x:c r="A77" s="43" t="str">
        <x:v>HUB-DEM-001</x:v>
      </x:c>
      <x:c r="B77" s="43" t="str">
        <x:v>Demanda do hub</x:v>
      </x:c>
      <x:c r="C77" s="43" t="str">
        <x:v>Entrada direta anual de Santo Amaro</x:v>
      </x:c>
      <x:c r="D77" s="48" t="n">
        <x:v>14663.7</x:v>
      </x:c>
      <x:c r="E77" s="43" t="str">
        <x:v>kg/ano</x:v>
      </x:c>
      <x:c r="F77" s="43" t="str">
        <x:v>Fluxo local direto, sem viagem CC → Hub</x:v>
      </x:c>
      <x:c r="G77" s="43" t="str">
        <x:v>Observado/calculado</x:v>
      </x:c>
      <x:c r="H77" s="43" t="str">
        <x:v>Base Geral de Parâmetros.xlsx</x:v>
      </x:c>
      <x:c r="I77" s="43" t="str">
        <x:v>Volumes e Mixing</x:v>
      </x:c>
      <x:c r="J77" s="43" t="str">
        <x:v>Santo Amaro direto — recebimento local no Hub</x:v>
      </x:c>
      <x:c r="K77" s="43" t="str">
        <x:v>Alta</x:v>
      </x:c>
      <x:c r="L77" s="43" t="str">
        <x:v>Sim</x:v>
      </x:c>
      <x:c r="M77" s="43" t="str">
        <x:v>Ativo</x:v>
      </x:c>
      <x:c r="N77" s="52" t="n">
        <x:v>46246.625</x:v>
      </x:c>
      <x:c r="O77" s="43" t="str">
        <x:v>Soma oficial das massas de papelão, plástico e longa vida em Santo Amaro.</x:v>
      </x:c>
    </x:row>
    <x:row r="78">
      <x:c r="A78" s="43" t="str">
        <x:v>FUT-CC-001</x:v>
      </x:c>
      <x:c r="B78" s="43" t="str">
        <x:v>Cenário futuro</x:v>
      </x:c>
      <x:c r="C78" s="43" t="str">
        <x:v>Prensa pequena em Centro de Coleta</x:v>
      </x:c>
      <x:c r="D78" s="48" t="str">
        <x:v>Todos os materiais; a testar após as-is</x:v>
      </x:c>
      <x:c r="E78" s="43" t="str">
        <x:v>regra</x:v>
      </x:c>
      <x:c r="F78" s="43" t="str">
        <x:v>Comparar uma prensa pequena local apta a todos os materiais somente após validar a linha de base</x:v>
      </x:c>
      <x:c r="G78" s="43" t="str">
        <x:v>Cenário futuro</x:v>
      </x:c>
      <x:c r="H78" s="43" t="str">
        <x:v>Conversa de projeto</x:v>
      </x:c>
      <x:c r="I78" s="43" t="str">
        <x:v>31/07/2026</x:v>
      </x:c>
      <x:c r="J78" s="43" t="str">
        <x:v>Centro individual ou rede</x:v>
      </x:c>
      <x:c r="K78" s="43" t="str">
        <x:v>Média</x:v>
      </x:c>
      <x:c r="L78" s="43" t="str">
        <x:v>Sim</x:v>
      </x:c>
      <x:c r="M78" s="43" t="str">
        <x:v>Pendente</x:v>
      </x:c>
      <x:c r="N78" s="52" t="n">
        <x:v>46234.791666666664</x:v>
      </x:c>
      <x:c r="O78" s="43" t="str">
        <x:v>Aplicação a todos os materiais confirmada; pendem somente centro/localização, ciclo, fardo, equipe e estoque. Não participa do as-is.</x:v>
      </x:c>
    </x:row>
    <x:row r="79">
      <x:c r="A79" s="43" t="str">
        <x:v>HUB-STK-002</x:v>
      </x:c>
      <x:c r="B79" s="43" t="str">
        <x:v>Armazenagem</x:v>
      </x:c>
      <x:c r="C79" s="43" t="str">
        <x:v>Estoque físico total do Hub</x:v>
      </x:c>
      <x:c r="D79" s="48" t="n">
        <x:v>493</x:v>
      </x:c>
      <x:c r="E79" s="43" t="str">
        <x:v>m³</x:v>
      </x:c>
      <x:c r="F79" s="43" t="str">
        <x:v>Capacidade compartilhada entre material solto e fardos</x:v>
      </x:c>
      <x:c r="G79" s="43" t="str">
        <x:v>Cenário confirmado</x:v>
      </x:c>
      <x:c r="H79" s="43" t="str">
        <x:v>Base Geral de Parâmetros.xlsx</x:v>
      </x:c>
      <x:c r="I79" s="43" t="str">
        <x:v>Parameters</x:v>
      </x:c>
      <x:c r="J79" s="43" t="str">
        <x:v>Hub Santo Amaro</x:v>
      </x:c>
      <x:c r="K79" s="43" t="str">
        <x:v>Alta</x:v>
      </x:c>
      <x:c r="L79" s="43" t="str">
        <x:v>Sim</x:v>
      </x:c>
      <x:c r="M79" s="43" t="str">
        <x:v>Ativo</x:v>
      </x:c>
      <x:c r="N79" s="52" t="n">
        <x:v>46246.625</x:v>
      </x:c>
      <x:c r="O79" s="43" t="str">
        <x:v>Não existe divisão fixa oficial entre estoque intermediário e fardos.</x:v>
      </x:c>
    </x:row>
    <x:row r="80">
      <x:c r="A80" s="43" t="str">
        <x:v>HUB-STK-003</x:v>
      </x:c>
      <x:c r="B80" s="43" t="str">
        <x:v>Armazenagem</x:v>
      </x:c>
      <x:c r="C80" s="43" t="str">
        <x:v>Capacidade compartilhada disponível para fardos</x:v>
      </x:c>
      <x:c r="D80" s="48" t="n">
        <x:f>D79</x:f>
        <x:v>493</x:v>
      </x:c>
      <x:c r="E80" s="43" t="str">
        <x:v>m³</x:v>
      </x:c>
      <x:c r="F80" s="43" t="str">
        <x:v>Mesma capacidade física de HUB-STK-002; leitura isolada</x:v>
      </x:c>
      <x:c r="G80" s="43" t="str">
        <x:v>Calculado/modelado</x:v>
      </x:c>
      <x:c r="H80" s="43" t="str">
        <x:v>Cenário Base</x:v>
      </x:c>
      <x:c r="I80" s="43" t="str">
        <x:v>12/08/2026</x:v>
      </x:c>
      <x:c r="J80" s="43" t="str">
        <x:v>Hub Santo Amaro</x:v>
      </x:c>
      <x:c r="K80" s="43" t="str">
        <x:v>Alta</x:v>
      </x:c>
      <x:c r="L80" s="43" t="str">
        <x:v>Não</x:v>
      </x:c>
      <x:c r="M80" s="43" t="str">
        <x:v>Ativo</x:v>
      </x:c>
      <x:c r="N80" s="52" t="n">
        <x:v>46246.625</x:v>
      </x:c>
      <x:c r="O80" s="43" t="str">
        <x:v>Não somar com HUB-STK-001/002; representa uma leitura alternativa de cobertura.</x:v>
      </x:c>
    </x:row>
    <x:row r="81">
      <x:c r="A81" s="43" t="str">
        <x:v>CC-MON-001</x:v>
      </x:c>
      <x:c r="B81" s="43" t="str">
        <x:v>Armazenagem</x:v>
      </x:c>
      <x:c r="C81" s="43" t="str">
        <x:v>Carga de trabalho do monitoramento visual de estoque</x:v>
      </x:c>
      <x:c r="D81" s="48" t="n">
        <x:v>0</x:v>
      </x:c>
      <x:c r="E81" s="43" t="str">
        <x:v>op-min/semana</x:v>
      </x:c>
      <x:c r="F81" s="43" t="str">
        <x:v>Acompanhamento visual estimado; não limita a capacidade RCCP</x:v>
      </x:c>
      <x:c r="G81" s="43" t="str">
        <x:v>Cenário confirmado</x:v>
      </x:c>
      <x:c r="H81" s="43" t="str">
        <x:v>Conversa de projeto</x:v>
      </x:c>
      <x:c r="I81" s="43" t="str">
        <x:v>31/07/2026</x:v>
      </x:c>
      <x:c r="J81" s="43" t="str">
        <x:v>Centros de Coleta</x:v>
      </x:c>
      <x:c r="K81" s="43" t="str">
        <x:v>Alta</x:v>
      </x:c>
      <x:c r="L81" s="43" t="str">
        <x:v>Não</x:v>
      </x:c>
      <x:c r="M81" s="43" t="str">
        <x:v>Ativo</x:v>
      </x:c>
      <x:c r="N81" s="52" t="n">
        <x:v>46234.791666666664</x:v>
      </x:c>
      <x:c r="O81" s="43" t="str">
        <x:v>O monitoramento orienta a solicitação, mas não consome capacidade na calculadora agregada.</x:v>
      </x:c>
    </x:row>
    <x:row r="82">
      <x:c r="A82" s="43" t="str">
        <x:v>TRN-POL-001</x:v>
      </x:c>
      <x:c r="B82" s="43" t="str">
        <x:v>Política agregada</x:v>
      </x:c>
      <x:c r="C82" s="43" t="str">
        <x:v>Prioridade de coleta</x:v>
      </x:c>
      <x:c r="D82" s="48" t="str">
        <x:v>Maior ocupação do estoque</x:v>
      </x:c>
      <x:c r="E82" s="43" t="str">
        <x:v>regra</x:v>
      </x:c>
      <x:c r="F82" s="43" t="str">
        <x:v>Ordenar centros pela razão estoque atual ÷ capacidade física</x:v>
      </x:c>
      <x:c r="G82" s="43" t="str">
        <x:v>Cenário confirmado</x:v>
      </x:c>
      <x:c r="H82" s="43" t="str">
        <x:v>Conversa de projeto</x:v>
      </x:c>
      <x:c r="I82" s="43" t="str">
        <x:v>31/07/2026</x:v>
      </x:c>
      <x:c r="J82" s="43" t="str">
        <x:v>Centros de Coleta</x:v>
      </x:c>
      <x:c r="K82" s="43" t="str">
        <x:v>Alta</x:v>
      </x:c>
      <x:c r="L82" s="43" t="str">
        <x:v>Não</x:v>
      </x:c>
      <x:c r="M82" s="43" t="str">
        <x:v>Ativo</x:v>
      </x:c>
      <x:c r="N82" s="52" t="n">
        <x:v>46234.791666666664</x:v>
      </x:c>
      <x:c r="O82" s="43" t="str">
        <x:v>Política documentada; o sequenciamento evento a evento será validado no SIMUL8.</x:v>
      </x:c>
    </x:row>
    <x:row r="83">
      <x:c r="A83" s="43" t="str">
        <x:v>TRN-POL-002</x:v>
      </x:c>
      <x:c r="B83" s="43" t="str">
        <x:v>Política agregada</x:v>
      </x:c>
      <x:c r="C83" s="43" t="str">
        <x:v>Quantidade retirada do centro</x:v>
      </x:c>
      <x:c r="D83" s="48" t="str">
        <x:v>Material de maior volume que couber</x:v>
      </x:c>
      <x:c r="E83" s="43" t="str">
        <x:v>regra</x:v>
      </x:c>
      <x:c r="F83" s="43" t="str">
        <x:v>Priorizar o material com maior volume; carga limitada por volume e peso</x:v>
      </x:c>
      <x:c r="G83" s="43" t="str">
        <x:v>Cenário confirmado</x:v>
      </x:c>
      <x:c r="H83" s="43" t="str">
        <x:v>Base Geral de Parâmetros.xlsx</x:v>
      </x:c>
      <x:c r="I83" s="43" t="str">
        <x:v>Capacity Methodology</x:v>
      </x:c>
      <x:c r="J83" s="43" t="str">
        <x:v>Coleta nos Centros de Coleta</x:v>
      </x:c>
      <x:c r="K83" s="43" t="str">
        <x:v>Alta</x:v>
      </x:c>
      <x:c r="L83" s="43" t="str">
        <x:v>Não</x:v>
      </x:c>
      <x:c r="M83" s="43" t="str">
        <x:v>Ativo</x:v>
      </x:c>
      <x:c r="N83" s="52" t="n">
        <x:v>46246.625</x:v>
      </x:c>
      <x:c r="O83" s="43" t="str">
        <x:v>A solicitação ocorre a 15 m³ e não altera a capacidade agregada RCCP.</x:v>
      </x:c>
    </x:row>
    <x:row r="84">
      <x:c r="A84" s="43" t="str">
        <x:v>TRN-POL-003</x:v>
      </x:c>
      <x:c r="B84" s="43" t="str">
        <x:v>Política agregada</x:v>
      </x:c>
      <x:c r="C84" s="43" t="str">
        <x:v>Destino após a coleta</x:v>
      </x:c>
      <x:c r="D84" s="48" t="str">
        <x:v>Retorno ao Hub Santo Amaro</x:v>
      </x:c>
      <x:c r="E84" s="43" t="str">
        <x:v>regra</x:v>
      </x:c>
      <x:c r="F84" s="43" t="str">
        <x:v>Ciclo-base = Hub → um CC → Hub</x:v>
      </x:c>
      <x:c r="G84" s="43" t="str">
        <x:v>Cenário confirmado</x:v>
      </x:c>
      <x:c r="H84" s="43" t="str">
        <x:v>Conversa de projeto</x:v>
      </x:c>
      <x:c r="I84" s="43" t="str">
        <x:v>31/07/2026</x:v>
      </x:c>
      <x:c r="J84" s="43" t="str">
        <x:v>Transporte</x:v>
      </x:c>
      <x:c r="K84" s="43" t="str">
        <x:v>Alta</x:v>
      </x:c>
      <x:c r="L84" s="43" t="str">
        <x:v>Não</x:v>
      </x:c>
      <x:c r="M84" s="43" t="str">
        <x:v>Ativo</x:v>
      </x:c>
      <x:c r="N84" s="52" t="n">
        <x:v>46234.791666666664</x:v>
      </x:c>
      <x:c r="O84" s="43" t="str">
        <x:v>Coleta em mais de um centro na mesma viagem permanece cenário futuro.</x:v>
      </x:c>
    </x:row>
    <x:row r="85">
      <x:c r="A85" s="43" t="str">
        <x:v>TRN-TIME-001</x:v>
      </x:c>
      <x:c r="B85" s="43" t="str">
        <x:v>Trânsito</x:v>
      </x:c>
      <x:c r="C85" s="43" t="str">
        <x:v>Tempo médio agregado por sentido</x:v>
      </x:c>
      <x:c r="D85" s="48" t="n">
        <x:f>'Rotas'!$B$13</x:f>
        <x:v>32.78116099684062</x:v>
      </x:c>
      <x:c r="E85" s="43" t="str">
        <x:v>min/sentido</x:v>
      </x:c>
      <x:c r="F85" s="43" t="str">
        <x:v>Média triangular ponderada pela demanda dos cinco centros</x:v>
      </x:c>
      <x:c r="G85" s="43" t="str">
        <x:v>Calculado/modelado</x:v>
      </x:c>
      <x:c r="H85" s="43" t="str">
        <x:v>Matriz corrigida + Demanda Centros</x:v>
      </x:c>
      <x:c r="I85" s="43" t="str">
        <x:v>31/07/2026</x:v>
      </x:c>
      <x:c r="J85" s="43" t="str">
        <x:v>Transporte RCCP</x:v>
      </x:c>
      <x:c r="K85" s="43" t="str">
        <x:v>Alta</x:v>
      </x:c>
      <x:c r="L85" s="43" t="str">
        <x:v>Não</x:v>
      </x:c>
      <x:c r="M85" s="43" t="str">
        <x:v>Ativo</x:v>
      </x:c>
      <x:c r="N85" s="52" t="n">
        <x:v>46234.791666666664</x:v>
      </x:c>
      <x:c r="O85" s="43" t="str">
        <x:v>Indicador-base da calculadora; a matriz por centro permanece disponível para sensibilidade e SIMUL8.</x:v>
      </x:c>
    </x:row>
    <x:row r="86">
      <x:c r="A86" s="43" t="str">
        <x:v>HUB-TRI-001</x:v>
      </x:c>
      <x:c r="B86" s="43" t="str">
        <x:v>Triagem de cargas vindas dos CCs</x:v>
      </x:c>
      <x:c r="C86" s="43" t="str">
        <x:v>Pessoas simultâneas nessa triagem</x:v>
      </x:c>
      <x:c r="D86" s="48" t="n">
        <x:v>1</x:v>
      </x:c>
      <x:c r="E86" s="43" t="str">
        <x:v>pessoa/carga</x:v>
      </x:c>
      <x:c r="F86" s="43" t="str">
        <x:v>Referência usada quando o tempo de triagem é maior que zero</x:v>
      </x:c>
      <x:c r="G86" s="43" t="str">
        <x:v>Cenário confirmado</x:v>
      </x:c>
      <x:c r="H86" s="43" t="str">
        <x:v>Solicitação do usuário — 12/08/2026</x:v>
      </x:c>
      <x:c r="I86" s="43" t="str">
        <x:v>Calculadora RCCP</x:v>
      </x:c>
      <x:c r="J86" s="43" t="str">
        <x:v>Hub Santo Amaro</x:v>
      </x:c>
      <x:c r="K86" s="43" t="str">
        <x:v>Alta</x:v>
      </x:c>
      <x:c r="L86" s="43" t="str">
        <x:v>Não</x:v>
      </x:c>
      <x:c r="M86" s="43" t="str">
        <x:v>Ativo</x:v>
      </x:c>
      <x:c r="N86" s="52" t="n">
        <x:v>46246.625</x:v>
      </x:c>
      <x:c r="O86" s="43" t="str">
        <x:v>Com 0 min/carga no baseline, o consumo permanece em zero operador-minuto por semana.</x:v>
      </x:c>
    </x:row>
    <x:row r="87">
      <x:c r="A87" s="43" t="str">
        <x:v>RCCP-SCP-001</x:v>
      </x:c>
      <x:c r="B87" s="43" t="str">
        <x:v>Escopo</x:v>
      </x:c>
      <x:c r="C87" s="43" t="str">
        <x:v>Fronteira da ferramenta</x:v>
      </x:c>
      <x:c r="D87" s="48" t="str">
        <x:v>Calculadora de capacidade agregada RCCP</x:v>
      </x:c>
      <x:c r="E87" s="43" t="str">
        <x:v>regra</x:v>
      </x:c>
      <x:c r="F87" s="43" t="str">
        <x:v>Cenários de tempo, demanda, equipe, eficiência, volume, estoque, rotas agregadas e capacidade; sem eventos discretos</x:v>
      </x:c>
      <x:c r="G87" s="43" t="str">
        <x:v>Cenário confirmado</x:v>
      </x:c>
      <x:c r="H87" s="43" t="str">
        <x:v>Conversa de projeto</x:v>
      </x:c>
      <x:c r="I87" s="43" t="str">
        <x:v>31/07/2026</x:v>
      </x:c>
      <x:c r="J87" s="43" t="str">
        <x:v>Operação integrada</x:v>
      </x:c>
      <x:c r="K87" s="43" t="str">
        <x:v>Alta</x:v>
      </x:c>
      <x:c r="L87" s="43" t="str">
        <x:v>Não</x:v>
      </x:c>
      <x:c r="M87" s="43" t="str">
        <x:v>Ativo</x:v>
      </x:c>
      <x:c r="N87" s="52" t="n">
        <x:v>46234.791666666664</x:v>
      </x:c>
      <x:c r="O87" s="43" t="str">
        <x:v>Não substitui o SIMUL8, que será usado para validar filas, sequenciamento, roteamento detalhado e dinâmica temporal.</x:v>
      </x:c>
    </x:row>
    <x:row r="88">
      <x:c r="A88" s="43" t="str">
        <x:v>TRN-CLOSE-001</x:v>
      </x:c>
      <x:c r="B88" s="43" t="str">
        <x:v>Calendário</x:v>
      </x:c>
      <x:c r="C88" s="43" t="str">
        <x:v>Viagem iniciada antes do fechamento pode terminar depois</x:v>
      </x:c>
      <x:c r="D88" s="48" t="str">
        <x:v>Não</x:v>
      </x:c>
      <x:c r="E88" s="43" t="str">
        <x:v>regra</x:v>
      </x:c>
      <x:c r="F88" s="43" t="str">
        <x:v>Contar somente ciclos completos: piso(minutos disponíveis ÷ ciclo médio)</x:v>
      </x:c>
      <x:c r="G88" s="43" t="str">
        <x:v>Cenário confirmado</x:v>
      </x:c>
      <x:c r="H88" s="43" t="str">
        <x:v>Modelo vigente</x:v>
      </x:c>
      <x:c r="I88" s="43" t="str">
        <x:v>19/08/2026</x:v>
      </x:c>
      <x:c r="J88" s="43" t="str">
        <x:v>Transporte</x:v>
      </x:c>
      <x:c r="K88" s="43" t="str">
        <x:v>Alta</x:v>
      </x:c>
      <x:c r="L88" s="43" t="str">
        <x:v>Não</x:v>
      </x:c>
      <x:c r="M88" s="43" t="str">
        <x:v>Ativo</x:v>
      </x:c>
      <x:c r="N88" s="52" t="n">
        <x:v>46253.625</x:v>
      </x:c>
      <x:c r="O88" s="43" t="str">
        <x:v>Aplica-se aos dias úteis e ao sábado; regra já incorporada ao v14 e preservada no v15.</x:v>
      </x:c>
    </x:row>
  </x:sheetData>
  <x:mergeCells>
    <x:mergeCell ref="A1:O1"/>
    <x:mergeCell ref="A2:O2"/>
  </x:mergeCells>
  <x:dataValidations count="2">
    <x:dataValidation type="list" sqref="G4:G88">
      <x:formula1>"Observado,Calculado,Informado pelo usuário,Cenário,Cenário confirmado,Observado/modelado,Calculado/modelado,Cenário/modelagem,Referência"</x:formula1>
    </x:dataValidation>
    <x:dataValidation type="list" sqref="M4:M88">
      <x:formula1>"Ativo,Informativo,Referência,Pendente,Substituído"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1" hidden="0" customWidth="1"/>
    <x:col min="4" max="4" width="21" hidden="0" customWidth="1"/>
    <x:col min="5" max="5" width="33" hidden="0" customWidth="1"/>
    <x:col min="6" max="6" width="20" hidden="0" customWidth="1"/>
    <x:col min="7" max="7" width="34" hidden="0" customWidth="1"/>
    <x:col min="8" max="8" width="35" hidden="0" customWidth="1"/>
    <x:col min="9" max="9" width="16" hidden="0" customWidth="1"/>
    <x:col min="10" max="10" width="39" hidden="0" customWidth="1"/>
    <x:col min="11" max="11" width="13" hidden="0" customWidth="1"/>
    <x:col min="12" max="12" width="12" hidden="0" customWidth="1"/>
    <x:col min="13" max="13" width="14" hidden="0" customWidth="1"/>
    <x:col min="14" max="14" width="14" hidden="0" customWidth="1"/>
    <x:col min="15" max="15" width="42" hidden="0" customWidth="1"/>
    <x:col min="16" max="16" width="23" hidden="0" customWidth="1"/>
  </x:cols>
  <x:sheetData>
    <x:row r="1" ht="30" customHeight="1">
      <x:c r="A1" s="4" t="str">
        <x:v>Demanda dos Centros Externos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8" customHeight="1">
      <x:c r="A2" s="8" t="str">
        <x:v>Massa e quantidade anuais oficiais da Base Geral de Parâmetros, ano-base 2025. A demanda semanal é sempre massa anual ÷ 52; a média diária abaixo divide a semana operacional por seis e não usa o campo de anualização de capacidade.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3" ht="30" customHeight="1">
      <x:c r="A3" s="14" t="str">
        <x:v>ID</x:v>
      </x:c>
      <x:c r="B3" s="14" t="str">
        <x:v>Centro</x:v>
      </x:c>
      <x:c r="C3" s="14" t="str">
        <x:v>Demanda anual (kg/ano)</x:v>
      </x:c>
      <x:c r="D3" s="14" t="str">
        <x:v>Demanda média por dia da semana-base (kg/dia)</x:v>
      </x:c>
      <x:c r="E3" s="14" t="str">
        <x:v>Regra/Fórmula</x:v>
      </x:c>
      <x:c r="F3" s="14" t="str">
        <x:v>Classificação</x:v>
      </x:c>
      <x:c r="G3" s="14" t="str">
        <x:v>Fonte</x:v>
      </x:c>
      <x:c r="H3" s="14" t="str">
        <x:v>Localização/Contexto</x:v>
      </x:c>
      <x:c r="I3" s="14" t="str">
        <x:v>Período</x:v>
      </x:c>
      <x:c r="J3" s="14" t="str">
        <x:v>Escopo</x:v>
      </x:c>
      <x:c r="K3" s="14" t="str">
        <x:v>Confiança</x:v>
      </x:c>
      <x:c r="L3" s="14" t="str">
        <x:v>Editável?</x:v>
      </x:c>
      <x:c r="M3" s="14" t="str">
        <x:v>Status</x:v>
      </x:c>
      <x:c r="N3" s="14" t="str">
        <x:v>Data de inclusão</x:v>
      </x:c>
      <x:c r="O3" s="14" t="str">
        <x:v>Observação</x:v>
      </x:c>
      <x:c r="P3" s="14" t="str">
        <x:v>Demanda semanal (kg/semana)</x:v>
      </x:c>
    </x:row>
    <x:row r="4">
      <x:c r="A4" s="43" t="str">
        <x:v>DEM-001</x:v>
      </x:c>
      <x:c r="B4" s="43" t="str">
        <x:v>Pinheiros</x:v>
      </x:c>
      <x:c r="C4" s="48" t="n">
        <x:v>147173.14</x:v>
      </x:c>
      <x:c r="D4" s="48" t="n">
        <x:f>P4/6</x:f>
        <x:v>471.70878205128207</x:v>
      </x:c>
      <x:c r="E4" s="43" t="str">
        <x:v>Demanda semanal ÷ 6 dias</x:v>
      </x:c>
      <x:c r="F4" s="43" t="str">
        <x:v>Observado/calculado</x:v>
      </x:c>
      <x:c r="G4" s="43" t="str">
        <x:v>Base Geral de Parâmetros.xlsx</x:v>
      </x:c>
      <x:c r="H4" s="43" t="str">
        <x:v>Volumes e Mixing; massa anual por centro e família</x:v>
      </x:c>
      <x:c r="I4" s="43" t="str">
        <x:v>2025</x:v>
      </x:c>
      <x:c r="J4" s="43" t="str">
        <x:v>Centro externo; papelão, plástico e longa vida</x:v>
      </x:c>
      <x:c r="K4" s="43" t="str">
        <x:v>Alta</x:v>
      </x:c>
      <x:c r="L4" s="43" t="str">
        <x:v>Sim</x:v>
      </x:c>
      <x:c r="M4" s="43" t="str">
        <x:v>Ativo</x:v>
      </x:c>
      <x:c r="N4" s="52" t="n">
        <x:v>46237.054814814815</x:v>
      </x:c>
      <x:c r="O4" s="43" t="str">
        <x:v>Soma das três famílias oficiais; a calculadora divide por 52 semanas e mantém o campo editável.</x:v>
      </x:c>
      <x:c r="P4" s="48" t="n">
        <x:f>C4/'Cenário Base'!$D$65</x:f>
        <x:v>2830.2526923076925</x:v>
      </x:c>
    </x:row>
    <x:row r="5">
      <x:c r="A5" s="43" t="str">
        <x:v>DEM-002</x:v>
      </x:c>
      <x:c r="B5" s="43" t="str">
        <x:v>Jabaquara</x:v>
      </x:c>
      <x:c r="C5" s="48" t="n">
        <x:v>109932.89</x:v>
      </x:c>
      <x:c r="D5" s="48" t="n">
        <x:f>P5/6</x:f>
        <x:v>352.3490064102564</x:v>
      </x:c>
      <x:c r="E5" s="43" t="str">
        <x:v>Demanda semanal ÷ 6 dias</x:v>
      </x:c>
      <x:c r="F5" s="43" t="str">
        <x:v>Observado/calculado</x:v>
      </x:c>
      <x:c r="G5" s="43" t="str">
        <x:v>Base Geral de Parâmetros.xlsx</x:v>
      </x:c>
      <x:c r="H5" s="43" t="str">
        <x:v>Volumes e Mixing; massa anual por centro e família</x:v>
      </x:c>
      <x:c r="I5" s="43" t="str">
        <x:v>2025</x:v>
      </x:c>
      <x:c r="J5" s="43" t="str">
        <x:v>Centro externo; papelão, plástico e longa vida</x:v>
      </x:c>
      <x:c r="K5" s="43" t="str">
        <x:v>Alta</x:v>
      </x:c>
      <x:c r="L5" s="43" t="str">
        <x:v>Sim</x:v>
      </x:c>
      <x:c r="M5" s="43" t="str">
        <x:v>Ativo</x:v>
      </x:c>
      <x:c r="N5" s="52" t="n">
        <x:v>46237.054814814815</x:v>
      </x:c>
      <x:c r="O5" s="43" t="str">
        <x:v>Soma das três famílias oficiais; a calculadora divide por 52 semanas e mantém o campo editável.</x:v>
      </x:c>
      <x:c r="P5" s="48" t="n">
        <x:f>C5/'Cenário Base'!$D$65</x:f>
        <x:v>2114.0940384615383</x:v>
      </x:c>
    </x:row>
    <x:row r="6">
      <x:c r="A6" s="43" t="str">
        <x:v>DEM-003</x:v>
      </x:c>
      <x:c r="B6" s="43" t="str">
        <x:v>Paraisópolis</x:v>
      </x:c>
      <x:c r="C6" s="48" t="n">
        <x:v>23807.45</x:v>
      </x:c>
      <x:c r="D6" s="48" t="n">
        <x:f>P6/6</x:f>
        <x:v>76.30592948717948</x:v>
      </x:c>
      <x:c r="E6" s="43" t="str">
        <x:v>Demanda semanal ÷ 6 dias</x:v>
      </x:c>
      <x:c r="F6" s="43" t="str">
        <x:v>Observado/calculado</x:v>
      </x:c>
      <x:c r="G6" s="43" t="str">
        <x:v>Base Geral de Parâmetros.xlsx</x:v>
      </x:c>
      <x:c r="H6" s="43" t="str">
        <x:v>Volumes e Mixing; massa anual por centro e família</x:v>
      </x:c>
      <x:c r="I6" s="43" t="str">
        <x:v>2025</x:v>
      </x:c>
      <x:c r="J6" s="43" t="str">
        <x:v>Centro externo; papelão, plástico e longa vida</x:v>
      </x:c>
      <x:c r="K6" s="43" t="str">
        <x:v>Alta</x:v>
      </x:c>
      <x:c r="L6" s="43" t="str">
        <x:v>Sim</x:v>
      </x:c>
      <x:c r="M6" s="43" t="str">
        <x:v>Ativo</x:v>
      </x:c>
      <x:c r="N6" s="52" t="n">
        <x:v>46237.054814814815</x:v>
      </x:c>
      <x:c r="O6" s="43" t="str">
        <x:v>Soma das três famílias oficiais; a calculadora divide por 52 semanas e mantém o campo editável.</x:v>
      </x:c>
      <x:c r="P6" s="48" t="n">
        <x:f>C6/'Cenário Base'!$D$65</x:f>
        <x:v>457.8355769230769</x:v>
      </x:c>
    </x:row>
    <x:row r="7">
      <x:c r="A7" s="43" t="str">
        <x:v>DEM-004</x:v>
      </x:c>
      <x:c r="B7" s="43" t="str">
        <x:v>Brooklin</x:v>
      </x:c>
      <x:c r="C7" s="48" t="n">
        <x:v>19129.19</x:v>
      </x:c>
      <x:c r="D7" s="48" t="n">
        <x:f>P7/6</x:f>
        <x:v>61.311506410256406</x:v>
      </x:c>
      <x:c r="E7" s="43" t="str">
        <x:v>Demanda semanal ÷ 6 dias</x:v>
      </x:c>
      <x:c r="F7" s="43" t="str">
        <x:v>Observado/calculado</x:v>
      </x:c>
      <x:c r="G7" s="43" t="str">
        <x:v>Base Geral de Parâmetros.xlsx</x:v>
      </x:c>
      <x:c r="H7" s="43" t="str">
        <x:v>Volumes e Mixing; massa anual por centro e família</x:v>
      </x:c>
      <x:c r="I7" s="43" t="str">
        <x:v>2025</x:v>
      </x:c>
      <x:c r="J7" s="43" t="str">
        <x:v>Centro externo; papelão, plástico e longa vida</x:v>
      </x:c>
      <x:c r="K7" s="43" t="str">
        <x:v>Alta</x:v>
      </x:c>
      <x:c r="L7" s="43" t="str">
        <x:v>Sim</x:v>
      </x:c>
      <x:c r="M7" s="43" t="str">
        <x:v>Ativo</x:v>
      </x:c>
      <x:c r="N7" s="52" t="n">
        <x:v>46237.054814814815</x:v>
      </x:c>
      <x:c r="O7" s="43" t="str">
        <x:v>Soma das três famílias oficiais; a calculadora divide por 52 semanas e mantém o campo editável.</x:v>
      </x:c>
      <x:c r="P7" s="48" t="n">
        <x:f>C7/'Cenário Base'!$D$65</x:f>
        <x:v>367.8690384615384</x:v>
      </x:c>
    </x:row>
    <x:row r="8">
      <x:c r="A8" s="43" t="str">
        <x:v>DEM-005</x:v>
      </x:c>
      <x:c r="B8" s="43" t="str">
        <x:v>Embu das Artes</x:v>
      </x:c>
      <x:c r="C8" s="48" t="n">
        <x:v>82373.53</x:v>
      </x:c>
      <x:c r="D8" s="48" t="n">
        <x:f>P8/6</x:f>
        <x:v>264.01772435897436</x:v>
      </x:c>
      <x:c r="E8" s="43" t="str">
        <x:v>Demanda semanal ÷ 6 dias</x:v>
      </x:c>
      <x:c r="F8" s="43" t="str">
        <x:v>Observado/calculado</x:v>
      </x:c>
      <x:c r="G8" s="43" t="str">
        <x:v>Base Geral de Parâmetros.xlsx</x:v>
      </x:c>
      <x:c r="H8" s="43" t="str">
        <x:v>Volumes e Mixing; massa anual por centro e família</x:v>
      </x:c>
      <x:c r="I8" s="43" t="str">
        <x:v>2025</x:v>
      </x:c>
      <x:c r="J8" s="43" t="str">
        <x:v>Centro externo; papelão e longa vida; plástico com massa zero</x:v>
      </x:c>
      <x:c r="K8" s="43" t="str">
        <x:v>Alta</x:v>
      </x:c>
      <x:c r="L8" s="43" t="str">
        <x:v>Sim</x:v>
      </x:c>
      <x:c r="M8" s="43" t="str">
        <x:v>Ativo</x:v>
      </x:c>
      <x:c r="N8" s="52" t="n">
        <x:v>46237.054814814815</x:v>
      </x:c>
      <x:c r="O8" s="43" t="str">
        <x:v>Soma das famílias oficiais; a calculadora divide por 52 semanas e mantém o campo editável.</x:v>
      </x:c>
      <x:c r="P8" s="48" t="n">
        <x:f>C8/'Cenário Base'!$D$65</x:f>
        <x:v>1584.106346153846</x:v>
      </x:c>
    </x:row>
    <x:row r="9">
      <x:c r="A9" s="59" t="str">
        <x:v>DEM-TOT</x:v>
      </x:c>
      <x:c r="B9" s="59" t="str">
        <x:v>Total dos cinco centros</x:v>
      </x:c>
      <x:c r="C9" s="60" t="n">
        <x:f>SUM(C4:C8)</x:f>
        <x:v>382416.20000000007</x:v>
      </x:c>
      <x:c r="D9" s="60" t="n">
        <x:f>SUM(D4:D8)</x:f>
        <x:v>1225.6929487179486</x:v>
      </x:c>
      <x:c r="E9" s="59" t="str">
        <x:v>Soma das linhas DEM-001 a DEM-005</x:v>
      </x:c>
      <x:c r="F9" s="59" t="str">
        <x:v>Calculado</x:v>
      </x:c>
      <x:c r="G9" s="59" t="str">
        <x:v>Soma da Base Geral de Parâmetros, ano-base 2025</x:v>
      </x:c>
      <x:c r="H9" s="59" t="str">
        <x:v>Aba Demanda Centros</x:v>
      </x:c>
      <x:c r="I9" s="59" t="str">
        <x:v>2025/modelo</x:v>
      </x:c>
      <x:c r="J9" s="59" t="str">
        <x:v>Cinco centros externos</x:v>
      </x:c>
      <x:c r="K9" s="59" t="str">
        <x:v>Média</x:v>
      </x:c>
      <x:c r="L9" s="59" t="str">
        <x:v>Não</x:v>
      </x:c>
      <x:c r="M9" s="59" t="str">
        <x:v>Ativo</x:v>
      </x:c>
      <x:c r="N9" s="61" t="n">
        <x:v>46231.625</x:v>
      </x:c>
      <x:c r="O9" s="59" t="str">
        <x:v>Não inclui Santo Amaro direto.</x:v>
      </x:c>
      <x:c r="P9" s="60" t="n">
        <x:f>SUM(P4:P8)</x:f>
        <x:v>7354.157692307692</x:v>
      </x:c>
    </x:row>
    <x:row r="11" ht="32" customHeight="1">
      <x:c r="A11" s="47" t="str">
        <x:v>A demanda semanal = massa anual do cenário-base oficial ÷ 52 e não muda quando os dias trabalhados/ano são editados. A média diária divide a demanda semanal por seis para preservar a semana-base de cinco dias úteis mais sábado. Não misturar o total dos cinco centros externos com o total do Hub, que também recebe Santo Amaro direto.</x:v>
      </x:c>
      <x:c r="B11" s="47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</x:row>
  </x:sheetData>
  <x:mergeCells>
    <x:mergeCell ref="A1:P1"/>
    <x:mergeCell ref="A2:P2"/>
    <x:mergeCell ref="A11:P11"/>
  </x:mergeCells>
  <x:dataValidations count="2">
    <x:dataValidation type="list" sqref="F4:F9">
      <x:formula1>"Observado,Calculado,Informado pelo usuário,Cenário,Calculado/modelado"</x:formula1>
    </x:dataValidation>
    <x:dataValidation type="list" sqref="M4:M9">
      <x:formula1>"Ativo,Pendente,Substituído"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18" hidden="0" customWidth="1"/>
    <x:col min="4" max="4" width="22" hidden="0" customWidth="1"/>
    <x:col min="5" max="5" width="22" hidden="0" customWidth="1"/>
    <x:col min="6" max="6" width="19" hidden="0" customWidth="1"/>
    <x:col min="7" max="7" width="19" hidden="0" customWidth="1"/>
    <x:col min="8" max="8" width="22" hidden="0" customWidth="1"/>
    <x:col min="9" max="9" width="16" hidden="0" customWidth="1"/>
    <x:col min="10" max="10" width="40" hidden="0" customWidth="1"/>
    <x:col min="12" max="12" width="24" hidden="0" customWidth="1"/>
    <x:col min="13" max="13" width="20" hidden="0" customWidth="1"/>
    <x:col min="14" max="14" width="20" hidden="0" customWidth="1"/>
    <x:col min="15" max="15" width="27" hidden="0" customWidth="1"/>
    <x:col min="16" max="16" width="20" hidden="0" customWidth="1"/>
  </x:cols>
  <x:sheetData>
    <x:row r="1" ht="30" customHeight="1">
      <x:c r="A1" s="4" t="str">
        <x:v>Densidades Aparentes por Centro e Material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8" customHeight="1">
      <x:c r="A2" s="8" t="str">
        <x:v>Parâmetros fornecidos para a etapa Caminhão, em kg/m³. A calculadora usa massa ÷ densidade por material para obter o volume semanal de cada centro; não são constantes físicas universais.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3" ht="30" customHeight="1">
      <x:c r="A3" s="14" t="str">
        <x:v>Centro</x:v>
      </x:c>
      <x:c r="B3" s="14" t="str">
        <x:v>Material</x:v>
      </x:c>
      <x:c r="C3" s="14" t="str">
        <x:v>Massa anual (kg)</x:v>
      </x:c>
      <x:c r="D3" s="14" t="str">
        <x:v>Densidade aparente (kg/m³)</x:v>
      </x:c>
      <x:c r="E3" s="14" t="str">
        <x:v>Volume anual calculado (m³)</x:v>
      </x:c>
      <x:c r="F3" s="14" t="str">
        <x:v>Massa semanal (kg)</x:v>
      </x:c>
      <x:c r="G3" s="14" t="str">
        <x:v>Volume semanal (m³)</x:v>
      </x:c>
      <x:c r="H3" s="14" t="str">
        <x:v>Participação na massa do centro</x:v>
      </x:c>
      <x:c r="I3" s="14" t="str">
        <x:v>Status</x:v>
      </x:c>
      <x:c r="J3" s="14" t="str">
        <x:v>Evidência</x:v>
      </x:c>
      <x:c r="L3" s="14" t="str">
        <x:v>Centro/escopo</x:v>
      </x:c>
      <x:c r="M3" s="14" t="str">
        <x:v>Massa anual (kg)</x:v>
      </x:c>
      <x:c r="N3" s="14" t="str">
        <x:v>Volume anual (m³)</x:v>
      </x:c>
      <x:c r="O3" s="14" t="str">
        <x:v>Densidade aparente do mix (kg/m³)</x:v>
      </x:c>
      <x:c r="P3" s="14" t="str">
        <x:v>Volume semanal (m³)</x:v>
      </x:c>
    </x:row>
    <x:row r="4">
      <x:c r="A4" s="43" t="str">
        <x:v>Pinheiros</x:v>
      </x:c>
      <x:c r="B4" s="43" t="str">
        <x:v>Papelão</x:v>
      </x:c>
      <x:c r="C4" s="62" t="n">
        <x:v>117610.53</x:v>
      </x:c>
      <x:c r="D4" s="62" t="n">
        <x:v>64.82</x:v>
      </x:c>
      <x:c r="E4" s="62" t="n">
        <x:f>IF(D4=0,0,C4/D4)</x:f>
        <x:v>1814.4173094723853</x:v>
      </x:c>
      <x:c r="F4" s="62" t="n">
        <x:f>C4/'Cenário Base'!$D$65</x:f>
        <x:v>2261.7409615384613</x:v>
      </x:c>
      <x:c r="G4" s="62" t="n">
        <x:f>E4/'Cenário Base'!$D$65</x:f>
        <x:v>34.89264056677664</x:v>
      </x:c>
      <x:c r="H4" s="50" t="n">
        <x:f>IF(SUM($C$4:$C$6)=0,0,C4/SUM($C$4:$C$6))</x:f>
        <x:v>0.7991303983865533</x:v>
      </x:c>
      <x:c r="I4" s="43" t="str">
        <x:v>Ativo</x:v>
      </x:c>
      <x:c r="J4" s="43" t="str">
        <x:v>Massa: Base Geral de Parâmetros; densidade: tabela da etapa Caminhão fornecida em 19/08/2026</x:v>
      </x:c>
      <x:c r="L4" s="43" t="str">
        <x:v>Pinheiros</x:v>
      </x:c>
      <x:c r="M4" s="62" t="n">
        <x:f>SUM(C4:C6)</x:f>
        <x:v>147173.14</x:v>
      </x:c>
      <x:c r="N4" s="62" t="n">
        <x:f>SUM(E4:E6)</x:f>
        <x:v>2600.0047015516802</x:v>
      </x:c>
      <x:c r="O4" s="62" t="n">
        <x:f>IF(N4=0,0,M4/N4)</x:f>
        <x:v>56.604951488036626</x:v>
      </x:c>
      <x:c r="P4" s="62" t="n">
        <x:f>N4/'Cenário Base'!$D$65</x:f>
        <x:v>50.000090414455386</x:v>
      </x:c>
    </x:row>
    <x:row r="5">
      <x:c r="A5" s="43" t="str">
        <x:v>Pinheiros</x:v>
      </x:c>
      <x:c r="B5" s="43" t="str">
        <x:v>Plástico</x:v>
      </x:c>
      <x:c r="C5" s="62" t="n">
        <x:v>25677.22</x:v>
      </x:c>
      <x:c r="D5" s="62" t="n">
        <x:v>34.54</x:v>
      </x:c>
      <x:c r="E5" s="62" t="n">
        <x:f>IF(D5=0,0,C5/D5)</x:f>
        <x:v>743.4053271569196</x:v>
      </x:c>
      <x:c r="F5" s="62" t="n">
        <x:f>C5/'Cenário Base'!$D$65</x:f>
        <x:v>493.79269230769233</x:v>
      </x:c>
      <x:c r="G5" s="62" t="n">
        <x:f>E5/'Cenário Base'!$D$65</x:f>
        <x:v>14.296256291479223</x:v>
      </x:c>
      <x:c r="H5" s="50" t="n">
        <x:f>IF(SUM($C$4:$C$6)=0,0,C5/SUM($C$4:$C$6))</x:f>
        <x:v>0.17446947180715175</x:v>
      </x:c>
      <x:c r="I5" s="43" t="str">
        <x:v>Ativo</x:v>
      </x:c>
      <x:c r="J5" s="43" t="str">
        <x:v>Massa: Base Geral de Parâmetros; densidade: tabela da etapa Caminhão fornecida em 19/08/2026</x:v>
      </x:c>
      <x:c r="L5" s="43" t="str">
        <x:v>Jabaquara</x:v>
      </x:c>
      <x:c r="M5" s="62" t="n">
        <x:f>SUM(C7:C9)</x:f>
        <x:v>109932.89</x:v>
      </x:c>
      <x:c r="N5" s="62" t="n">
        <x:f>SUM(E7:E9)</x:f>
        <x:v>2079.847057175567</x:v>
      </x:c>
      <x:c r="O5" s="62" t="n">
        <x:f>IF(N5=0,0,M5/N5)</x:f>
        <x:v>52.85623749146675</x:v>
      </x:c>
      <x:c r="P5" s="62" t="n">
        <x:f>N5/'Cenário Base'!$D$65</x:f>
        <x:v>39.99705879183783</x:v>
      </x:c>
    </x:row>
    <x:row r="6">
      <x:c r="A6" s="43" t="str">
        <x:v>Pinheiros</x:v>
      </x:c>
      <x:c r="B6" s="43" t="str">
        <x:v>Longa vida</x:v>
      </x:c>
      <x:c r="C6" s="62" t="n">
        <x:v>3885.39</x:v>
      </x:c>
      <x:c r="D6" s="62" t="n">
        <x:v>92.11</x:v>
      </x:c>
      <x:c r="E6" s="62" t="n">
        <x:f>IF(D6=0,0,C6/D6)</x:f>
        <x:v>42.18206492237542</x:v>
      </x:c>
      <x:c r="F6" s="62" t="n">
        <x:f>C6/'Cenário Base'!$D$65</x:f>
        <x:v>74.71903846153846</x:v>
      </x:c>
      <x:c r="G6" s="62" t="n">
        <x:f>E6/'Cenário Base'!$D$65</x:f>
        <x:v>0.8111935561995273</x:v>
      </x:c>
      <x:c r="H6" s="50" t="n">
        <x:f>IF(SUM($C$4:$C$6)=0,0,C6/SUM($C$4:$C$6))</x:f>
        <x:v>0.026400129806294814</x:v>
      </x:c>
      <x:c r="I6" s="43" t="str">
        <x:v>Ativo</x:v>
      </x:c>
      <x:c r="J6" s="43" t="str">
        <x:v>Massa: Base Geral de Parâmetros; densidade: tabela da etapa Caminhão fornecida em 19/08/2026</x:v>
      </x:c>
      <x:c r="L6" s="43" t="str">
        <x:v>Paraisópolis</x:v>
      </x:c>
      <x:c r="M6" s="62" t="n">
        <x:f>SUM(C10:C12)</x:f>
        <x:v>23807.45</x:v>
      </x:c>
      <x:c r="N6" s="62" t="n">
        <x:f>SUM(E10:E12)</x:f>
        <x:v>1039.9916426579528</x:v>
      </x:c>
      <x:c r="O6" s="62" t="n">
        <x:f>IF(N6=0,0,M6/N6)</x:f>
        <x:v>22.891962803810852</x:v>
      </x:c>
      <x:c r="P6" s="62" t="n">
        <x:f>N6/'Cenário Base'!$D$65</x:f>
        <x:v>19.999839281883705</x:v>
      </x:c>
    </x:row>
    <x:row r="7">
      <x:c r="A7" s="43" t="str">
        <x:v>Jabaquara</x:v>
      </x:c>
      <x:c r="B7" s="43" t="str">
        <x:v>Papelão</x:v>
      </x:c>
      <x:c r="C7" s="62" t="n">
        <x:v>85463.69</x:v>
      </x:c>
      <x:c r="D7" s="62" t="n">
        <x:v>49.2</x:v>
      </x:c>
      <x:c r="E7" s="62" t="n">
        <x:f>IF(D7=0,0,C7/D7)</x:f>
        <x:v>1737.0668699186992</x:v>
      </x:c>
      <x:c r="F7" s="62" t="n">
        <x:f>C7/'Cenário Base'!$D$65</x:f>
        <x:v>1643.5325</x:v>
      </x:c>
      <x:c r="G7" s="62" t="n">
        <x:f>E7/'Cenário Base'!$D$65</x:f>
        <x:v>33.40513211382114</x:v>
      </x:c>
      <x:c r="H7" s="50" t="n">
        <x:f>IF(SUM($C$7:$C$9)=0,0,C7/SUM($C$7:$C$9))</x:f>
        <x:v>0.7774169313660362</x:v>
      </x:c>
      <x:c r="I7" s="43" t="str">
        <x:v>Ativo</x:v>
      </x:c>
      <x:c r="J7" s="43" t="str">
        <x:v>Massa: Base Geral de Parâmetros; densidade: tabela da etapa Caminhão fornecida em 19/08/2026</x:v>
      </x:c>
      <x:c r="L7" s="43" t="str">
        <x:v>Brooklin</x:v>
      </x:c>
      <x:c r="M7" s="62" t="n">
        <x:f>SUM(C13:C15)</x:f>
        <x:v>19129.190000000002</x:v>
      </x:c>
      <x:c r="N7" s="62" t="n">
        <x:f>SUM(E13:E15)</x:f>
        <x:v>1039.9138490668347</x:v>
      </x:c>
      <x:c r="O7" s="62" t="n">
        <x:f>IF(N7=0,0,M7/N7)</x:f>
        <x:v>18.394975715695637</x:v>
      </x:c>
      <x:c r="P7" s="62" t="n">
        <x:f>N7/'Cenário Base'!$D$65</x:f>
        <x:v>19.998343251285284</x:v>
      </x:c>
    </x:row>
    <x:row r="8">
      <x:c r="A8" s="43" t="str">
        <x:v>Jabaquara</x:v>
      </x:c>
      <x:c r="B8" s="43" t="str">
        <x:v>Plástico</x:v>
      </x:c>
      <x:c r="C8" s="62" t="n">
        <x:v>21259.44</x:v>
      </x:c>
      <x:c r="D8" s="62" t="n">
        <x:v>73.13</x:v>
      </x:c>
      <x:c r="E8" s="62" t="n">
        <x:f>IF(D8=0,0,C8/D8)</x:f>
        <x:v>290.7075071789963</x:v>
      </x:c>
      <x:c r="F8" s="62" t="n">
        <x:f>C8/'Cenário Base'!$D$65</x:f>
        <x:v>408.8353846153846</x:v>
      </x:c>
      <x:c r="G8" s="62" t="n">
        <x:f>E8/'Cenário Base'!$D$65</x:f>
        <x:v>5.590528984211468</x:v>
      </x:c>
      <x:c r="H8" s="50" t="n">
        <x:f>IF(SUM($C$7:$C$9)=0,0,C8/SUM($C$7:$C$9))</x:f>
        <x:v>0.19338561917184202</x:v>
      </x:c>
      <x:c r="I8" s="43" t="str">
        <x:v>Ativo</x:v>
      </x:c>
      <x:c r="J8" s="43" t="str">
        <x:v>Massa: Base Geral de Parâmetros; densidade: tabela da etapa Caminhão fornecida em 19/08/2026</x:v>
      </x:c>
      <x:c r="L8" s="43" t="str">
        <x:v>Embu das Artes</x:v>
      </x:c>
      <x:c r="M8" s="62" t="n">
        <x:f>SUM(C16:C18)</x:f>
        <x:v>82373.53</x:v>
      </x:c>
      <x:c r="N8" s="62" t="n">
        <x:f>SUM(E16:E18)</x:f>
        <x:v>1112.329318331343</x:v>
      </x:c>
      <x:c r="O8" s="62" t="n">
        <x:f>IF(N8=0,0,M8/N8)</x:f>
        <x:v>74.05498411529094</x:v>
      </x:c>
      <x:c r="P8" s="62" t="n">
        <x:f>N8/'Cenário Base'!$D$65</x:f>
        <x:v>21.390948429448905</x:v>
      </x:c>
    </x:row>
    <x:row r="9">
      <x:c r="A9" s="43" t="str">
        <x:v>Jabaquara</x:v>
      </x:c>
      <x:c r="B9" s="43" t="str">
        <x:v>Longa vida</x:v>
      </x:c>
      <x:c r="C9" s="62" t="n">
        <x:v>3209.76</x:v>
      </x:c>
      <x:c r="D9" s="62" t="n">
        <x:v>61.64</x:v>
      </x:c>
      <x:c r="E9" s="62" t="n">
        <x:f>IF(D9=0,0,C9/D9)</x:f>
        <x:v>52.07268007787152</x:v>
      </x:c>
      <x:c r="F9" s="62" t="n">
        <x:f>C9/'Cenário Base'!$D$65</x:f>
        <x:v>61.72615384615385</x:v>
      </x:c>
      <x:c r="G9" s="62" t="n">
        <x:f>E9/'Cenário Base'!$D$65</x:f>
        <x:v>1.0013976938052216</x:v>
      </x:c>
      <x:c r="H9" s="50" t="n">
        <x:f>IF(SUM($C$7:$C$9)=0,0,C9/SUM($C$7:$C$9))</x:f>
        <x:v>0.029197449462121848</x:v>
      </x:c>
      <x:c r="I9" s="43" t="str">
        <x:v>Ativo</x:v>
      </x:c>
      <x:c r="J9" s="43" t="str">
        <x:v>Massa: Base Geral de Parâmetros; densidade: tabela da etapa Caminhão fornecida em 19/08/2026</x:v>
      </x:c>
      <x:c r="L9" s="43" t="str">
        <x:v>Santo Amaro direto</x:v>
      </x:c>
      <x:c r="M9" s="62" t="n">
        <x:f>SUM(C19:C21)</x:f>
        <x:v>14663.699999999999</x:v>
      </x:c>
      <x:c r="N9" s="62" t="n">
        <x:f>SUM(E19:E21)</x:f>
        <x:v>309.2380569851881</x:v>
      </x:c>
      <x:c r="O9" s="62" t="n">
        <x:f>IF(N9=0,0,M9/N9)</x:f>
        <x:v>47.41880783678045</x:v>
      </x:c>
      <x:c r="P9" s="62" t="n">
        <x:f>N9/'Cenário Base'!$D$65</x:f>
        <x:v>5.946885711253618</x:v>
      </x:c>
    </x:row>
    <x:row r="10">
      <x:c r="A10" s="43" t="str">
        <x:v>Paraisópolis</x:v>
      </x:c>
      <x:c r="B10" s="43" t="str">
        <x:v>Papelão</x:v>
      </x:c>
      <x:c r="C10" s="62" t="n">
        <x:v>14817.1</x:v>
      </x:c>
      <x:c r="D10" s="62" t="n">
        <x:v>31.12</x:v>
      </x:c>
      <x:c r="E10" s="62" t="n">
        <x:f>IF(D10=0,0,C10/D10)</x:f>
        <x:v>476.12789203084833</x:v>
      </x:c>
      <x:c r="F10" s="62" t="n">
        <x:f>C10/'Cenário Base'!$D$65</x:f>
        <x:v>284.9442307692308</x:v>
      </x:c>
      <x:c r="G10" s="62" t="n">
        <x:f>E10/'Cenário Base'!$D$65</x:f>
        <x:v>9.156305615977853</x:v>
      </x:c>
      <x:c r="H10" s="50" t="n">
        <x:f>IF(SUM($C$10:$C$12)=0,0,C10/SUM($C$10:$C$12))</x:f>
        <x:v>0.6223724086367922</x:v>
      </x:c>
      <x:c r="I10" s="43" t="str">
        <x:v>Ativo</x:v>
      </x:c>
      <x:c r="J10" s="43" t="str">
        <x:v>Massa: Base Geral de Parâmetros; densidade: tabela da etapa Caminhão fornecida em 19/08/2026</x:v>
      </x:c>
      <x:c r="L10" s="59" t="str">
        <x:v>Rede externa (5 CCs)</x:v>
      </x:c>
      <x:c r="M10" s="64" t="n">
        <x:f>SUM(M4:M8)</x:f>
        <x:v>382416.20000000007</x:v>
      </x:c>
      <x:c r="N10" s="64" t="n">
        <x:f>SUM(N4:N8)</x:f>
        <x:v>7872.0865687833775</x:v>
      </x:c>
      <x:c r="O10" s="64" t="n">
        <x:f>IF(N10=0,0,M10/N10)</x:f>
        <x:v>48.57875947610445</x:v>
      </x:c>
      <x:c r="P10" s="64" t="n">
        <x:f>SUM(P4:P8)</x:f>
        <x:v>151.38628016891113</x:v>
      </x:c>
    </x:row>
    <x:row r="11">
      <x:c r="A11" s="43" t="str">
        <x:v>Paraisópolis</x:v>
      </x:c>
      <x:c r="B11" s="43" t="str">
        <x:v>Plástico</x:v>
      </x:c>
      <x:c r="C11" s="62" t="n">
        <x:v>7651.55</x:v>
      </x:c>
      <x:c r="D11" s="62" t="n">
        <x:v>14.46</x:v>
      </x:c>
      <x:c r="E11" s="62" t="n">
        <x:f>IF(D11=0,0,C11/D11)</x:f>
        <x:v>529.1528354080222</x:v>
      </x:c>
      <x:c r="F11" s="62" t="n">
        <x:f>C11/'Cenário Base'!$D$65</x:f>
        <x:v>147.1451923076923</x:v>
      </x:c>
      <x:c r="G11" s="62" t="n">
        <x:f>E11/'Cenário Base'!$D$65</x:f>
        <x:v>10.176016065538887</x:v>
      </x:c>
      <x:c r="H11" s="50" t="n">
        <x:f>IF(SUM($C$10:$C$12)=0,0,C11/SUM($C$10:$C$12))</x:f>
        <x:v>0.3213930933384298</x:v>
      </x:c>
      <x:c r="I11" s="43" t="str">
        <x:v>Ativo</x:v>
      </x:c>
      <x:c r="J11" s="43" t="str">
        <x:v>Massa: Base Geral de Parâmetros; densidade: tabela da etapa Caminhão fornecida em 19/08/2026</x:v>
      </x:c>
    </x:row>
    <x:row r="12">
      <x:c r="A12" s="43" t="str">
        <x:v>Paraisópolis</x:v>
      </x:c>
      <x:c r="B12" s="43" t="str">
        <x:v>Longa vida</x:v>
      </x:c>
      <x:c r="C12" s="62" t="n">
        <x:v>1338.8</x:v>
      </x:c>
      <x:c r="D12" s="62" t="n">
        <x:v>38.57</x:v>
      </x:c>
      <x:c r="E12" s="62" t="n">
        <x:f>IF(D12=0,0,C12/D12)</x:f>
        <x:v>34.71091521908219</x:v>
      </x:c>
      <x:c r="F12" s="62" t="n">
        <x:f>C12/'Cenário Base'!$D$65</x:f>
        <x:v>25.746153846153845</x:v>
      </x:c>
      <x:c r="G12" s="62" t="n">
        <x:f>E12/'Cenário Base'!$D$65</x:f>
        <x:v>0.6675176003669652</x:v>
      </x:c>
      <x:c r="H12" s="50" t="n">
        <x:f>IF(SUM($C$10:$C$12)=0,0,C12/SUM($C$10:$C$12))</x:f>
        <x:v>0.05623449802477795</x:v>
      </x:c>
      <x:c r="I12" s="43" t="str">
        <x:v>Ativo</x:v>
      </x:c>
      <x:c r="J12" s="43" t="str">
        <x:v>Massa: Base Geral de Parâmetros; densidade: tabela da etapa Caminhão fornecida em 19/08/2026</x:v>
      </x:c>
    </x:row>
    <x:row r="13">
      <x:c r="A13" s="43" t="str">
        <x:v>Brooklin</x:v>
      </x:c>
      <x:c r="B13" s="43" t="str">
        <x:v>Papelão</x:v>
      </x:c>
      <x:c r="C13" s="62" t="n">
        <x:v>16448.58</x:v>
      </x:c>
      <x:c r="D13" s="62" t="n">
        <x:v>17</x:v>
      </x:c>
      <x:c r="E13" s="62" t="n">
        <x:f>IF(D13=0,0,C13/D13)</x:f>
        <x:v>967.5635294117648</x:v>
      </x:c>
      <x:c r="F13" s="62" t="n">
        <x:f>C13/'Cenário Base'!$D$65</x:f>
        <x:v>316.3188461538462</x:v>
      </x:c>
      <x:c r="G13" s="62" t="n">
        <x:f>E13/'Cenário Base'!$D$65</x:f>
        <x:v>18.606990950226244</x:v>
      </x:c>
      <x:c r="H13" s="50" t="n">
        <x:f>IF(SUM($C$13:$C$15)=0,0,C13/SUM($C$13:$C$15))</x:f>
        <x:v>0.8598680864166229</x:v>
      </x:c>
      <x:c r="I13" s="43" t="str">
        <x:v>Ativo</x:v>
      </x:c>
      <x:c r="J13" s="43" t="str">
        <x:v>Massa: Base Geral de Parâmetros; densidade: tabela da etapa Caminhão fornecida em 19/08/2026</x:v>
      </x:c>
    </x:row>
    <x:row r="14">
      <x:c r="A14" s="43" t="str">
        <x:v>Brooklin</x:v>
      </x:c>
      <x:c r="B14" s="43" t="str">
        <x:v>Plástico</x:v>
      </x:c>
      <x:c r="C14" s="62" t="n">
        <x:v>2284.66</x:v>
      </x:c>
      <x:c r="D14" s="62" t="n">
        <x:v>33.63</x:v>
      </x:c>
      <x:c r="E14" s="62" t="n">
        <x:f>IF(D14=0,0,C14/D14)</x:f>
        <x:v>67.93517692536425</x:v>
      </x:c>
      <x:c r="F14" s="62" t="n">
        <x:f>C14/'Cenário Base'!$D$65</x:f>
        <x:v>43.935769230769225</x:v>
      </x:c>
      <x:c r="G14" s="62" t="n">
        <x:f>E14/'Cenário Base'!$D$65</x:f>
        <x:v>1.3064457101031586</x:v>
      </x:c>
      <x:c r="H14" s="50" t="n">
        <x:f>IF(SUM($C$13:$C$15)=0,0,C14/SUM($C$13:$C$15))</x:f>
        <x:v>0.11943318039080586</x:v>
      </x:c>
      <x:c r="I14" s="43" t="str">
        <x:v>Ativo</x:v>
      </x:c>
      <x:c r="J14" s="43" t="str">
        <x:v>Massa: Base Geral de Parâmetros; densidade: tabela da etapa Caminhão fornecida em 19/08/2026</x:v>
      </x:c>
    </x:row>
    <x:row r="15">
      <x:c r="A15" s="43" t="str">
        <x:v>Brooklin</x:v>
      </x:c>
      <x:c r="B15" s="43" t="str">
        <x:v>Longa vida</x:v>
      </x:c>
      <x:c r="C15" s="62" t="n">
        <x:v>395.95</x:v>
      </x:c>
      <x:c r="D15" s="62" t="n">
        <x:v>89.68</x:v>
      </x:c>
      <x:c r="E15" s="62" t="n">
        <x:f>IF(D15=0,0,C15/D15)</x:f>
        <x:v>4.41514272970562</x:v>
      </x:c>
      <x:c r="F15" s="62" t="n">
        <x:f>C15/'Cenário Base'!$D$65</x:f>
        <x:v>7.614423076923076</x:v>
      </x:c>
      <x:c r="G15" s="62" t="n">
        <x:f>E15/'Cenário Base'!$D$65</x:f>
        <x:v>0.0849065909558773</x:v>
      </x:c>
      <x:c r="H15" s="50" t="n">
        <x:f>IF(SUM($C$13:$C$15)=0,0,C15/SUM($C$13:$C$15))</x:f>
        <x:v>0.02069873319257114</x:v>
      </x:c>
      <x:c r="I15" s="43" t="str">
        <x:v>Ativo</x:v>
      </x:c>
      <x:c r="J15" s="43" t="str">
        <x:v>Massa: Base Geral de Parâmetros; densidade: tabela da etapa Caminhão fornecida em 19/08/2026</x:v>
      </x:c>
    </x:row>
    <x:row r="16">
      <x:c r="A16" s="43" t="str">
        <x:v>Embu das Artes</x:v>
      </x:c>
      <x:c r="B16" s="43" t="str">
        <x:v>Papelão</x:v>
      </x:c>
      <x:c r="C16" s="62" t="n">
        <x:v>81117.92</x:v>
      </x:c>
      <x:c r="D16" s="62" t="n">
        <x:v>73.92</x:v>
      </x:c>
      <x:c r="E16" s="62" t="n">
        <x:f>IF(D16=0,0,C16/D16)</x:f>
        <x:v>1097.374458874459</x:v>
      </x:c>
      <x:c r="F16" s="62" t="n">
        <x:f>C16/'Cenário Base'!$D$65</x:f>
        <x:v>1559.96</x:v>
      </x:c>
      <x:c r="G16" s="62" t="n">
        <x:f>E16/'Cenário Base'!$D$65</x:f>
        <x:v>21.10335497835498</x:v>
      </x:c>
      <x:c r="H16" s="50" t="n">
        <x:f>IF(SUM($C$16:$C$18)=0,0,C16/SUM($C$16:$C$18))</x:f>
        <x:v>0.9847571179722419</x:v>
      </x:c>
      <x:c r="I16" s="43" t="str">
        <x:v>Ativo</x:v>
      </x:c>
      <x:c r="J16" s="43" t="str">
        <x:v>Massa: Base Geral de Parâmetros; densidade: tabela da etapa Caminhão fornecida em 19/08/2026</x:v>
      </x:c>
    </x:row>
    <x:row r="17">
      <x:c r="A17" s="43" t="str">
        <x:v>Embu das Artes</x:v>
      </x:c>
      <x:c r="B17" s="43" t="str">
        <x:v>Plástico</x:v>
      </x:c>
      <x:c r="C17" s="62" t="n">
        <x:v>0</x:v>
      </x:c>
      <x:c r="D17" s="62" t="n">
        <x:v>0</x:v>
      </x:c>
      <x:c r="E17" s="62" t="n">
        <x:f>IF(D17=0,0,C17/D17)</x:f>
        <x:v>0</x:v>
      </x:c>
      <x:c r="F17" s="62" t="n">
        <x:f>C17/'Cenário Base'!$D$65</x:f>
        <x:v>0</x:v>
      </x:c>
      <x:c r="G17" s="62" t="n">
        <x:f>E17/'Cenário Base'!$D$65</x:f>
        <x:v>0</x:v>
      </x:c>
      <x:c r="H17" s="50" t="n">
        <x:f>IF(SUM($C$16:$C$18)=0,0,C17/SUM($C$16:$C$18))</x:f>
        <x:v>0</x:v>
      </x:c>
      <x:c r="I17" s="43" t="str">
        <x:v>Desativado</x:v>
      </x:c>
      <x:c r="J17" s="43" t="str">
        <x:v>Massa e densidade iguais a zero na tabela da etapa Caminhão fornecida em 19/08/2026</x:v>
      </x:c>
    </x:row>
    <x:row r="18">
      <x:c r="A18" s="43" t="str">
        <x:v>Embu das Artes</x:v>
      </x:c>
      <x:c r="B18" s="43" t="str">
        <x:v>Longa vida</x:v>
      </x:c>
      <x:c r="C18" s="62" t="n">
        <x:v>1255.61</x:v>
      </x:c>
      <x:c r="D18" s="62" t="n">
        <x:v>83.96</x:v>
      </x:c>
      <x:c r="E18" s="62" t="n">
        <x:f>IF(D18=0,0,C18/D18)</x:f>
        <x:v>14.95485945688423</x:v>
      </x:c>
      <x:c r="F18" s="62" t="n">
        <x:f>C18/'Cenário Base'!$D$65</x:f>
        <x:v>24.146346153846153</x:v>
      </x:c>
      <x:c r="G18" s="62" t="n">
        <x:f>E18/'Cenário Base'!$D$65</x:f>
        <x:v>0.28759345109392753</x:v>
      </x:c>
      <x:c r="H18" s="50" t="n">
        <x:f>IF(SUM($C$16:$C$18)=0,0,C18/SUM($C$16:$C$18))</x:f>
        <x:v>0.015242882027758187</x:v>
      </x:c>
      <x:c r="I18" s="43" t="str">
        <x:v>Ativo</x:v>
      </x:c>
      <x:c r="J18" s="43" t="str">
        <x:v>Massa: Base Geral de Parâmetros; densidade: tabela da etapa Caminhão fornecida em 19/08/2026</x:v>
      </x:c>
    </x:row>
    <x:row r="19">
      <x:c r="A19" s="43" t="str">
        <x:v>Santo Amaro direto</x:v>
      </x:c>
      <x:c r="B19" s="43" t="str">
        <x:v>Papelão</x:v>
      </x:c>
      <x:c r="C19" s="62" t="n">
        <x:v>11555.47</x:v>
      </x:c>
      <x:c r="D19" s="62" t="n">
        <x:v>49.74</x:v>
      </x:c>
      <x:c r="E19" s="62" t="n">
        <x:f>IF(D19=0,0,C19/D19)</x:f>
        <x:v>232.31745074386808</x:v>
      </x:c>
      <x:c r="F19" s="62" t="n">
        <x:f>C19/'Cenário Base'!$D$65</x:f>
        <x:v>222.22057692307692</x:v>
      </x:c>
      <x:c r="G19" s="62" t="n">
        <x:f>E19/'Cenário Base'!$D$65</x:f>
        <x:v>4.467643283535924</x:v>
      </x:c>
      <x:c r="H19" s="50" t="n">
        <x:f>IF(SUM($C$19:$C$21)=0,0,C19/SUM($C$19:$C$21))</x:f>
        <x:v>0.7880323519984724</x:v>
      </x:c>
      <x:c r="I19" s="43" t="str">
        <x:v>Ativo</x:v>
      </x:c>
      <x:c r="J19" s="43" t="str">
        <x:v>Massa: Base Geral de Parâmetros; densidade: tabela da etapa Caminhão fornecida em 19/08/2026</x:v>
      </x:c>
    </x:row>
    <x:row r="20">
      <x:c r="A20" s="43" t="str">
        <x:v>Santo Amaro direto</x:v>
      </x:c>
      <x:c r="B20" s="43" t="str">
        <x:v>Plástico</x:v>
      </x:c>
      <x:c r="C20" s="62" t="n">
        <x:v>1930.58</x:v>
      </x:c>
      <x:c r="D20" s="62" t="n">
        <x:v>32.73</x:v>
      </x:c>
      <x:c r="E20" s="62" t="n">
        <x:f>IF(D20=0,0,C20/D20)</x:f>
        <x:v>58.985029025359005</x:v>
      </x:c>
      <x:c r="F20" s="62" t="n">
        <x:f>C20/'Cenário Base'!$D$65</x:f>
        <x:v>37.12653846153846</x:v>
      </x:c>
      <x:c r="G20" s="62" t="n">
        <x:f>E20/'Cenário Base'!$D$65</x:f>
        <x:v>1.134327481256904</x:v>
      </x:c>
      <x:c r="H20" s="50" t="n">
        <x:f>IF(SUM($C$19:$C$21)=0,0,C20/SUM($C$19:$C$21))</x:f>
        <x:v>0.13165708518313932</x:v>
      </x:c>
      <x:c r="I20" s="43" t="str">
        <x:v>Ativo</x:v>
      </x:c>
      <x:c r="J20" s="43" t="str">
        <x:v>Massa: Base Geral de Parâmetros; densidade: tabela da etapa Caminhão fornecida em 19/08/2026</x:v>
      </x:c>
    </x:row>
    <x:row r="21">
      <x:c r="A21" s="43" t="str">
        <x:v>Santo Amaro direto</x:v>
      </x:c>
      <x:c r="B21" s="43" t="str">
        <x:v>Longa vida</x:v>
      </x:c>
      <x:c r="C21" s="62" t="n">
        <x:v>1177.65</x:v>
      </x:c>
      <x:c r="D21" s="62" t="n">
        <x:v>65.66</x:v>
      </x:c>
      <x:c r="E21" s="62" t="n">
        <x:f>IF(D21=0,0,C21/D21)</x:f>
        <x:v>17.935577215961015</x:v>
      </x:c>
      <x:c r="F21" s="62" t="n">
        <x:f>C21/'Cenário Base'!$D$65</x:f>
        <x:v>22.647115384615386</x:v>
      </x:c>
      <x:c r="G21" s="62" t="n">
        <x:f>E21/'Cenário Base'!$D$65</x:f>
        <x:v>0.34491494646078874</x:v>
      </x:c>
      <x:c r="H21" s="50" t="n">
        <x:f>IF(SUM($C$19:$C$21)=0,0,C21/SUM($C$19:$C$21))</x:f>
        <x:v>0.08031056281838828</x:v>
      </x:c>
      <x:c r="I21" s="43" t="str">
        <x:v>Ativo</x:v>
      </x:c>
      <x:c r="J21" s="43" t="str">
        <x:v>Massa: Base Geral de Parâmetros; densidade: tabela da etapa Caminhão fornecida em 19/08/2026</x:v>
      </x:c>
    </x:row>
    <x:row r="23" ht="32" customHeight="1">
      <x:c r="A23" s="47" t="str">
        <x:v>As massas e quantidades permanecem as da Base Geral oficial. Em 19/08/2026, as 18 densidades aparentes da etapa Caminhão foram atualizadas pela tabela fornecida pelo usuário; Embu das Artes/Plástico permanece desativado, com massa e densidade iguais a zero.</x:v>
      </x:c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</x:row>
  </x:sheetData>
  <x:mergeCells>
    <x:mergeCell ref="A1:P1"/>
    <x:mergeCell ref="A2:P2"/>
    <x:mergeCell ref="A23:P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3" hidden="0" customWidth="1"/>
    <x:col min="4" max="4" width="20" hidden="0" customWidth="1"/>
    <x:col min="5" max="5" width="22" hidden="0" customWidth="1"/>
    <x:col min="6" max="6" width="20" hidden="0" customWidth="1"/>
    <x:col min="7" max="7" width="15" hidden="0" customWidth="1"/>
    <x:col min="8" max="8" width="18" hidden="0" customWidth="1"/>
    <x:col min="9" max="9" width="23" hidden="0" customWidth="1"/>
    <x:col min="10" max="10" width="20" hidden="0" customWidth="1"/>
    <x:col min="11" max="11" width="22" hidden="0" customWidth="1"/>
    <x:col min="12" max="12" width="20" hidden="0" customWidth="1"/>
    <x:col min="13" max="13" width="18" hidden="0" customWidth="1"/>
    <x:col min="14" max="14" width="32" hidden="0" customWidth="1"/>
    <x:col min="15" max="15" width="24" hidden="0" customWidth="1"/>
    <x:col min="16" max="16" width="25" hidden="0" customWidth="1"/>
    <x:col min="17" max="17" width="18" hidden="0" customWidth="1"/>
    <x:col min="18" max="18" width="22" hidden="0" customWidth="1"/>
    <x:col min="19" max="19" width="20" hidden="0" customWidth="1"/>
  </x:cols>
  <x:sheetData>
    <x:row r="1" ht="30" customHeight="1">
      <x:c r="A1" s="4" t="str">
        <x:v>Capacidade dos Centros de Coleta — Calendário, Equipe e Estoque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28" customHeight="1">
      <x:c r="A2" s="8" t="str">
        <x:v>Módulo RCCP: visitas/semana são editáveis e iniciam nas quantidades anuais oficiais de 2025 ÷ 52; capacidade anual = capacidade semanal × dias trabalhados ÷ 6; a massa permanece independente.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</x:row>
    <x:row r="3" ht="30" customHeight="1">
      <x:c r="A3" s="14" t="str">
        <x:v>ID</x:v>
      </x:c>
      <x:c r="B3" s="14" t="str">
        <x:v>Centro</x:v>
      </x:c>
      <x:c r="C3" s="14" t="str">
        <x:v>Papel no fluxo</x:v>
      </x:c>
      <x:c r="D3" s="14" t="str">
        <x:v>Massa anual (kg/ano)</x:v>
      </x:c>
      <x:c r="E3" s="14" t="str">
        <x:v>Visitas físicas observadas em 2025</x:v>
      </x:c>
      <x:c r="F3" s="14" t="str">
        <x:v>Cobertura da base</x:v>
      </x:c>
      <x:c r="G3" s="14" t="str">
        <x:v>Operadores</x:v>
      </x:c>
      <x:c r="H3" s="14" t="str">
        <x:v>Balanças</x:v>
      </x:c>
      <x:c r="I3" s="14" t="str">
        <x:v>Armazenagem as-is (m³)</x:v>
      </x:c>
      <x:c r="J3" s="14" t="str">
        <x:v>Prensas locais as-is</x:v>
      </x:c>
      <x:c r="K3" s="14" t="str">
        <x:v>Carregamento (min/viagem)</x:v>
      </x:c>
      <x:c r="L3" s="14" t="str">
        <x:v>Operadores no carregamento</x:v>
      </x:c>
      <x:c r="M3" s="14" t="str">
        <x:v>Eficiência aplicável</x:v>
      </x:c>
      <x:c r="N3" s="14" t="str">
        <x:v>Fonte das visitas</x:v>
      </x:c>
      <x:c r="O3" s="14" t="str">
        <x:v>Situação</x:v>
      </x:c>
      <x:c r="P3" s="14" t="str">
        <x:v>Observação</x:v>
      </x:c>
      <x:c r="Q3" s="14" t="str">
        <x:v>Grupo de recurso</x:v>
      </x:c>
    </x:row>
    <x:row r="4" ht="54" customHeight="1">
      <x:c r="A4" s="43" t="str">
        <x:v>CC-001</x:v>
      </x:c>
      <x:c r="B4" s="43" t="str">
        <x:v>Pinheiros</x:v>
      </x:c>
      <x:c r="C4" s="43" t="str">
        <x:v>Centro externo</x:v>
      </x:c>
      <x:c r="D4" s="49" t="n">
        <x:v>147173.14</x:v>
      </x:c>
      <x:c r="E4" s="49" t="n">
        <x:v>6830</x:v>
      </x:c>
      <x:c r="F4" s="43" t="str">
        <x:v>2025-01-01–2025-12-31</x:v>
      </x:c>
      <x:c r="G4" s="48" t="n">
        <x:v>2</x:v>
      </x:c>
      <x:c r="H4" s="48" t="n">
        <x:v>1</x:v>
      </x:c>
      <x:c r="I4" s="48" t="n">
        <x:v>30</x:v>
      </x:c>
      <x:c r="J4" s="48" t="n">
        <x:v>0</x:v>
      </x:c>
      <x:c r="K4" s="48" t="n">
        <x:v>20</x:v>
      </x:c>
      <x:c r="L4" s="48" t="n">
        <x:v>2</x:v>
      </x:c>
      <x:c r="M4" s="50" t="n">
        <x:f>'Cenário Base'!$D$66</x:f>
        <x:v>1</x:v>
      </x:c>
      <x:c r="N4" s="43" t="str">
        <x:v>Base Geral de Parâmetros.xlsx; Volumes e Mixing; quantidade oficial de chegadas</x:v>
      </x:c>
      <x:c r="O4" s="43" t="str">
        <x:v>Calculado</x:v>
      </x:c>
      <x:c r="P4" s="43" t="str">
        <x:v>6830 chegadas oficiais no ano-calendário; equivalência semanal = quantidade ÷ 52.</x:v>
      </x:c>
      <x:c r="Q4" s="43" t="str">
        <x:v>CC</x:v>
      </x:c>
    </x:row>
    <x:row r="5" ht="54" customHeight="1">
      <x:c r="A5" s="43" t="str">
        <x:v>CC-002</x:v>
      </x:c>
      <x:c r="B5" s="43" t="str">
        <x:v>Jabaquara</x:v>
      </x:c>
      <x:c r="C5" s="43" t="str">
        <x:v>Centro externo</x:v>
      </x:c>
      <x:c r="D5" s="49" t="n">
        <x:v>109932.89</x:v>
      </x:c>
      <x:c r="E5" s="49" t="n">
        <x:v>8753</x:v>
      </x:c>
      <x:c r="F5" s="43" t="str">
        <x:v>2025-01-01–2025-12-31</x:v>
      </x:c>
      <x:c r="G5" s="48" t="n">
        <x:v>2</x:v>
      </x:c>
      <x:c r="H5" s="48" t="n">
        <x:v>1</x:v>
      </x:c>
      <x:c r="I5" s="48" t="n">
        <x:v>33</x:v>
      </x:c>
      <x:c r="J5" s="48" t="n">
        <x:v>0</x:v>
      </x:c>
      <x:c r="K5" s="48" t="n">
        <x:v>30</x:v>
      </x:c>
      <x:c r="L5" s="48" t="n">
        <x:v>2</x:v>
      </x:c>
      <x:c r="M5" s="50" t="n">
        <x:f>'Cenário Base'!$D$66</x:f>
        <x:v>1</x:v>
      </x:c>
      <x:c r="N5" s="43" t="str">
        <x:v>Base Geral de Parâmetros.xlsx; Volumes e Mixing; quantidade oficial de chegadas</x:v>
      </x:c>
      <x:c r="O5" s="43" t="str">
        <x:v>Calculado</x:v>
      </x:c>
      <x:c r="P5" s="43" t="str">
        <x:v>8753 chegadas oficiais no ano-calendário; equivalência semanal = quantidade ÷ 52.</x:v>
      </x:c>
      <x:c r="Q5" s="43" t="str">
        <x:v>CC</x:v>
      </x:c>
    </x:row>
    <x:row r="6" ht="54" customHeight="1">
      <x:c r="A6" s="43" t="str">
        <x:v>CC-003</x:v>
      </x:c>
      <x:c r="B6" s="43" t="str">
        <x:v>Paraisópolis</x:v>
      </x:c>
      <x:c r="C6" s="43" t="str">
        <x:v>Centro externo</x:v>
      </x:c>
      <x:c r="D6" s="49" t="n">
        <x:v>23807.45</x:v>
      </x:c>
      <x:c r="E6" s="49" t="n">
        <x:v>723</x:v>
      </x:c>
      <x:c r="F6" s="43" t="str">
        <x:v>2025-01-01–2025-12-31</x:v>
      </x:c>
      <x:c r="G6" s="48" t="n">
        <x:v>2</x:v>
      </x:c>
      <x:c r="H6" s="48" t="n">
        <x:v>1</x:v>
      </x:c>
      <x:c r="I6" s="48" t="n">
        <x:v>33</x:v>
      </x:c>
      <x:c r="J6" s="48" t="n">
        <x:v>0</x:v>
      </x:c>
      <x:c r="K6" s="48" t="n">
        <x:v>30</x:v>
      </x:c>
      <x:c r="L6" s="48" t="n">
        <x:v>2</x:v>
      </x:c>
      <x:c r="M6" s="50" t="n">
        <x:f>'Cenário Base'!$D$66</x:f>
        <x:v>1</x:v>
      </x:c>
      <x:c r="N6" s="43" t="str">
        <x:v>Base Geral de Parâmetros.xlsx; Volumes e Mixing; quantidade oficial de chegadas</x:v>
      </x:c>
      <x:c r="O6" s="43" t="str">
        <x:v>Calculado</x:v>
      </x:c>
      <x:c r="P6" s="43" t="str">
        <x:v>723 chegadas oficiais no ano-calendário; equivalência semanal = quantidade ÷ 52.</x:v>
      </x:c>
      <x:c r="Q6" s="43" t="str">
        <x:v>CC</x:v>
      </x:c>
    </x:row>
    <x:row r="7" ht="54" customHeight="1">
      <x:c r="A7" s="43" t="str">
        <x:v>CC-004</x:v>
      </x:c>
      <x:c r="B7" s="43" t="str">
        <x:v>Brooklin</x:v>
      </x:c>
      <x:c r="C7" s="43" t="str">
        <x:v>Centro externo</x:v>
      </x:c>
      <x:c r="D7" s="49" t="n">
        <x:v>19129.19</x:v>
      </x:c>
      <x:c r="E7" s="49" t="n">
        <x:v>3397</x:v>
      </x:c>
      <x:c r="F7" s="43" t="str">
        <x:v>2025-01-01–2025-12-31</x:v>
      </x:c>
      <x:c r="G7" s="48" t="n">
        <x:v>2</x:v>
      </x:c>
      <x:c r="H7" s="48" t="n">
        <x:v>1</x:v>
      </x:c>
      <x:c r="I7" s="48" t="n">
        <x:v>33</x:v>
      </x:c>
      <x:c r="J7" s="48" t="n">
        <x:v>0</x:v>
      </x:c>
      <x:c r="K7" s="48" t="n">
        <x:v>30</x:v>
      </x:c>
      <x:c r="L7" s="48" t="n">
        <x:v>2</x:v>
      </x:c>
      <x:c r="M7" s="50" t="n">
        <x:f>'Cenário Base'!$D$66</x:f>
        <x:v>1</x:v>
      </x:c>
      <x:c r="N7" s="43" t="str">
        <x:v>Base Geral de Parâmetros.xlsx; Volumes e Mixing; quantidade oficial de chegadas</x:v>
      </x:c>
      <x:c r="O7" s="43" t="str">
        <x:v>Calculado</x:v>
      </x:c>
      <x:c r="P7" s="43" t="str">
        <x:v>3397 chegadas oficiais no ano-calendário; equivalência semanal = quantidade ÷ 52.</x:v>
      </x:c>
      <x:c r="Q7" s="43" t="str">
        <x:v>CC</x:v>
      </x:c>
    </x:row>
    <x:row r="8" ht="54" customHeight="1">
      <x:c r="A8" s="43" t="str">
        <x:v>CC-005</x:v>
      </x:c>
      <x:c r="B8" s="43" t="str">
        <x:v>Embu das Artes</x:v>
      </x:c>
      <x:c r="C8" s="43" t="str">
        <x:v>Centro externo</x:v>
      </x:c>
      <x:c r="D8" s="49" t="n">
        <x:v>82373.53</x:v>
      </x:c>
      <x:c r="E8" s="49" t="n">
        <x:v>1685</x:v>
      </x:c>
      <x:c r="F8" s="43" t="str">
        <x:v>2025-01-01–2025-12-31</x:v>
      </x:c>
      <x:c r="G8" s="48" t="n">
        <x:v>3</x:v>
      </x:c>
      <x:c r="H8" s="48" t="n">
        <x:v>1</x:v>
      </x:c>
      <x:c r="I8" s="48" t="n">
        <x:v>33</x:v>
      </x:c>
      <x:c r="J8" s="48" t="n">
        <x:v>0</x:v>
      </x:c>
      <x:c r="K8" s="48" t="n">
        <x:v>30</x:v>
      </x:c>
      <x:c r="L8" s="48" t="n">
        <x:v>2</x:v>
      </x:c>
      <x:c r="M8" s="50" t="n">
        <x:f>'Cenário Base'!$D$66</x:f>
        <x:v>1</x:v>
      </x:c>
      <x:c r="N8" s="43" t="str">
        <x:v>Base Geral de Parâmetros.xlsx; Volumes e Mixing; quantidade oficial de chegadas</x:v>
      </x:c>
      <x:c r="O8" s="43" t="str">
        <x:v>Calculado</x:v>
      </x:c>
      <x:c r="P8" s="43" t="str">
        <x:v>1685 chegadas oficiais no ano-calendário; equivalência semanal = quantidade ÷ 52.</x:v>
      </x:c>
      <x:c r="Q8" s="43" t="str">
        <x:v>CC</x:v>
      </x:c>
    </x:row>
    <x:row r="9" ht="54" customHeight="1">
      <x:c r="A9" s="43" t="str">
        <x:v>CC-006</x:v>
      </x:c>
      <x:c r="B9" s="43" t="str">
        <x:v>Santo Amaro direto</x:v>
      </x:c>
      <x:c r="C9" s="43" t="str">
        <x:v>Recepção local no Hub</x:v>
      </x:c>
      <x:c r="D9" s="49" t="n">
        <x:v>14663.7</x:v>
      </x:c>
      <x:c r="E9" s="49" t="n">
        <x:v>655</x:v>
      </x:c>
      <x:c r="F9" s="43" t="str">
        <x:v>2025-01-01–2025-12-31</x:v>
      </x:c>
      <x:c r="G9" s="48" t="n">
        <x:v>6</x:v>
      </x:c>
      <x:c r="H9" s="48" t="n">
        <x:v>1</x:v>
      </x:c>
      <x:c r="I9" s="48" t="n">
        <x:v>493</x:v>
      </x:c>
      <x:c r="J9" s="48" t="n">
        <x:v>0</x:v>
      </x:c>
      <x:c r="K9" s="48" t="n">
        <x:v>0</x:v>
      </x:c>
      <x:c r="L9" s="48" t="n">
        <x:v>0</x:v>
      </x:c>
      <x:c r="M9" s="50" t="n">
        <x:f>'Cenário Base'!$D$67</x:f>
        <x:v>1</x:v>
      </x:c>
      <x:c r="N9" s="43" t="str">
        <x:v>Base Geral de Parâmetros.xlsx; Volumes e Mixing; quantidade oficial de chegadas</x:v>
      </x:c>
      <x:c r="O9" s="43" t="str">
        <x:v>Calculado</x:v>
      </x:c>
      <x:c r="P9" s="43" t="str">
        <x:v>655 chegadas oficiais no ano; demanda direta de 14.663,70 kg/ano. Usa o estoque compartilhado de 493 m³.</x:v>
      </x:c>
      <x:c r="Q9" s="43" t="str">
        <x:v>Hub</x:v>
      </x:c>
    </x:row>
    <x:row r="12" ht="25" customHeight="1">
      <x:c r="A12" s="66" t="str">
        <x:v>Cálculo semanal de capacidade de mão de obra</x:v>
      </x:c>
      <x:c r="B12" s="66"/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</x:row>
    <x:row r="13" ht="30" customHeight="1">
      <x:c r="A13" s="14" t="str">
        <x:v>Centro</x:v>
      </x:c>
      <x:c r="B13" s="14" t="str">
        <x:v>Demanda (kg/sem)</x:v>
      </x:c>
      <x:c r="C13" s="14" t="str">
        <x:v>Chegadas oficiais em 2025</x:v>
      </x:c>
      <x:c r="D13" s="14" t="str">
        <x:v>Ano-base (sem)</x:v>
      </x:c>
      <x:c r="E13" s="14" t="str">
        <x:v>Visitas/sem — cenário editável</x:v>
      </x:c>
      <x:c r="F13" s="14" t="str">
        <x:v>Eficiência</x:v>
      </x:c>
      <x:c r="G13" s="14" t="str">
        <x:v>Operadores</x:v>
      </x:c>
      <x:c r="H13" s="14" t="str">
        <x:v>Minutos brutos/sem</x:v>
      </x:c>
      <x:c r="I13" s="14" t="str">
        <x:v>Minutos efetivos/sem</x:v>
      </x:c>
      <x:c r="J13" s="14" t="str">
        <x:v>Serviço (min/visita)</x:v>
      </x:c>
      <x:c r="K13" s="14" t="str">
        <x:v>Carga de serviço (op-min/sem)</x:v>
      </x:c>
      <x:c r="L13" s="14" t="str">
        <x:v>Viagens equivalentes/sem</x:v>
      </x:c>
      <x:c r="M13" s="14" t="str">
        <x:v>Carregamento (min/viagem)</x:v>
      </x:c>
      <x:c r="N13" s="14" t="str">
        <x:v>Carga de carregamento (op-min/sem)</x:v>
      </x:c>
      <x:c r="O13" s="14" t="str">
        <x:v>Carga conhecida total</x:v>
      </x:c>
      <x:c r="P13" s="14" t="str">
        <x:v>Utilização da equipe</x:v>
      </x:c>
      <x:c r="Q13" s="14" t="str">
        <x:v>Capacidade de visitas/sem</x:v>
      </x:c>
      <x:c r="R13" s="14" t="str">
        <x:v>Capacidade anualizada (visitas/ano)</x:v>
      </x:c>
      <x:c r="S13" s="14" t="str">
        <x:v>Folga anual (visitas/ano)</x:v>
      </x:c>
    </x:row>
    <x:row r="14">
      <x:c r="A14" s="43" t="str">
        <x:v>Pinheiros</x:v>
      </x:c>
      <x:c r="B14" s="48" t="n">
        <x:f>'Demanda Centros'!$P$4</x:f>
        <x:v>2830.2526923076925</x:v>
      </x:c>
      <x:c r="C14" s="48" t="n">
        <x:v>6830</x:v>
      </x:c>
      <x:c r="D14" s="48" t="n">
        <x:v>52</x:v>
      </x:c>
      <x:c r="E14" s="77" t="n">
        <x:v>131.34615384615384</x:v>
      </x:c>
      <x:c r="F14" s="50" t="n">
        <x:f>M4</x:f>
        <x:v>1</x:v>
      </x:c>
      <x:c r="G14" s="48" t="n">
        <x:v>2</x:v>
      </x:c>
      <x:c r="H14" s="48" t="n">
        <x:f>G14*('Cenário Base'!$D$61*'Cenário Base'!$D$62+'Cenário Base'!$D$63*'Cenário Base'!$D$64)</x:f>
        <x:v>5880</x:v>
      </x:c>
      <x:c r="I14" s="48" t="n">
        <x:f>H14*F14</x:f>
        <x:v>5880</x:v>
      </x:c>
      <x:c r="J14" s="48" t="n">
        <x:f>'Cenário Base'!$D$72</x:f>
        <x:v>4</x:v>
      </x:c>
      <x:c r="K14" s="48" t="n">
        <x:f>E14*J14</x:f>
        <x:v>525.3846153846154</x:v>
      </x:c>
      <x:c r="L14" s="48" t="n">
        <x:f>B14/'Ciclos e Capacidade'!$L$4</x:f>
        <x:v>5.263167412047935</x:v>
      </x:c>
      <x:c r="M14" s="48" t="n">
        <x:v>20</x:v>
      </x:c>
      <x:c r="N14" s="48" t="n">
        <x:f>L14*M14*L4</x:f>
        <x:v>210.52669648191738</x:v>
      </x:c>
      <x:c r="O14" s="48" t="n">
        <x:f>K14+N14</x:f>
        <x:v>735.9113118665327</x:v>
      </x:c>
      <x:c r="P14" s="50" t="n">
        <x:f>O14/I14</x:f>
        <x:v>0.12515498501131508</x:v>
      </x:c>
      <x:c r="Q14" s="49" t="n">
        <x:f>MAX(0,(I14-N14)/J14)</x:f>
        <x:v>1417.3683258795206</x:v>
      </x:c>
      <x:c r="R14" s="49" t="n">
        <x:f>Q14*'Cenário Base'!$D$12/6</x:f>
        <x:v>73703.15294573507</x:v>
      </x:c>
      <x:c r="S14" s="49" t="n">
        <x:f>R14-E14*'Cenário Base'!$D$65</x:f>
        <x:v>66873.15294573507</x:v>
      </x:c>
    </x:row>
    <x:row r="15">
      <x:c r="A15" s="43" t="str">
        <x:v>Jabaquara</x:v>
      </x:c>
      <x:c r="B15" s="48" t="n">
        <x:f>'Demanda Centros'!$P$5</x:f>
        <x:v>2114.0940384615383</x:v>
      </x:c>
      <x:c r="C15" s="48" t="n">
        <x:v>8753</x:v>
      </x:c>
      <x:c r="D15" s="48" t="n">
        <x:v>52</x:v>
      </x:c>
      <x:c r="E15" s="77" t="n">
        <x:v>168.32692307692307</x:v>
      </x:c>
      <x:c r="F15" s="50" t="n">
        <x:f>M5</x:f>
        <x:v>1</x:v>
      </x:c>
      <x:c r="G15" s="48" t="n">
        <x:v>2</x:v>
      </x:c>
      <x:c r="H15" s="48" t="n">
        <x:f>G15*('Cenário Base'!$D$61*'Cenário Base'!$D$62+'Cenário Base'!$D$63*'Cenário Base'!$D$64)</x:f>
        <x:v>5880</x:v>
      </x:c>
      <x:c r="I15" s="48" t="n">
        <x:f>H15*F15</x:f>
        <x:v>5880</x:v>
      </x:c>
      <x:c r="J15" s="48" t="n">
        <x:f>'Cenário Base'!$D$72</x:f>
        <x:v>4</x:v>
      </x:c>
      <x:c r="K15" s="48" t="n">
        <x:f>E15*J15</x:f>
        <x:v>673.3076923076923</x:v>
      </x:c>
      <x:c r="L15" s="48" t="n">
        <x:f>B15/'Ciclos e Capacidade'!$L$5</x:f>
        <x:v>4.210216714930298</x:v>
      </x:c>
      <x:c r="M15" s="48" t="n">
        <x:v>30</x:v>
      </x:c>
      <x:c r="N15" s="48" t="n">
        <x:f>L15*M15*L5</x:f>
        <x:v>252.61300289581789</x:v>
      </x:c>
      <x:c r="O15" s="48" t="n">
        <x:f>K15+N15</x:f>
        <x:v>925.9206952035101</x:v>
      </x:c>
      <x:c r="P15" s="50" t="n">
        <x:f>O15/I15</x:f>
        <x:v>0.15746950598699153</x:v>
      </x:c>
      <x:c r="Q15" s="49" t="n">
        <x:f>MAX(0,(I15-N15)/J15)</x:f>
        <x:v>1406.8467492760456</x:v>
      </x:c>
      <x:c r="R15" s="49" t="n">
        <x:f>Q15*'Cenário Base'!$D$12/6</x:f>
        <x:v>73156.03096235437</x:v>
      </x:c>
      <x:c r="S15" s="49" t="n">
        <x:f>R15-E15*'Cenário Base'!$D$65</x:f>
        <x:v>64403.03096235437</x:v>
      </x:c>
    </x:row>
    <x:row r="16">
      <x:c r="A16" s="43" t="str">
        <x:v>Paraisópolis</x:v>
      </x:c>
      <x:c r="B16" s="48" t="n">
        <x:f>'Demanda Centros'!$P$6</x:f>
        <x:v>457.8355769230769</x:v>
      </x:c>
      <x:c r="C16" s="48" t="n">
        <x:v>723</x:v>
      </x:c>
      <x:c r="D16" s="48" t="n">
        <x:v>52</x:v>
      </x:c>
      <x:c r="E16" s="77" t="n">
        <x:v>13.903846153846153</x:v>
      </x:c>
      <x:c r="F16" s="50" t="n">
        <x:f>M6</x:f>
        <x:v>1</x:v>
      </x:c>
      <x:c r="G16" s="48" t="n">
        <x:v>2</x:v>
      </x:c>
      <x:c r="H16" s="48" t="n">
        <x:f>G16*('Cenário Base'!$D$61*'Cenário Base'!$D$62+'Cenário Base'!$D$63*'Cenário Base'!$D$64)</x:f>
        <x:v>5880</x:v>
      </x:c>
      <x:c r="I16" s="48" t="n">
        <x:f>H16*F16</x:f>
        <x:v>5880</x:v>
      </x:c>
      <x:c r="J16" s="48" t="n">
        <x:f>'Cenário Base'!$D$72</x:f>
        <x:v>4</x:v>
      </x:c>
      <x:c r="K16" s="48" t="n">
        <x:f>E16*J16</x:f>
        <x:v>55.61538461538461</x:v>
      </x:c>
      <x:c r="L16" s="48" t="n">
        <x:f>B16/'Ciclos e Capacidade'!$L$6</x:f>
        <x:v>2.1052462401982845</x:v>
      </x:c>
      <x:c r="M16" s="48" t="n">
        <x:v>30</x:v>
      </x:c>
      <x:c r="N16" s="48" t="n">
        <x:f>L16*M16*L6</x:f>
        <x:v>126.31477441189708</x:v>
      </x:c>
      <x:c r="O16" s="48" t="n">
        <x:f>K16+N16</x:f>
        <x:v>181.9301590272817</x:v>
      </x:c>
      <x:c r="P16" s="50" t="n">
        <x:f>O16/I16</x:f>
        <x:v>0.03094050323593226</x:v>
      </x:c>
      <x:c r="Q16" s="49" t="n">
        <x:f>MAX(0,(I16-N16)/J16)</x:f>
        <x:v>1438.4213063970258</x:v>
      </x:c>
      <x:c r="R16" s="49" t="n">
        <x:f>Q16*'Cenário Base'!$D$12/6</x:f>
        <x:v>74797.90793264534</x:v>
      </x:c>
      <x:c r="S16" s="49" t="n">
        <x:f>R16-E16*'Cenário Base'!$D$65</x:f>
        <x:v>74074.90793264534</x:v>
      </x:c>
    </x:row>
    <x:row r="17">
      <x:c r="A17" s="43" t="str">
        <x:v>Brooklin</x:v>
      </x:c>
      <x:c r="B17" s="48" t="n">
        <x:f>'Demanda Centros'!$P$7</x:f>
        <x:v>367.8690384615384</x:v>
      </x:c>
      <x:c r="C17" s="48" t="n">
        <x:v>3397</x:v>
      </x:c>
      <x:c r="D17" s="48" t="n">
        <x:v>52</x:v>
      </x:c>
      <x:c r="E17" s="77" t="n">
        <x:v>65.32692307692308</x:v>
      </x:c>
      <x:c r="F17" s="50" t="n">
        <x:f>M7</x:f>
        <x:v>1</x:v>
      </x:c>
      <x:c r="G17" s="48" t="n">
        <x:v>2</x:v>
      </x:c>
      <x:c r="H17" s="48" t="n">
        <x:f>G17*('Cenário Base'!$D$61*'Cenário Base'!$D$62+'Cenário Base'!$D$63*'Cenário Base'!$D$64)</x:f>
        <x:v>5880</x:v>
      </x:c>
      <x:c r="I17" s="48" t="n">
        <x:f>H17*F17</x:f>
        <x:v>5880</x:v>
      </x:c>
      <x:c r="J17" s="48" t="n">
        <x:f>'Cenário Base'!$D$72</x:f>
        <x:v>4</x:v>
      </x:c>
      <x:c r="K17" s="48" t="n">
        <x:f>E17*J17</x:f>
        <x:v>261.3076923076923</x:v>
      </x:c>
      <x:c r="L17" s="48" t="n">
        <x:f>B17/'Ciclos e Capacidade'!$L$7</x:f>
        <x:v>2.1050887632931876</x:v>
      </x:c>
      <x:c r="M17" s="48" t="n">
        <x:v>30</x:v>
      </x:c>
      <x:c r="N17" s="48" t="n">
        <x:f>L17*M17*L7</x:f>
        <x:v>126.30532579759125</x:v>
      </x:c>
      <x:c r="O17" s="48" t="n">
        <x:f>K17+N17</x:f>
        <x:v>387.6130181052836</x:v>
      </x:c>
      <x:c r="P17" s="50" t="n">
        <x:f>O17/I17</x:f>
        <x:v>0.06592058131042237</x:v>
      </x:c>
      <x:c r="Q17" s="49" t="n">
        <x:f>MAX(0,(I17-N17)/J17)</x:f>
        <x:v>1438.423668550602</x:v>
      </x:c>
      <x:c r="R17" s="49" t="n">
        <x:f>Q17*'Cenário Base'!$D$12/6</x:f>
        <x:v>74798.0307646313</x:v>
      </x:c>
      <x:c r="S17" s="49" t="n">
        <x:f>R17-E17*'Cenário Base'!$D$65</x:f>
        <x:v>71401.0307646313</x:v>
      </x:c>
    </x:row>
    <x:row r="18">
      <x:c r="A18" s="43" t="str">
        <x:v>Embu das Artes</x:v>
      </x:c>
      <x:c r="B18" s="48" t="n">
        <x:f>'Demanda Centros'!$P$8</x:f>
        <x:v>1584.106346153846</x:v>
      </x:c>
      <x:c r="C18" s="48" t="n">
        <x:v>1685</x:v>
      </x:c>
      <x:c r="D18" s="48" t="n">
        <x:v>52</x:v>
      </x:c>
      <x:c r="E18" s="77" t="n">
        <x:v>32.40384615384615</x:v>
      </x:c>
      <x:c r="F18" s="50" t="n">
        <x:f>M8</x:f>
        <x:v>1</x:v>
      </x:c>
      <x:c r="G18" s="48" t="n">
        <x:v>3</x:v>
      </x:c>
      <x:c r="H18" s="48" t="n">
        <x:f>G18*('Cenário Base'!$D$61*'Cenário Base'!$D$62+'Cenário Base'!$D$63*'Cenário Base'!$D$64)</x:f>
        <x:v>8820</x:v>
      </x:c>
      <x:c r="I18" s="48" t="n">
        <x:f>H18*F18</x:f>
        <x:v>8820</x:v>
      </x:c>
      <x:c r="J18" s="48" t="n">
        <x:f>'Cenário Base'!$D$72</x:f>
        <x:v>4</x:v>
      </x:c>
      <x:c r="K18" s="48" t="n">
        <x:f>E18*J18</x:f>
        <x:v>129.6153846153846</x:v>
      </x:c>
      <x:c r="L18" s="48" t="n">
        <x:f>B18/'Ciclos e Capacidade'!$L$8</x:f>
        <x:v>2.2516787820472532</x:v>
      </x:c>
      <x:c r="M18" s="48" t="n">
        <x:v>30</x:v>
      </x:c>
      <x:c r="N18" s="48" t="n">
        <x:f>L18*M18*L8</x:f>
        <x:v>135.1007269228352</x:v>
      </x:c>
      <x:c r="O18" s="48" t="n">
        <x:f>K18+N18</x:f>
        <x:v>264.7161115382198</x:v>
      </x:c>
      <x:c r="P18" s="50" t="n">
        <x:f>O18/I18</x:f>
        <x:v>0.03001316457349431</x:v>
      </x:c>
      <x:c r="Q18" s="49" t="n">
        <x:f>MAX(0,(I18-N18)/J18)</x:f>
        <x:v>2171.224818269291</x:v>
      </x:c>
      <x:c r="R18" s="49" t="n">
        <x:f>Q18*'Cenário Base'!$D$12/6</x:f>
        <x:v>112903.69055000314</x:v>
      </x:c>
      <x:c r="S18" s="49" t="n">
        <x:f>R18-E18*'Cenário Base'!$D$65</x:f>
        <x:v>111218.69055000314</x:v>
      </x:c>
    </x:row>
    <x:row r="19">
      <x:c r="A19" s="43" t="str">
        <x:v>Santo Amaro direto</x:v>
      </x:c>
      <x:c r="B19" s="48" t="n">
        <x:f>'Cenário Base'!$D$77/'Cenário Base'!$D$65</x:f>
        <x:v>281.9942307692308</x:v>
      </x:c>
      <x:c r="C19" s="48" t="n">
        <x:v>655</x:v>
      </x:c>
      <x:c r="D19" s="48" t="n">
        <x:v>52</x:v>
      </x:c>
      <x:c r="E19" s="77" t="n">
        <x:v>12.596153846153847</x:v>
      </x:c>
      <x:c r="F19" s="50" t="n">
        <x:f>M9</x:f>
        <x:v>1</x:v>
      </x:c>
      <x:c r="G19" s="48" t="n">
        <x:v>6</x:v>
      </x:c>
      <x:c r="H19" s="48" t="n">
        <x:f>G19*('Cenário Base'!$D$61*'Cenário Base'!$D$62+'Cenário Base'!$D$63*'Cenário Base'!$D$64)</x:f>
        <x:v>17640</x:v>
      </x:c>
      <x:c r="I19" s="48" t="n">
        <x:f>H19*F19</x:f>
        <x:v>17640</x:v>
      </x:c>
      <x:c r="J19" s="48" t="n">
        <x:f>'Cenário Base'!$D$72</x:f>
        <x:v>4</x:v>
      </x:c>
      <x:c r="K19" s="48" t="n">
        <x:f>E19*J19</x:f>
        <x:v>50.38461538461539</x:v>
      </x:c>
      <x:c r="L19" s="48" t="n">
        <x:v>0</x:v>
      </x:c>
      <x:c r="M19" s="48" t="n">
        <x:v>0</x:v>
      </x:c>
      <x:c r="N19" s="48" t="n">
        <x:f>L19*M19*L9</x:f>
        <x:v>0</x:v>
      </x:c>
      <x:c r="O19" s="48" t="n">
        <x:f>K19+N19</x:f>
        <x:v>50.38461538461539</x:v>
      </x:c>
      <x:c r="P19" s="50" t="n">
        <x:f>O19/I19</x:f>
        <x:v>0.0028562707134135706</x:v>
      </x:c>
      <x:c r="Q19" s="49" t="n">
        <x:f>MAX(0,(I19-N19)/J19)</x:f>
        <x:v>4410</x:v>
      </x:c>
      <x:c r="R19" s="49" t="n">
        <x:f>Q19*'Cenário Base'!$D$12/6</x:f>
        <x:v>229320</x:v>
      </x:c>
      <x:c r="S19" s="49" t="n">
        <x:f>R19-E19*'Cenário Base'!$D$65</x:f>
        <x:v>228665</x:v>
      </x:c>
    </x:row>
    <x:row r="22">
      <x:c r="A22" s="66" t="str">
        <x:v>Armazenagem e cobertura física</x:v>
      </x:c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</x:row>
    <x:row r="23" ht="30" customHeight="1">
      <x:c r="A23" s="14" t="str">
        <x:v>Centro</x:v>
      </x:c>
      <x:c r="B23" s="14" t="str">
        <x:v>Entrada média (m³/sem)</x:v>
      </x:c>
      <x:c r="C23" s="14" t="str">
        <x:v>Capacidade física (m³)</x:v>
      </x:c>
      <x:c r="D23" s="14" t="str">
        <x:v>Cobertura física (dias)</x:v>
      </x:c>
      <x:c r="E23" s="14" t="str">
        <x:v>Regra de despacho operacional</x:v>
      </x:c>
      <x:c r="F23" s="14" t="str">
        <x:v>Status no RCCP</x:v>
      </x:c>
      <x:c r="G23" s="14" t="str">
        <x:v>Máximo histórico/ref. (m³)</x:v>
      </x:c>
      <x:c r="H23" s="14" t="str">
        <x:v>Escopo do estoque</x:v>
      </x:c>
      <x:c r="I23" s="14" t="str">
        <x:v>Prensa as-is</x:v>
      </x:c>
      <x:c r="J23" s="14" t="str">
        <x:v>Cenário futuro</x:v>
      </x:c>
      <x:c r="K23" s="14" t="str">
        <x:v>Leitura</x:v>
      </x:c>
      <x:c r="L23" s="14" t="str">
        <x:v>Fronteira</x:v>
      </x:c>
    </x:row>
    <x:row r="24" ht="48" customHeight="1">
      <x:c r="A24" s="43" t="str">
        <x:v>Pinheiros</x:v>
      </x:c>
      <x:c r="B24" s="48" t="n">
        <x:f>'Densidades'!$P$4</x:f>
        <x:v>50.000090414455386</x:v>
      </x:c>
      <x:c r="C24" s="48" t="n">
        <x:v>30</x:v>
      </x:c>
      <x:c r="D24" s="48" t="n">
        <x:f>IF(B24=0,"",C24/(B24/6))</x:f>
        <x:v>3.5999934901709842</x:v>
      </x:c>
      <x:c r="E24" s="43" t="str">
        <x:v>15 m³ — somente dinâmica operacional</x:v>
      </x:c>
      <x:c r="F24" s="43" t="str">
        <x:v>Fora da calculadora RCCP</x:v>
      </x:c>
      <x:c r="G24" s="48" t="n">
        <x:v>30</x:v>
      </x:c>
      <x:c r="H24" s="43" t="str">
        <x:v>Compartilhado entre materiais no CC</x:v>
      </x:c>
      <x:c r="I24" s="43" t="str">
        <x:v>Não</x:v>
      </x:c>
      <x:c r="J24" s="43" t="str">
        <x:v>Prensa pequena para todos os materiais, após validar as-is</x:v>
      </x:c>
      <x:c r="K24" s="43" t="str">
        <x:v>Cobertura = estoque total ÷ volume médio diário</x:v>
      </x:c>
      <x:c r="L24" s="43" t="str">
        <x:v>Regra de despacho e trajetória temporal pertencem ao SIMUL8</x:v>
      </x:c>
    </x:row>
    <x:row r="25" ht="48" customHeight="1">
      <x:c r="A25" s="43" t="str">
        <x:v>Jabaquara</x:v>
      </x:c>
      <x:c r="B25" s="48" t="n">
        <x:f>'Densidades'!$P$5</x:f>
        <x:v>39.99705879183783</x:v>
      </x:c>
      <x:c r="C25" s="48" t="n">
        <x:v>33</x:v>
      </x:c>
      <x:c r="D25" s="48" t="n">
        <x:f>IF(B25=0,"",C25/(B25/6))</x:f>
        <x:v>4.950364001275156</x:v>
      </x:c>
      <x:c r="E25" s="43" t="str">
        <x:v>15 m³ — somente dinâmica operacional</x:v>
      </x:c>
      <x:c r="F25" s="43" t="str">
        <x:v>Fora da calculadora RCCP</x:v>
      </x:c>
      <x:c r="G25" s="48" t="n">
        <x:v>33</x:v>
      </x:c>
      <x:c r="H25" s="43" t="str">
        <x:v>Compartilhado entre materiais no CC</x:v>
      </x:c>
      <x:c r="I25" s="43" t="str">
        <x:v>Não</x:v>
      </x:c>
      <x:c r="J25" s="43" t="str">
        <x:v>Prensa pequena para todos os materiais, após validar as-is</x:v>
      </x:c>
      <x:c r="K25" s="43" t="str">
        <x:v>Cobertura = estoque total ÷ volume médio diário</x:v>
      </x:c>
      <x:c r="L25" s="43" t="str">
        <x:v>Regra de despacho e trajetória temporal pertencem ao SIMUL8</x:v>
      </x:c>
    </x:row>
    <x:row r="26" ht="48" customHeight="1">
      <x:c r="A26" s="43" t="str">
        <x:v>Paraisópolis</x:v>
      </x:c>
      <x:c r="B26" s="48" t="n">
        <x:f>'Densidades'!$P$6</x:f>
        <x:v>19.999839281883705</x:v>
      </x:c>
      <x:c r="C26" s="48" t="n">
        <x:v>33</x:v>
      </x:c>
      <x:c r="D26" s="48" t="n">
        <x:f>IF(B26=0,"",C26/(B26/6))</x:f>
        <x:v>9.90007955610687</x:v>
      </x:c>
      <x:c r="E26" s="43" t="str">
        <x:v>15 m³ — somente dinâmica operacional</x:v>
      </x:c>
      <x:c r="F26" s="43" t="str">
        <x:v>Fora da calculadora RCCP</x:v>
      </x:c>
      <x:c r="G26" s="48" t="n">
        <x:v>33</x:v>
      </x:c>
      <x:c r="H26" s="43" t="str">
        <x:v>Compartilhado entre materiais no CC</x:v>
      </x:c>
      <x:c r="I26" s="43" t="str">
        <x:v>Não</x:v>
      </x:c>
      <x:c r="J26" s="43" t="str">
        <x:v>Prensa pequena para todos os materiais, após validar as-is</x:v>
      </x:c>
      <x:c r="K26" s="43" t="str">
        <x:v>Cobertura = estoque total ÷ volume médio diário</x:v>
      </x:c>
      <x:c r="L26" s="43" t="str">
        <x:v>Regra de despacho e trajetória temporal pertencem ao SIMUL8</x:v>
      </x:c>
    </x:row>
    <x:row r="27" ht="48" customHeight="1">
      <x:c r="A27" s="43" t="str">
        <x:v>Brooklin</x:v>
      </x:c>
      <x:c r="B27" s="48" t="n">
        <x:f>'Densidades'!$P$7</x:f>
        <x:v>19.998343251285284</x:v>
      </x:c>
      <x:c r="C27" s="48" t="n">
        <x:v>33</x:v>
      </x:c>
      <x:c r="D27" s="48" t="n">
        <x:f>IF(B27=0,"",C27/(B27/6))</x:f>
        <x:v>9.900820158553616</x:v>
      </x:c>
      <x:c r="E27" s="43" t="str">
        <x:v>15 m³ — somente dinâmica operacional</x:v>
      </x:c>
      <x:c r="F27" s="43" t="str">
        <x:v>Fora da calculadora RCCP</x:v>
      </x:c>
      <x:c r="G27" s="48" t="n">
        <x:v>33</x:v>
      </x:c>
      <x:c r="H27" s="43" t="str">
        <x:v>Compartilhado entre materiais no CC</x:v>
      </x:c>
      <x:c r="I27" s="43" t="str">
        <x:v>Não</x:v>
      </x:c>
      <x:c r="J27" s="43" t="str">
        <x:v>Prensa pequena para todos os materiais, após validar as-is</x:v>
      </x:c>
      <x:c r="K27" s="43" t="str">
        <x:v>Cobertura = estoque total ÷ volume médio diário</x:v>
      </x:c>
      <x:c r="L27" s="43" t="str">
        <x:v>Regra de despacho e trajetória temporal pertencem ao SIMUL8</x:v>
      </x:c>
    </x:row>
    <x:row r="28" ht="48" customHeight="1">
      <x:c r="A28" s="43" t="str">
        <x:v>Embu das Artes</x:v>
      </x:c>
      <x:c r="B28" s="48" t="n">
        <x:f>'Densidades'!$P$8</x:f>
        <x:v>21.390948429448905</x:v>
      </x:c>
      <x:c r="C28" s="48" t="n">
        <x:v>33</x:v>
      </x:c>
      <x:c r="D28" s="48" t="n">
        <x:f>IF(B28=0,"",C28/(B28/6))</x:f>
        <x:v>9.256251570753802</x:v>
      </x:c>
      <x:c r="E28" s="43" t="str">
        <x:v>15 m³ — somente dinâmica operacional</x:v>
      </x:c>
      <x:c r="F28" s="43" t="str">
        <x:v>Fora da calculadora RCCP</x:v>
      </x:c>
      <x:c r="G28" s="48" t="n">
        <x:v>33</x:v>
      </x:c>
      <x:c r="H28" s="43" t="str">
        <x:v>Compartilhado entre materiais no CC</x:v>
      </x:c>
      <x:c r="I28" s="43" t="str">
        <x:v>Não</x:v>
      </x:c>
      <x:c r="J28" s="43" t="str">
        <x:v>Prensa pequena para todos os materiais, após validar as-is</x:v>
      </x:c>
      <x:c r="K28" s="43" t="str">
        <x:v>Cobertura = estoque total ÷ volume médio diário</x:v>
      </x:c>
      <x:c r="L28" s="43" t="str">
        <x:v>Regra de despacho e trajetória temporal pertencem ao SIMUL8</x:v>
      </x:c>
    </x:row>
    <x:row r="29" ht="48" customHeight="1">
      <x:c r="A29" s="43" t="str">
        <x:v>Hub Santo Amaro — entrada total</x:v>
      </x:c>
      <x:c r="B29" s="48" t="n">
        <x:f>'Densidades'!$P$10+'Densidades'!$P$9</x:f>
        <x:v>157.33316588016476</x:v>
      </x:c>
      <x:c r="C29" s="48" t="n">
        <x:v>493</x:v>
      </x:c>
      <x:c r="D29" s="48" t="n">
        <x:f>IF(B29=0,"",C29/(B29/6))</x:f>
        <x:v>18.800867467784933</x:v>
      </x:c>
      <x:c r="E29" s="43" t="str">
        <x:v>Não aplicável</x:v>
      </x:c>
      <x:c r="F29" s="43" t="str">
        <x:v>Não aplicável</x:v>
      </x:c>
      <x:c r="G29" s="48" t="n">
        <x:v>493</x:v>
      </x:c>
      <x:c r="H29" s="43" t="str">
        <x:v>493 m³ compartilhados, sem divisão fixa entre material solto e fardos</x:v>
      </x:c>
      <x:c r="I29" s="43" t="str">
        <x:v>Não aplicável</x:v>
      </x:c>
      <x:c r="J29" s="43" t="str">
        <x:v>Não aplicável como CC externo</x:v>
      </x:c>
      <x:c r="K29" s="43" t="str">
        <x:v>Cobertura/buffer físico; sem permanência ou retirada, não limita o throughput</x:v>
      </x:c>
      <x:c r="L29" s="43" t="str">
        <x:v>Capacidade física não equivale a capacidade semanal de processamento</x:v>
      </x:c>
    </x:row>
    <x:row r="32">
      <x:c r="A32" s="66" t="str">
        <x:v>Caminho operacional atualizado e fronteiras de cálculo</x:v>
      </x:c>
      <x:c r="B32" s="66"/>
      <x:c r="C32" s="66"/>
      <x:c r="D32" s="66"/>
      <x:c r="E32" s="66"/>
      <x:c r="F32" s="66"/>
      <x:c r="G32" s="66"/>
      <x:c r="H32" s="66"/>
      <x:c r="I32" s="66"/>
      <x:c r="J32" s="66"/>
      <x:c r="K32" s="66"/>
    </x:row>
    <x:row r="33" ht="30" customHeight="1">
      <x:c r="A33" s="14" t="str">
        <x:v>ID</x:v>
      </x:c>
      <x:c r="B33" s="14" t="str">
        <x:v>Etapa</x:v>
      </x:c>
      <x:c r="C33" s="14" t="str">
        <x:v>Início</x:v>
      </x:c>
      <x:c r="D33" s="14" t="str">
        <x:v>Fim</x:v>
      </x:c>
      <x:c r="E33" s="14" t="str">
        <x:v>Tempo/base</x:v>
      </x:c>
      <x:c r="F33" s="14" t="str">
        <x:v>Recurso</x:v>
      </x:c>
      <x:c r="G33" s="14" t="str">
        <x:v>Regra RCCP</x:v>
      </x:c>
      <x:c r="H33" s="14" t="str">
        <x:v>Situação</x:v>
      </x:c>
      <x:c r="I33" s="14" t="str">
        <x:v>Evidência</x:v>
      </x:c>
      <x:c r="J33" s="14" t="str">
        <x:v>Ponto ainda aberto</x:v>
      </x:c>
      <x:c r="K33" s="14" t="str">
        <x:v>Fronteira</x:v>
      </x:c>
    </x:row>
    <x:row r="34" ht="72" customHeight="1">
      <x:c r="A34" s="43" t="str">
        <x:v>CCI-001</x:v>
      </x:c>
      <x:c r="B34" s="43" t="str">
        <x:v>Receber</x:v>
      </x:c>
      <x:c r="C34" s="43" t="str">
        <x:v>Chegada física</x:v>
      </x:c>
      <x:c r="D34" s="43" t="str">
        <x:v>Material aceito</x:v>
      </x:c>
      <x:c r="E34" s="43" t="str">
        <x:v>0,5 min/visita</x:v>
      </x:c>
      <x:c r="F34" s="43" t="str">
        <x:v>1 operador local</x:v>
      </x:c>
      <x:c r="G34" s="43" t="str">
        <x:v>A quantidade oficial anual de chegadas é dividida por 52 para a carga semanal</x:v>
      </x:c>
      <x:c r="H34" s="43" t="str">
        <x:v>Calculado</x:v>
      </x:c>
      <x:c r="I34" s="43" t="str">
        <x:v>Base Geral de Parâmetros</x:v>
      </x:c>
      <x:c r="J34" s="43" t="str">
        <x:v>Validar apenas picos e fila no SIMUL8</x:v>
      </x:c>
      <x:c r="K34" s="43" t="str">
        <x:v>Inclui Santo Amaro direto</x:v>
      </x:c>
    </x:row>
    <x:row r="35" ht="72" customHeight="1">
      <x:c r="A35" s="43" t="str">
        <x:v>CCI-002</x:v>
      </x:c>
      <x:c r="B35" s="43" t="str">
        <x:v>Pesar</x:v>
      </x:c>
      <x:c r="C35" s="43" t="str">
        <x:v>Material aceito</x:v>
      </x:c>
      <x:c r="D35" s="43" t="str">
        <x:v>Peso aferido</x:v>
      </x:c>
      <x:c r="E35" s="43" t="str">
        <x:v>0,5 min/visita</x:v>
      </x:c>
      <x:c r="F35" s="43" t="str">
        <x:v>1 balança + operador</x:v>
      </x:c>
      <x:c r="G35" s="43" t="str">
        <x:v>Capacidade da balança = minutos de janela ÷ 0,5; não limitante no as-is</x:v>
      </x:c>
      <x:c r="H35" s="43" t="str">
        <x:v>Calculado</x:v>
      </x:c>
      <x:c r="I35" s="43" t="str">
        <x:v>Base Geral de Parâmetros</x:v>
      </x:c>
      <x:c r="J35" s="43" t="str">
        <x:v>Validar tara/repesagem</x:v>
      </x:c>
      <x:c r="K35" s="43" t="str">
        <x:v>Tempo permanece 0,5 min mesmo com eficiência</x:v>
      </x:c>
    </x:row>
    <x:row r="36" ht="72" customHeight="1">
      <x:c r="A36" s="43" t="str">
        <x:v>CCI-003</x:v>
      </x:c>
      <x:c r="B36" s="43" t="str">
        <x:v>Registrar</x:v>
      </x:c>
      <x:c r="C36" s="43" t="str">
        <x:v>Peso aferido</x:v>
      </x:c>
      <x:c r="D36" s="43" t="str">
        <x:v>Transação registrada</x:v>
      </x:c>
      <x:c r="E36" s="43" t="str">
        <x:v>1 min/visita</x:v>
      </x:c>
      <x:c r="F36" s="43" t="str">
        <x:v>Operador + sistema</x:v>
      </x:c>
      <x:c r="G36" s="43" t="str">
        <x:v>Consumo humano = visitas × 1</x:v>
      </x:c>
      <x:c r="H36" s="43" t="str">
        <x:v>Calculado</x:v>
      </x:c>
      <x:c r="I36" s="43" t="str">
        <x:v>Base Geral de Parâmetros</x:v>
      </x:c>
      <x:c r="J36" s="43" t="str">
        <x:v>Validar indisponibilidade do sistema</x:v>
      </x:c>
      <x:c r="K36" s="43" t="str">
        <x:v>Sequencial no ciclo de 4 min</x:v>
      </x:c>
    </x:row>
    <x:row r="37" ht="72" customHeight="1">
      <x:c r="A37" s="43" t="str">
        <x:v>CCI-004</x:v>
      </x:c>
      <x:c r="B37" s="43" t="str">
        <x:v>Segregar e armazenar</x:v>
      </x:c>
      <x:c r="C37" s="43" t="str">
        <x:v>Transação registrada</x:v>
      </x:c>
      <x:c r="D37" s="43" t="str">
        <x:v>Material no estoque</x:v>
      </x:c>
      <x:c r="E37" s="43" t="str">
        <x:v>2 min/visita</x:v>
      </x:c>
      <x:c r="F37" s="43" t="str">
        <x:v>Operador + espaço compartilhado</x:v>
      </x:c>
      <x:c r="G37" s="43" t="str">
        <x:v>Consumo humano = visitas × 2; volume = soma(massa por material ÷ densidade aparente do centro)</x:v>
      </x:c>
      <x:c r="H37" s="43" t="str">
        <x:v>Calculado</x:v>
      </x:c>
      <x:c r="I37" s="43" t="str">
        <x:v>Base Geral para tempo e estoque; densidades da etapa Caminhão</x:v>
      </x:c>
      <x:c r="J37" s="43" t="str">
        <x:v>Testar sensibilidade das densidades aparentes</x:v>
      </x:c>
      <x:c r="K37" s="43" t="str">
        <x:v>Sem prensa local no as-is</x:v>
      </x:c>
    </x:row>
    <x:row r="38" ht="72" customHeight="1">
      <x:c r="A38" s="43" t="str">
        <x:v>CCI-005</x:v>
      </x:c>
      <x:c r="B38" s="43" t="str">
        <x:v>Monitorar estoque e acionar regra operacional</x:v>
      </x:c>
      <x:c r="C38" s="43" t="str">
        <x:v>Material armazenado</x:v>
      </x:c>
      <x:c r="D38" s="43" t="str">
        <x:v>Solicitação possível</x:v>
      </x:c>
      <x:c r="E38" s="43" t="str">
        <x:v>0 op-min/sem; gatilho de 15 m³</x:v>
      </x:c>
      <x:c r="F38" s="43" t="str">
        <x:v>Estoque compartilhado</x:v>
      </x:c>
      <x:c r="G38" s="43" t="str">
        <x:v>O monitoramento visual não limita a capacidade; o gatilho de 15 m³ pertence à dinâmica operacional</x:v>
      </x:c>
      <x:c r="H38" s="43" t="str">
        <x:v>Fora do RCCP</x:v>
      </x:c>
      <x:c r="I38" s="43" t="str">
        <x:v>Base Geral de Parâmetros</x:v>
      </x:c>
      <x:c r="J38" s="43" t="str">
        <x:v>Medir apenas para a dinâmica operacional</x:v>
      </x:c>
      <x:c r="K38" s="43" t="str">
        <x:v>Não altera o throughput agregado</x:v>
      </x:c>
    </x:row>
    <x:row r="39" ht="72" customHeight="1">
      <x:c r="A39" s="43" t="str">
        <x:v>CCI-006</x:v>
      </x:c>
      <x:c r="B39" s="43" t="str">
        <x:v>Solicitar coleta</x:v>
      </x:c>
      <x:c r="C39" s="43" t="str">
        <x:v>Regra operacional atendida</x:v>
      </x:c>
      <x:c r="D39" s="43" t="str">
        <x:v>Centro elegível para coleta</x:v>
      </x:c>
      <x:c r="E39" s="43" t="str">
        <x:v>Política operacional</x:v>
      </x:c>
      <x:c r="F39" s="43" t="str">
        <x:v>Responsável + frota</x:v>
      </x:c>
      <x:c r="G39" s="43" t="str">
        <x:v>Entre centros elegíveis, priorizar a maior ocupação; sequência e fila pertencem ao SIMUL8</x:v>
      </x:c>
      <x:c r="H39" s="43" t="str">
        <x:v>Fora do RCCP</x:v>
      </x:c>
      <x:c r="I39" s="43" t="str">
        <x:v>Base Geral de Parâmetros</x:v>
      </x:c>
      <x:c r="J39" s="43" t="str">
        <x:v>Medir lead time apenas para validação dinâmica</x:v>
      </x:c>
      <x:c r="K39" s="43" t="str">
        <x:v>Não implementa agenda minuto a minuto</x:v>
      </x:c>
    </x:row>
    <x:row r="40" ht="72" customHeight="1">
      <x:c r="A40" s="43" t="str">
        <x:v>CCI-007</x:v>
      </x:c>
      <x:c r="B40" s="43" t="str">
        <x:v>Carregar com apoio local</x:v>
      </x:c>
      <x:c r="C40" s="43" t="str">
        <x:v>Caminhão posicionado</x:v>
      </x:c>
      <x:c r="D40" s="43" t="str">
        <x:v>Veículo liberado</x:v>
      </x:c>
      <x:c r="E40" s="43" t="str">
        <x:v>20 min Pinheiros; 30 demais</x:v>
      </x:c>
      <x:c r="F40" s="43" t="str">
        <x:v>2 operadores locais + caminhão</x:v>
      </x:c>
      <x:c r="G40" s="43" t="str">
        <x:v>Carregar o material de maior volume que couber; dois operadores ficam reservados</x:v>
      </x:c>
      <x:c r="H40" s="43" t="str">
        <x:v>Calculado</x:v>
      </x:c>
      <x:c r="I40" s="43" t="str">
        <x:v>Base Geral de Parâmetros</x:v>
      </x:c>
      <x:c r="J40" s="43" t="str">
        <x:v>Validar participação do motorista/equipamento</x:v>
      </x:c>
      <x:c r="K40" s="43" t="str">
        <x:v>Não duplicar a duração no ciclo do caminhão</x:v>
      </x:c>
    </x:row>
    <x:row r="41" ht="72" customHeight="1">
      <x:c r="A41" s="43" t="str">
        <x:v>CCI-008</x:v>
      </x:c>
      <x:c r="B41" s="43" t="str">
        <x:v>Transportar e receber no Hub</x:v>
      </x:c>
      <x:c r="C41" s="43" t="str">
        <x:v>Veículo liberado</x:v>
      </x:c>
      <x:c r="D41" s="43" t="str">
        <x:v>Material no estoque intermediário</x:v>
      </x:c>
      <x:c r="E41" s="43" t="str">
        <x:v>60,27 min ida e volta + operação</x:v>
      </x:c>
      <x:c r="F41" s="43" t="str">
        <x:v>Transporte + equipe Hub</x:v>
      </x:c>
      <x:c r="G41" s="43" t="str">
        <x:v>A capacidade pondera o ciclo pelas viagens equivalentes; 65,56 min ida e volta permanece como indicador matricial ponderado pela massa; descarga consome Hub</x:v>
      </x:c>
      <x:c r="H41" s="43" t="str">
        <x:v>Calculado</x:v>
      </x:c>
      <x:c r="I41" s="43" t="str">
        <x:v>Base Geral de Parâmetros</x:v>
      </x:c>
      <x:c r="J41" s="43" t="str">
        <x:v>Detalhar variabilidade no SIMUL8</x:v>
      </x:c>
      <x:c r="K41" s="43" t="str">
        <x:v>Santo Amaro direto pula esta etapa</x:v>
      </x:c>
    </x:row>
    <x:row r="42" ht="72" customHeight="1">
      <x:c r="A42" s="43" t="str">
        <x:v>CCI-009</x:v>
      </x:c>
      <x:c r="B42" s="43" t="str">
        <x:v>Entrada direta em Santo Amaro</x:v>
      </x:c>
      <x:c r="C42" s="43" t="str">
        <x:v>Pessoa chega ao Hub</x:v>
      </x:c>
      <x:c r="D42" s="43" t="str">
        <x:v>Material registrado no estoque compartilhado</x:v>
      </x:c>
      <x:c r="E42" s="43" t="str">
        <x:v>4 min/visita</x:v>
      </x:c>
      <x:c r="F42" s="43" t="str">
        <x:v>Equipe Hub</x:v>
      </x:c>
      <x:c r="G42" s="43" t="str">
        <x:v>Cada chegada consome o ciclo local; não gera descarga de caminhão nem passa pela triagem das cargas vindas dos CCs</x:v>
      </x:c>
      <x:c r="H42" s="43" t="str">
        <x:v>Calculado</x:v>
      </x:c>
      <x:c r="I42" s="43" t="str">
        <x:v>Base Geral de Parâmetros</x:v>
      </x:c>
      <x:c r="J42" s="43" t="str">
        <x:v>Validar apenas picos do atendimento direto</x:v>
      </x:c>
      <x:c r="K42" s="43" t="str">
        <x:v>Compartilha os 493 m³ do Hub</x:v>
      </x:c>
    </x:row>
    <x:row r="43" ht="72" customHeight="1">
      <x:c r="A43" s="43" t="str">
        <x:v>CCI-010</x:v>
      </x:c>
      <x:c r="B43" s="43" t="str">
        <x:v>Prensar localmente — futuro</x:v>
      </x:c>
      <x:c r="C43" s="43" t="str">
        <x:v>Material segregado</x:v>
      </x:c>
      <x:c r="D43" s="43" t="str">
        <x:v>Fardo local</x:v>
      </x:c>
      <x:c r="E43" s="43" t="str">
        <x:v>Não ativo</x:v>
      </x:c>
      <x:c r="F43" s="43" t="str">
        <x:v>Prensa pequena + operador</x:v>
      </x:c>
      <x:c r="G43" s="43" t="str">
        <x:v>Prensa pequena confirmada para todos os materiais; cenário bloqueado até validação do as-is</x:v>
      </x:c>
      <x:c r="H43" s="43" t="str">
        <x:v>Futuro</x:v>
      </x:c>
      <x:c r="I43" s="43" t="str">
        <x:v>Informado pelo usuário</x:v>
      </x:c>
      <x:c r="J43" s="43" t="str">
        <x:v>Definir centro/localização, ciclo, fardo, equipe e estoque</x:v>
      </x:c>
      <x:c r="K43" s="43" t="str">
        <x:v>Não participa da capacidade atual</x:v>
      </x:c>
    </x:row>
    <x:row r="46">
      <x:c r="A46" s="66" t="str">
        <x:v>Qualidade e denominador das chegadas físicas de 2025</x:v>
      </x:c>
      <x:c r="B46" s="66"/>
      <x:c r="C46" s="66"/>
      <x:c r="D46" s="66"/>
      <x:c r="E46" s="66"/>
      <x:c r="F46" s="66"/>
      <x:c r="G46" s="66"/>
      <x:c r="H46" s="66"/>
      <x:c r="I46" s="66"/>
      <x:c r="J46" s="66"/>
    </x:row>
    <x:row r="47" ht="30" customHeight="1">
      <x:c r="A47" s="14" t="str">
        <x:v>Centro</x:v>
      </x:c>
      <x:c r="B47" s="14" t="str">
        <x:v>Chegadas anuais</x:v>
      </x:c>
      <x:c r="C47" s="14" t="str">
        <x:v>Início do ano-base</x:v>
      </x:c>
      <x:c r="D47" s="14" t="str">
        <x:v>Fim do ano-base</x:v>
      </x:c>
      <x:c r="E47" s="14" t="str">
        <x:v>Semanas do ano-base</x:v>
      </x:c>
      <x:c r="F47" s="14" t="str">
        <x:v>Visitas/sem — checagem</x:v>
      </x:c>
      <x:c r="G47" s="14" t="str">
        <x:v>Visitas/sem — baseline</x:v>
      </x:c>
      <x:c r="H47" s="14" t="str">
        <x:v>P90 diário (não disponível)</x:v>
      </x:c>
      <x:c r="I47" s="14" t="str">
        <x:v>Máximo diário (não disponível)</x:v>
      </x:c>
      <x:c r="J47" s="14" t="str">
        <x:v>Denominador aplicado</x:v>
      </x:c>
    </x:row>
    <x:row r="48">
      <x:c r="A48" s="43" t="str">
        <x:v>Pinheiros</x:v>
      </x:c>
      <x:c r="B48" s="49" t="n">
        <x:v>6830</x:v>
      </x:c>
      <x:c r="C48" s="43" t="str">
        <x:v>2025-01-01</x:v>
      </x:c>
      <x:c r="D48" s="43" t="str">
        <x:v>2025-12-31</x:v>
      </x:c>
      <x:c r="E48" s="48" t="n">
        <x:v>52</x:v>
      </x:c>
      <x:c r="F48" s="48" t="n">
        <x:v>131.34615384615384</x:v>
      </x:c>
      <x:c r="G48" s="48" t="n">
        <x:v>131.34615384615384</x:v>
      </x:c>
      <x:c r="H48" s="43" t="str">
        <x:v>n/d</x:v>
      </x:c>
      <x:c r="I48" s="43" t="str">
        <x:v>n/d</x:v>
      </x:c>
      <x:c r="J48" s="43" t="str">
        <x:v>Quantidade anual oficial ÷ 52; sem série intradiária</x:v>
      </x:c>
    </x:row>
    <x:row r="49">
      <x:c r="A49" s="43" t="str">
        <x:v>Jabaquara</x:v>
      </x:c>
      <x:c r="B49" s="49" t="n">
        <x:v>8753</x:v>
      </x:c>
      <x:c r="C49" s="43" t="str">
        <x:v>2025-01-01</x:v>
      </x:c>
      <x:c r="D49" s="43" t="str">
        <x:v>2025-12-31</x:v>
      </x:c>
      <x:c r="E49" s="48" t="n">
        <x:v>52</x:v>
      </x:c>
      <x:c r="F49" s="48" t="n">
        <x:v>168.32692307692307</x:v>
      </x:c>
      <x:c r="G49" s="48" t="n">
        <x:v>168.32692307692307</x:v>
      </x:c>
      <x:c r="H49" s="43" t="str">
        <x:v>n/d</x:v>
      </x:c>
      <x:c r="I49" s="43" t="str">
        <x:v>n/d</x:v>
      </x:c>
      <x:c r="J49" s="43" t="str">
        <x:v>Quantidade anual oficial ÷ 52; sem série intradiária</x:v>
      </x:c>
    </x:row>
    <x:row r="50">
      <x:c r="A50" s="43" t="str">
        <x:v>Paraisópolis</x:v>
      </x:c>
      <x:c r="B50" s="49" t="n">
        <x:v>723</x:v>
      </x:c>
      <x:c r="C50" s="43" t="str">
        <x:v>2025-01-01</x:v>
      </x:c>
      <x:c r="D50" s="43" t="str">
        <x:v>2025-12-31</x:v>
      </x:c>
      <x:c r="E50" s="48" t="n">
        <x:v>52</x:v>
      </x:c>
      <x:c r="F50" s="48" t="n">
        <x:v>13.903846153846153</x:v>
      </x:c>
      <x:c r="G50" s="48" t="n">
        <x:v>13.903846153846153</x:v>
      </x:c>
      <x:c r="H50" s="43" t="str">
        <x:v>n/d</x:v>
      </x:c>
      <x:c r="I50" s="43" t="str">
        <x:v>n/d</x:v>
      </x:c>
      <x:c r="J50" s="43" t="str">
        <x:v>Quantidade anual oficial ÷ 52; sem série intradiária</x:v>
      </x:c>
    </x:row>
    <x:row r="51">
      <x:c r="A51" s="43" t="str">
        <x:v>Brooklin</x:v>
      </x:c>
      <x:c r="B51" s="49" t="n">
        <x:v>3397</x:v>
      </x:c>
      <x:c r="C51" s="43" t="str">
        <x:v>2025-01-01</x:v>
      </x:c>
      <x:c r="D51" s="43" t="str">
        <x:v>2025-12-31</x:v>
      </x:c>
      <x:c r="E51" s="48" t="n">
        <x:v>52</x:v>
      </x:c>
      <x:c r="F51" s="48" t="n">
        <x:v>65.32692307692308</x:v>
      </x:c>
      <x:c r="G51" s="48" t="n">
        <x:v>65.32692307692308</x:v>
      </x:c>
      <x:c r="H51" s="43" t="str">
        <x:v>n/d</x:v>
      </x:c>
      <x:c r="I51" s="43" t="str">
        <x:v>n/d</x:v>
      </x:c>
      <x:c r="J51" s="43" t="str">
        <x:v>Quantidade anual oficial ÷ 52; sem série intradiária</x:v>
      </x:c>
    </x:row>
    <x:row r="52">
      <x:c r="A52" s="43" t="str">
        <x:v>Embu das Artes</x:v>
      </x:c>
      <x:c r="B52" s="49" t="n">
        <x:v>1685</x:v>
      </x:c>
      <x:c r="C52" s="43" t="str">
        <x:v>2025-01-01</x:v>
      </x:c>
      <x:c r="D52" s="43" t="str">
        <x:v>2025-12-31</x:v>
      </x:c>
      <x:c r="E52" s="48" t="n">
        <x:v>52</x:v>
      </x:c>
      <x:c r="F52" s="48" t="n">
        <x:v>32.40384615384615</x:v>
      </x:c>
      <x:c r="G52" s="48" t="n">
        <x:v>32.40384615384615</x:v>
      </x:c>
      <x:c r="H52" s="43" t="str">
        <x:v>n/d</x:v>
      </x:c>
      <x:c r="I52" s="43" t="str">
        <x:v>n/d</x:v>
      </x:c>
      <x:c r="J52" s="43" t="str">
        <x:v>Quantidade anual oficial ÷ 52; sem série intradiária</x:v>
      </x:c>
    </x:row>
    <x:row r="53">
      <x:c r="A53" s="43" t="str">
        <x:v>Santo Amaro direto</x:v>
      </x:c>
      <x:c r="B53" s="49" t="n">
        <x:v>655</x:v>
      </x:c>
      <x:c r="C53" s="43" t="str">
        <x:v>2025-01-01</x:v>
      </x:c>
      <x:c r="D53" s="43" t="str">
        <x:v>2025-12-31</x:v>
      </x:c>
      <x:c r="E53" s="48" t="n">
        <x:v>52</x:v>
      </x:c>
      <x:c r="F53" s="48" t="n">
        <x:v>12.596153846153847</x:v>
      </x:c>
      <x:c r="G53" s="48" t="n">
        <x:v>12.596153846153847</x:v>
      </x:c>
      <x:c r="H53" s="43" t="str">
        <x:v>n/d</x:v>
      </x:c>
      <x:c r="I53" s="43" t="str">
        <x:v>n/d</x:v>
      </x:c>
      <x:c r="J53" s="43" t="str">
        <x:v>Quantidade anual oficial ÷ 52; sem série intradiária</x:v>
      </x:c>
    </x:row>
    <x:row r="55" ht="32" customHeight="1">
      <x:c r="A55" s="47" t="str">
        <x:v>Leitura vigente: cada chegada consolidada oficial representa uma visita. Os seis campos semanais destacados são editáveis e iniciam nas quantidades anuais de 2025 ÷ 52; massa e visitas permanecem independentes. A Base Geral não fornece uma série intradiária para P90 ou máximo diário.</x:v>
      </x:c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</x:row>
  </x:sheetData>
  <x:mergeCells>
    <x:mergeCell ref="A1:S1"/>
    <x:mergeCell ref="A2:S2"/>
    <x:mergeCell ref="A12:S12"/>
    <x:mergeCell ref="A22:L22"/>
    <x:mergeCell ref="A32:K32"/>
    <x:mergeCell ref="A46:J46"/>
    <x:mergeCell ref="A55:S5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7" hidden="0" customWidth="1"/>
    <x:col min="7" max="7" width="17" hidden="0" customWidth="1"/>
    <x:col min="8" max="8" width="15" hidden="0" customWidth="1"/>
    <x:col min="9" max="9" width="15" hidden="0" customWidth="1"/>
    <x:col min="10" max="10" width="16" hidden="0" customWidth="1"/>
    <x:col min="11" max="11" width="16" hidden="0" customWidth="1"/>
    <x:col min="12" max="12" width="19" hidden="0" customWidth="1"/>
    <x:col min="13" max="13" width="18" hidden="0" customWidth="1"/>
    <x:col min="14" max="14" width="34" hidden="0" customWidth="1"/>
    <x:col min="15" max="15" width="35" hidden="0" customWidth="1"/>
    <x:col min="16" max="16" width="20" hidden="0" customWidth="1"/>
    <x:col min="17" max="17" width="13" hidden="0" customWidth="1"/>
    <x:col min="18" max="18" width="13" hidden="0" customWidth="1"/>
  </x:cols>
  <x:sheetData>
    <x:row r="1" ht="30" customHeight="1">
      <x:c r="A1" s="4" t="str">
        <x:v>Rotas — Tempos e Distâncias Triangulares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8" customHeight="1">
      <x:c r="A2" s="8" t="str">
        <x:v>Valores de deslocamento em um sentido entre Santo Amaro e cada centro. Fórmulas calculam valor esperado, variância e desvio padrão.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3" ht="30" customHeight="1">
      <x:c r="A3" s="14" t="str">
        <x:v>ID</x:v>
      </x:c>
      <x:c r="B3" s="14" t="str">
        <x:v>Origem</x:v>
      </x:c>
      <x:c r="C3" s="14" t="str">
        <x:v>Destino</x:v>
      </x:c>
      <x:c r="D3" s="14" t="str">
        <x:v>Distância otimista (km)</x:v>
      </x:c>
      <x:c r="E3" s="14" t="str">
        <x:v>Distância provável (km)</x:v>
      </x:c>
      <x:c r="F3" s="14" t="str">
        <x:v>Distância pessimista (km)</x:v>
      </x:c>
      <x:c r="G3" s="14" t="str">
        <x:v>Distância esperada (km)</x:v>
      </x:c>
      <x:c r="H3" s="14" t="str">
        <x:v>Tempo otimista (min)</x:v>
      </x:c>
      <x:c r="I3" s="14" t="str">
        <x:v>Tempo provável (min)</x:v>
      </x:c>
      <x:c r="J3" s="14" t="str">
        <x:v>Tempo pessimista (min)</x:v>
      </x:c>
      <x:c r="K3" s="14" t="str">
        <x:v>Tempo esperado (min)</x:v>
      </x:c>
      <x:c r="L3" s="14" t="str">
        <x:v>Desvio padrão do tempo (min)</x:v>
      </x:c>
      <x:c r="M3" s="14" t="str">
        <x:v>Variância do tempo (min²)</x:v>
      </x:c>
      <x:c r="N3" s="14" t="str">
        <x:v>Fonte</x:v>
      </x:c>
      <x:c r="O3" s="14" t="str">
        <x:v>Localização</x:v>
      </x:c>
      <x:c r="P3" s="14" t="str">
        <x:v>Classificação</x:v>
      </x:c>
      <x:c r="Q3" s="14" t="str">
        <x:v>Confiança</x:v>
      </x:c>
      <x:c r="R3" s="14" t="str">
        <x:v>Status</x:v>
      </x:c>
    </x:row>
    <x:row r="4">
      <x:c r="A4" s="43" t="str">
        <x:v>R-001</x:v>
      </x:c>
      <x:c r="B4" s="43" t="str">
        <x:v>Pinheiros</x:v>
      </x:c>
      <x:c r="C4" s="43" t="str">
        <x:v>Santo Amaro</x:v>
      </x:c>
      <x:c r="D4" s="78" t="n">
        <x:v>8.7</x:v>
      </x:c>
      <x:c r="E4" s="78" t="n">
        <x:v>9.2</x:v>
      </x:c>
      <x:c r="F4" s="78" t="n">
        <x:v>10.6</x:v>
      </x:c>
      <x:c r="G4" s="78" t="n">
        <x:f>(D4+E4+F4)/3</x:f>
        <x:v>9.5</x:v>
      </x:c>
      <x:c r="H4" s="78" t="n">
        <x:v>22</x:v>
      </x:c>
      <x:c r="I4" s="78" t="n">
        <x:v>32</x:v>
      </x:c>
      <x:c r="J4" s="78" t="n">
        <x:v>51</x:v>
      </x:c>
      <x:c r="K4" s="78" t="n">
        <x:f>(H4+I4+J4)/3</x:f>
        <x:v>35</x:v>
      </x:c>
      <x:c r="L4" s="78" t="n">
        <x:f>M4^(1/2)</x:f>
        <x:v>6.013872850889571</x:v>
      </x:c>
      <x:c r="M4" s="79" t="n">
        <x:f>((H4*H4)+(I4*I4)+(J4*J4)-(H4*I4)-(H4*J4)-(I4*J4))/18</x:f>
        <x:v>36.166666666666664</x:v>
      </x:c>
      <x:c r="N4" s="43" t="str">
        <x:v>Matriz corrigida + análise de roteirização</x:v>
      </x:c>
      <x:c r="O4" s="43" t="str">
        <x:v>Matriz de Roteirização e Dist; linhas Pinheiros</x:v>
      </x:c>
      <x:c r="P4" s="43" t="str">
        <x:v>Calculado/modelado</x:v>
      </x:c>
      <x:c r="Q4" s="43" t="str">
        <x:v>Média</x:v>
      </x:c>
      <x:c r="R4" s="43" t="str">
        <x:v>Ativo</x:v>
      </x:c>
    </x:row>
    <x:row r="5">
      <x:c r="A5" s="43" t="str">
        <x:v>R-002</x:v>
      </x:c>
      <x:c r="B5" s="43" t="str">
        <x:v>Jabaquara</x:v>
      </x:c>
      <x:c r="C5" s="43" t="str">
        <x:v>Santo Amaro</x:v>
      </x:c>
      <x:c r="D5" s="78" t="n">
        <x:v>7.4</x:v>
      </x:c>
      <x:c r="E5" s="78" t="n">
        <x:v>7.8</x:v>
      </x:c>
      <x:c r="F5" s="78" t="n">
        <x:v>9</x:v>
      </x:c>
      <x:c r="G5" s="78" t="n">
        <x:f>(D5+E5+F5)/3</x:f>
        <x:v>8.066666666666666</x:v>
      </x:c>
      <x:c r="H5" s="78" t="n">
        <x:v>18</x:v>
      </x:c>
      <x:c r="I5" s="78" t="n">
        <x:v>25</x:v>
      </x:c>
      <x:c r="J5" s="78" t="n">
        <x:v>40</x:v>
      </x:c>
      <x:c r="K5" s="78" t="n">
        <x:f>(H5+I5+J5)/3</x:f>
        <x:v>27.666666666666668</x:v>
      </x:c>
      <x:c r="L5" s="78" t="n">
        <x:f>M5^(1/2)</x:f>
        <x:v>4.588633299312068</x:v>
      </x:c>
      <x:c r="M5" s="79" t="n">
        <x:f>((H5*H5)+(I5*I5)+(J5*J5)-(H5*I5)-(H5*J5)-(I5*J5))/18</x:f>
        <x:v>21.055555555555557</x:v>
      </x:c>
      <x:c r="N5" s="43" t="str">
        <x:v>Matriz corrigida + análise de roteirização</x:v>
      </x:c>
      <x:c r="O5" s="43" t="str">
        <x:v>Matriz de Roteirização e Dist; linhas Jabaquara</x:v>
      </x:c>
      <x:c r="P5" s="43" t="str">
        <x:v>Calculado/modelado</x:v>
      </x:c>
      <x:c r="Q5" s="43" t="str">
        <x:v>Média</x:v>
      </x:c>
      <x:c r="R5" s="43" t="str">
        <x:v>Ativo</x:v>
      </x:c>
    </x:row>
    <x:row r="6">
      <x:c r="A6" s="43" t="str">
        <x:v>R-003</x:v>
      </x:c>
      <x:c r="B6" s="43" t="str">
        <x:v>Paraisópolis</x:v>
      </x:c>
      <x:c r="C6" s="43" t="str">
        <x:v>Santo Amaro</x:v>
      </x:c>
      <x:c r="D6" s="78" t="n">
        <x:v>6</x:v>
      </x:c>
      <x:c r="E6" s="78" t="n">
        <x:v>6.3</x:v>
      </x:c>
      <x:c r="F6" s="78" t="n">
        <x:v>7.2</x:v>
      </x:c>
      <x:c r="G6" s="78" t="n">
        <x:f>(D6+E6+F6)/3</x:f>
        <x:v>6.5</x:v>
      </x:c>
      <x:c r="H6" s="78" t="n">
        <x:v>15</x:v>
      </x:c>
      <x:c r="I6" s="78" t="n">
        <x:v>22</x:v>
      </x:c>
      <x:c r="J6" s="78" t="n">
        <x:v>35</x:v>
      </x:c>
      <x:c r="K6" s="78" t="n">
        <x:f>(H6+I6+J6)/3</x:f>
        <x:v>24</x:v>
      </x:c>
      <x:c r="L6" s="78" t="n">
        <x:f>M6^(1/2)</x:f>
        <x:v>4.143267631552018</x:v>
      </x:c>
      <x:c r="M6" s="79" t="n">
        <x:f>((H6*H6)+(I6*I6)+(J6*J6)-(H6*I6)-(H6*J6)-(I6*J6))/18</x:f>
        <x:v>17.166666666666668</x:v>
      </x:c>
      <x:c r="N6" s="43" t="str">
        <x:v>Matriz corrigida + análise de roteirização</x:v>
      </x:c>
      <x:c r="O6" s="43" t="str">
        <x:v>Matriz de Roteirização e Dist; linhas Paraisópolis</x:v>
      </x:c>
      <x:c r="P6" s="43" t="str">
        <x:v>Calculado/modelado</x:v>
      </x:c>
      <x:c r="Q6" s="43" t="str">
        <x:v>Média</x:v>
      </x:c>
      <x:c r="R6" s="43" t="str">
        <x:v>Ativo</x:v>
      </x:c>
    </x:row>
    <x:row r="7">
      <x:c r="A7" s="43" t="str">
        <x:v>R-004</x:v>
      </x:c>
      <x:c r="B7" s="43" t="str">
        <x:v>Brooklin</x:v>
      </x:c>
      <x:c r="C7" s="43" t="str">
        <x:v>Santo Amaro</x:v>
      </x:c>
      <x:c r="D7" s="78" t="n">
        <x:v>3.6</x:v>
      </x:c>
      <x:c r="E7" s="78" t="n">
        <x:v>3.8</x:v>
      </x:c>
      <x:c r="F7" s="78" t="n">
        <x:v>4.4</x:v>
      </x:c>
      <x:c r="G7" s="78" t="n">
        <x:f>(D7+E7+F7)/3</x:f>
        <x:v>3.9333333333333336</x:v>
      </x:c>
      <x:c r="H7" s="78" t="n">
        <x:v>10</x:v>
      </x:c>
      <x:c r="I7" s="78" t="n">
        <x:v>15</x:v>
      </x:c>
      <x:c r="J7" s="78" t="n">
        <x:v>24</x:v>
      </x:c>
      <x:c r="K7" s="78" t="n">
        <x:f>(H7+I7+J7)/3</x:f>
        <x:v>16.333333333333332</x:v>
      </x:c>
      <x:c r="L7" s="78" t="n">
        <x:f>M7^(1/2)</x:f>
        <x:v>2.8963578661637945</x:v>
      </x:c>
      <x:c r="M7" s="79" t="n">
        <x:f>((H7*H7)+(I7*I7)+(J7*J7)-(H7*I7)-(H7*J7)-(I7*J7))/18</x:f>
        <x:v>8.38888888888889</x:v>
      </x:c>
      <x:c r="N7" s="43" t="str">
        <x:v>Matriz corrigida + análise de roteirização</x:v>
      </x:c>
      <x:c r="O7" s="43" t="str">
        <x:v>Matriz de Roteirização e Dist; linhas Brooklin</x:v>
      </x:c>
      <x:c r="P7" s="43" t="str">
        <x:v>Calculado/modelado</x:v>
      </x:c>
      <x:c r="Q7" s="43" t="str">
        <x:v>Média</x:v>
      </x:c>
      <x:c r="R7" s="43" t="str">
        <x:v>Ativo</x:v>
      </x:c>
    </x:row>
    <x:row r="8">
      <x:c r="A8" s="43" t="str">
        <x:v>R-005</x:v>
      </x:c>
      <x:c r="B8" s="43" t="str">
        <x:v>Embu das Artes</x:v>
      </x:c>
      <x:c r="C8" s="43" t="str">
        <x:v>Santo Amaro</x:v>
      </x:c>
      <x:c r="D8" s="78" t="n">
        <x:v>20.7</x:v>
      </x:c>
      <x:c r="E8" s="78" t="n">
        <x:v>21.8</x:v>
      </x:c>
      <x:c r="F8" s="78" t="n">
        <x:v>25.1</x:v>
      </x:c>
      <x:c r="G8" s="78" t="n">
        <x:f>(D8+E8+F8)/3</x:f>
        <x:v>22.53333333333333</x:v>
      </x:c>
      <x:c r="H8" s="78" t="n">
        <x:v>27</x:v>
      </x:c>
      <x:c r="I8" s="78" t="n">
        <x:v>38</x:v>
      </x:c>
      <x:c r="J8" s="78" t="n">
        <x:v>61</x:v>
      </x:c>
      <x:c r="K8" s="78" t="n">
        <x:f>(H8+I8+J8)/3</x:f>
        <x:v>42</x:v>
      </x:c>
      <x:c r="L8" s="78" t="n">
        <x:f>M8^(1/2)</x:f>
        <x:v>7.082843120291926</x:v>
      </x:c>
      <x:c r="M8" s="79" t="n">
        <x:f>((H8*H8)+(I8*I8)+(J8*J8)-(H8*I8)-(H8*J8)-(I8*J8))/18</x:f>
        <x:v>50.166666666666664</x:v>
      </x:c>
      <x:c r="N8" s="43" t="str">
        <x:v>Matriz corrigida + análise de roteirização</x:v>
      </x:c>
      <x:c r="O8" s="43" t="str">
        <x:v>Matriz de Roteirização e Dist; linhas Embu</x:v>
      </x:c>
      <x:c r="P8" s="43" t="str">
        <x:v>Calculado/modelado</x:v>
      </x:c>
      <x:c r="Q8" s="43" t="str">
        <x:v>Média</x:v>
      </x:c>
      <x:c r="R8" s="43" t="str">
        <x:v>Ativo</x:v>
      </x:c>
    </x:row>
    <x:row r="10">
      <x:c r="A10" s="66" t="str">
        <x:v>Indicadores agregados para o RCCP</x:v>
      </x:c>
      <x:c r="B10" s="66"/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</x:row>
    <x:row r="11" ht="30" customHeight="1">
      <x:c r="A11" s="14" t="str">
        <x:v>Indicador</x:v>
      </x:c>
      <x:c r="B11" s="14" t="str">
        <x:v>Valor</x:v>
      </x:c>
      <x:c r="C11" s="14" t="str">
        <x:v>Leitura</x:v>
      </x:c>
    </x:row>
    <x:row r="12">
      <x:c r="A12" s="43" t="str">
        <x:v>Média triangular simples — um sentido</x:v>
      </x:c>
      <x:c r="B12" s="80" t="n">
        <x:f>AVERAGE(K4:K8)</x:f>
        <x:v>29</x:v>
      </x:c>
      <x:c r="C12" s="43" t="str">
        <x:v>Referência não ponderada entre os cinco CCs</x:v>
      </x:c>
    </x:row>
    <x:row r="13">
      <x:c r="A13" s="43" t="str">
        <x:v>Média triangular ponderada pela demanda — um sentido</x:v>
      </x:c>
      <x:c r="B13" s="80" t="n">
        <x:f>(K4*'Demanda Centros'!P4+K5*'Demanda Centros'!P5+K6*'Demanda Centros'!P6+K7*'Demanda Centros'!P7+K8*'Demanda Centros'!P8)/'Demanda Centros'!P9</x:f>
        <x:v>32.78116099684062</x:v>
      </x:c>
      <x:c r="C13" s="43" t="str">
        <x:v>Indicador pedido para a matriz; ponderação por massa</x:v>
      </x:c>
    </x:row>
    <x:row r="14">
      <x:c r="A14" s="43" t="str">
        <x:v>Média triangular ponderada pela demanda — ida e volta</x:v>
      </x:c>
      <x:c r="B14" s="80" t="n">
        <x:f>2*B13</x:f>
        <x:v>65.56232199368124</x:v>
      </x:c>
      <x:c r="C14" s="43" t="str">
        <x:v>Tempo médio de deslocamento agregado</x:v>
      </x:c>
    </x:row>
    <x:row r="15">
      <x:c r="A15" s="43" t="str">
        <x:v>Média ponderada pelas viagens equivalentes — um sentido</x:v>
      </x:c>
      <x:c r="B15" s="80" t="n">
        <x:f>'Ciclos e Capacidade'!$N$24</x:f>
        <x:v>30.132479877944007</x:v>
      </x:c>
      <x:c r="C15" s="43" t="str">
        <x:v>Usada no ciclo de capacidade porque densidades diferentes alteram o número de viagens</x:v>
      </x:c>
    </x:row>
    <x:row r="17" ht="32" customHeight="1">
      <x:c r="A17" s="47" t="str">
        <x:v>A planilha original teve cinco células de distância registradas como datas. Esta aba usa os valores corrigidos. A média de 32,781 min/sentido pondera a matriz pela demanda oficial; a capacidade usa 30,132 min/sentido ponderados pelas viagens equivalentes derivadas das densidades vigentes de cada CC.</x:v>
      </x:c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</x:row>
  </x:sheetData>
  <x:mergeCells>
    <x:mergeCell ref="A1:R1"/>
    <x:mergeCell ref="A2:R2"/>
    <x:mergeCell ref="A10:R10"/>
    <x:mergeCell ref="A17:R17"/>
  </x:mergeCells>
  <x:dataValidations count="2">
    <x:dataValidation type="list" sqref="P4:P8">
      <x:formula1>"Observado,Calculado,Informado pelo usuário,Cenário,Calculado/modelado"</x:formula1>
    </x:dataValidation>
    <x:dataValidation type="list" sqref="R4:R8">
      <x:formula1>"Ativo,Pendente,Substituído"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9" hidden="0" customWidth="1"/>
    <x:col min="4" max="4" width="18" hidden="0" customWidth="1"/>
    <x:col min="5" max="5" width="17" hidden="0" customWidth="1"/>
    <x:col min="6" max="6" width="19" hidden="0" customWidth="1"/>
    <x:col min="7" max="7" width="20" hidden="0" customWidth="1"/>
    <x:col min="8" max="8" width="23" hidden="0" customWidth="1"/>
    <x:col min="9" max="9" width="34" hidden="0" customWidth="1"/>
    <x:col min="10" max="10" width="14" hidden="0" customWidth="1"/>
    <x:col min="11" max="11" width="13" hidden="0" customWidth="1"/>
    <x:col min="12" max="12" width="12" hidden="0" customWidth="1"/>
    <x:col min="13" max="13" width="42" hidden="0" customWidth="1"/>
  </x:cols>
  <x:sheetData>
    <x:row r="1" ht="30" customHeight="1">
      <x:c r="A1" s="4" t="str">
        <x:v>Tempos Operacionais do Caminhão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8" customHeight="1">
      <x:c r="A2" s="8" t="str">
        <x:v>Premissas informadas durante a construção colaborativa. Devem ser substituídas por medidas de campo quando houver observação disponível.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 ht="30" customHeight="1">
      <x:c r="A3" s="14" t="str">
        <x:v>ID</x:v>
      </x:c>
      <x:c r="B3" s="14" t="str">
        <x:v>Centro</x:v>
      </x:c>
      <x:c r="C3" s="14" t="str">
        <x:v>Espera no centro (min)</x:v>
      </x:c>
      <x:c r="D3" s="14" t="str">
        <x:v>Carregamento (min)</x:v>
      </x:c>
      <x:c r="E3" s="14" t="str">
        <x:v>Espera no hub (min)</x:v>
      </x:c>
      <x:c r="F3" s="14" t="str">
        <x:v>Descarregamento (min)</x:v>
      </x:c>
      <x:c r="G3" s="14" t="str">
        <x:v>Total operacional (min)</x:v>
      </x:c>
      <x:c r="H3" s="14" t="str">
        <x:v>Classificação</x:v>
      </x:c>
      <x:c r="I3" s="14" t="str">
        <x:v>Fonte</x:v>
      </x:c>
      <x:c r="J3" s="14" t="str">
        <x:v>Data de inclusão</x:v>
      </x:c>
      <x:c r="K3" s="14" t="str">
        <x:v>Confiança</x:v>
      </x:c>
      <x:c r="L3" s="14" t="str">
        <x:v>Editável?</x:v>
      </x:c>
      <x:c r="M3" s="14" t="str">
        <x:v>Observação</x:v>
      </x:c>
    </x:row>
    <x:row r="4">
      <x:c r="A4" s="43" t="str">
        <x:v>OP-001</x:v>
      </x:c>
      <x:c r="B4" s="43" t="str">
        <x:v>Pinheiros</x:v>
      </x:c>
      <x:c r="C4" s="48" t="n">
        <x:v>0</x:v>
      </x:c>
      <x:c r="D4" s="48" t="n">
        <x:v>20</x:v>
      </x:c>
      <x:c r="E4" s="48" t="n">
        <x:v>0</x:v>
      </x:c>
      <x:c r="F4" s="48" t="n">
        <x:v>30</x:v>
      </x:c>
      <x:c r="G4" s="48" t="n">
        <x:f>C4+D4+E4+F4</x:f>
        <x:v>50</x:v>
      </x:c>
      <x:c r="H4" s="43" t="str">
        <x:v>Cenário confirmado</x:v>
      </x:c>
      <x:c r="I4" s="43" t="str">
        <x:v>Base Geral de Parâmetros.xlsx</x:v>
      </x:c>
      <x:c r="J4" s="52" t="n">
        <x:v>46246.625</x:v>
      </x:c>
      <x:c r="K4" s="43" t="str">
        <x:v>Alta</x:v>
      </x:c>
      <x:c r="L4" s="43" t="str">
        <x:v>Sim</x:v>
      </x:c>
      <x:c r="M4" s="43" t="str">
        <x:v>Carregamento local usa 2 operadores; descarga no Hub usa 3 pessoas; triagem das cargas vindas dos CCs inicia em 0 min/carga.</x:v>
      </x:c>
    </x:row>
    <x:row r="5">
      <x:c r="A5" s="43" t="str">
        <x:v>OP-002</x:v>
      </x:c>
      <x:c r="B5" s="43" t="str">
        <x:v>Jabaquara</x:v>
      </x:c>
      <x:c r="C5" s="48" t="n">
        <x:v>0</x:v>
      </x:c>
      <x:c r="D5" s="48" t="n">
        <x:v>30</x:v>
      </x:c>
      <x:c r="E5" s="48" t="n">
        <x:v>0</x:v>
      </x:c>
      <x:c r="F5" s="48" t="n">
        <x:v>30</x:v>
      </x:c>
      <x:c r="G5" s="48" t="n">
        <x:f>C5+D5+E5+F5</x:f>
        <x:v>60</x:v>
      </x:c>
      <x:c r="H5" s="43" t="str">
        <x:v>Cenário confirmado</x:v>
      </x:c>
      <x:c r="I5" s="43" t="str">
        <x:v>Base Geral de Parâmetros.xlsx</x:v>
      </x:c>
      <x:c r="J5" s="52" t="n">
        <x:v>46246.625</x:v>
      </x:c>
      <x:c r="K5" s="43" t="str">
        <x:v>Alta</x:v>
      </x:c>
      <x:c r="L5" s="43" t="str">
        <x:v>Sim</x:v>
      </x:c>
      <x:c r="M5" s="43" t="str">
        <x:v>Carregamento local usa 2 operadores; descarga no Hub usa 3 pessoas; triagem das cargas vindas dos CCs inicia em 0 min/carga.</x:v>
      </x:c>
    </x:row>
    <x:row r="6">
      <x:c r="A6" s="43" t="str">
        <x:v>OP-003</x:v>
      </x:c>
      <x:c r="B6" s="43" t="str">
        <x:v>Paraisópolis</x:v>
      </x:c>
      <x:c r="C6" s="48" t="n">
        <x:v>0</x:v>
      </x:c>
      <x:c r="D6" s="48" t="n">
        <x:v>30</x:v>
      </x:c>
      <x:c r="E6" s="48" t="n">
        <x:v>0</x:v>
      </x:c>
      <x:c r="F6" s="48" t="n">
        <x:v>30</x:v>
      </x:c>
      <x:c r="G6" s="48" t="n">
        <x:f>C6+D6+E6+F6</x:f>
        <x:v>60</x:v>
      </x:c>
      <x:c r="H6" s="43" t="str">
        <x:v>Cenário confirmado</x:v>
      </x:c>
      <x:c r="I6" s="43" t="str">
        <x:v>Base Geral de Parâmetros.xlsx</x:v>
      </x:c>
      <x:c r="J6" s="52" t="n">
        <x:v>46246.625</x:v>
      </x:c>
      <x:c r="K6" s="43" t="str">
        <x:v>Alta</x:v>
      </x:c>
      <x:c r="L6" s="43" t="str">
        <x:v>Sim</x:v>
      </x:c>
      <x:c r="M6" s="43" t="str">
        <x:v>Carregamento local usa 2 operadores; descarga no Hub usa 3 pessoas; triagem das cargas vindas dos CCs inicia em 0 min/carga.</x:v>
      </x:c>
    </x:row>
    <x:row r="7">
      <x:c r="A7" s="43" t="str">
        <x:v>OP-004</x:v>
      </x:c>
      <x:c r="B7" s="43" t="str">
        <x:v>Brooklin</x:v>
      </x:c>
      <x:c r="C7" s="48" t="n">
        <x:v>0</x:v>
      </x:c>
      <x:c r="D7" s="48" t="n">
        <x:v>30</x:v>
      </x:c>
      <x:c r="E7" s="48" t="n">
        <x:v>0</x:v>
      </x:c>
      <x:c r="F7" s="48" t="n">
        <x:v>30</x:v>
      </x:c>
      <x:c r="G7" s="48" t="n">
        <x:f>C7+D7+E7+F7</x:f>
        <x:v>60</x:v>
      </x:c>
      <x:c r="H7" s="43" t="str">
        <x:v>Cenário confirmado</x:v>
      </x:c>
      <x:c r="I7" s="43" t="str">
        <x:v>Base Geral de Parâmetros.xlsx</x:v>
      </x:c>
      <x:c r="J7" s="52" t="n">
        <x:v>46246.625</x:v>
      </x:c>
      <x:c r="K7" s="43" t="str">
        <x:v>Alta</x:v>
      </x:c>
      <x:c r="L7" s="43" t="str">
        <x:v>Sim</x:v>
      </x:c>
      <x:c r="M7" s="43" t="str">
        <x:v>Carregamento local usa 2 operadores; descarga no Hub usa 3 pessoas; triagem das cargas vindas dos CCs inicia em 0 min/carga.</x:v>
      </x:c>
    </x:row>
    <x:row r="8">
      <x:c r="A8" s="43" t="str">
        <x:v>OP-005</x:v>
      </x:c>
      <x:c r="B8" s="43" t="str">
        <x:v>Embu das Artes</x:v>
      </x:c>
      <x:c r="C8" s="48" t="n">
        <x:v>0</x:v>
      </x:c>
      <x:c r="D8" s="48" t="n">
        <x:v>30</x:v>
      </x:c>
      <x:c r="E8" s="48" t="n">
        <x:v>0</x:v>
      </x:c>
      <x:c r="F8" s="48" t="n">
        <x:v>30</x:v>
      </x:c>
      <x:c r="G8" s="48" t="n">
        <x:f>C8+D8+E8+F8</x:f>
        <x:v>60</x:v>
      </x:c>
      <x:c r="H8" s="43" t="str">
        <x:v>Cenário confirmado</x:v>
      </x:c>
      <x:c r="I8" s="43" t="str">
        <x:v>Base Geral de Parâmetros.xlsx</x:v>
      </x:c>
      <x:c r="J8" s="52" t="n">
        <x:v>46246.625</x:v>
      </x:c>
      <x:c r="K8" s="43" t="str">
        <x:v>Alta</x:v>
      </x:c>
      <x:c r="L8" s="43" t="str">
        <x:v>Sim</x:v>
      </x:c>
      <x:c r="M8" s="43" t="str">
        <x:v>Carregamento local usa 2 operadores; descarga no Hub usa 3 pessoas; triagem das cargas vindas dos CCs inicia em 0 min/carga.</x:v>
      </x:c>
    </x:row>
    <x:row r="10" ht="32" customHeight="1">
      <x:c r="A10" s="47" t="str">
        <x:v>No Hub, uma entrada atende um caminhão por vez com três pessoas na descarga; a triagem das cargas vindas dos CCs inicia ativa em 0 min/carga. No Transporte, 08h–17h com 60 min de almoço exclusivo resulta em 480 min/dia para caminhão e motorista.</x:v>
      </x:c>
      <x:c r="B10" s="47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</x:row>
  </x:sheetData>
  <x:mergeCells>
    <x:mergeCell ref="A1:M1"/>
    <x:mergeCell ref="A2:M2"/>
    <x:mergeCell ref="A10:M10"/>
  </x:mergeCells>
  <x:dataValidations count="1">
    <x:dataValidation type="list" sqref="H4:H8">
      <x:formula1>"Observado,Informado pelo usuário,Cenário,Cenário confirmado"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7" hidden="0" customWidth="1"/>
    <x:col min="4" max="4" width="20" hidden="0" customWidth="1"/>
    <x:col min="5" max="5" width="22" hidden="0" customWidth="1"/>
    <x:col min="6" max="6" width="23" hidden="0" customWidth="1"/>
    <x:col min="7" max="7" width="20" hidden="0" customWidth="1"/>
    <x:col min="8" max="8" width="18" hidden="0" customWidth="1"/>
    <x:col min="9" max="9" width="18" hidden="0" customWidth="1"/>
    <x:col min="10" max="10" width="19" hidden="0" customWidth="1"/>
    <x:col min="11" max="11" width="21" hidden="0" customWidth="1"/>
    <x:col min="12" max="12" width="22" hidden="0" customWidth="1"/>
    <x:col min="13" max="13" width="35" hidden="0" customWidth="1"/>
    <x:col min="14" max="14" width="18" hidden="0" customWidth="1"/>
  </x:cols>
  <x:sheetData>
    <x:row r="1" ht="30" customHeight="1">
      <x:c r="A1" s="4" t="str">
        <x:v>Ciclos por Rota e Capacidade de Transporte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8" t="str">
        <x:v>A semana preserva cinco dias úteis + sábado. A capacidade anual usa capacidade semanal × dias trabalhados ÷ 6; a demanda anual permanece a massa oficial da Base Geral de Parâmetros.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 ht="30" customHeight="1">
      <x:c r="A3" s="14" t="str">
        <x:v>ID</x:v>
      </x:c>
      <x:c r="B3" s="14" t="str">
        <x:v>Centro</x:v>
      </x:c>
      <x:c r="C3" s="14" t="str">
        <x:v>Demanda (kg/semana)</x:v>
      </x:c>
      <x:c r="D3" s="14" t="str">
        <x:v>Participação nas viagens equivalentes</x:v>
      </x:c>
      <x:c r="E3" s="14" t="str">
        <x:v>Tempo esperado 1 sentido (min)</x:v>
      </x:c>
      <x:c r="F3" s="14" t="str">
        <x:v>Deslocamento 2 sentidos (min)</x:v>
      </x:c>
      <x:c r="G3" s="14" t="str">
        <x:v>Espera no centro (min)</x:v>
      </x:c>
      <x:c r="H3" s="14" t="str">
        <x:v>Carregamento (min)</x:v>
      </x:c>
      <x:c r="I3" s="14" t="str">
        <x:v>Espera no hub (min)</x:v>
      </x:c>
      <x:c r="J3" s="14" t="str">
        <x:v>Descarregamento (min)</x:v>
      </x:c>
      <x:c r="K3" s="14" t="str">
        <x:v>Ciclo completo (min)</x:v>
      </x:c>
      <x:c r="L3" s="14" t="str">
        <x:v>Capacidade equivalente da rota (kg/viagem)</x:v>
      </x:c>
      <x:c r="M3" s="82" t="str">
        <x:v>Resumo do cenário-base</x:v>
      </x:c>
      <x:c r="N3" s="82"/>
    </x:row>
    <x:row r="4">
      <x:c r="A4" s="43" t="str">
        <x:v>R-001</x:v>
      </x:c>
      <x:c r="B4" s="43" t="str">
        <x:v>Pinheiros</x:v>
      </x:c>
      <x:c r="C4" s="48" t="n">
        <x:f>'Demanda Centros'!$P4</x:f>
        <x:v>2830.2526923076925</x:v>
      </x:c>
      <x:c r="D4" s="50" t="n">
        <x:f>(C4/L4)/($C$4/$L$4+$C$5/$L$5+$C$6/$L$6+$C$7/$L$7+$C$8/$L$8)</x:f>
        <x:v>0.3302815179728782</x:v>
      </x:c>
      <x:c r="E4" s="48" t="n">
        <x:f>'Rotas'!$K4</x:f>
        <x:v>35</x:v>
      </x:c>
      <x:c r="F4" s="48" t="n">
        <x:f>2*E4</x:f>
        <x:v>70</x:v>
      </x:c>
      <x:c r="G4" s="48" t="n">
        <x:f>'Tempos Operacionais'!$C4</x:f>
        <x:v>0</x:v>
      </x:c>
      <x:c r="H4" s="48" t="n">
        <x:f>'Tempos Operacionais'!$D4</x:f>
        <x:v>20</x:v>
      </x:c>
      <x:c r="I4" s="48" t="n">
        <x:f>'Tempos Operacionais'!$E4</x:f>
        <x:v>0</x:v>
      </x:c>
      <x:c r="J4" s="48" t="n">
        <x:f>'Tempos Operacionais'!$F4</x:f>
        <x:v>30</x:v>
      </x:c>
      <x:c r="K4" s="48" t="n">
        <x:f>F4+G4+H4+I4+J4</x:f>
        <x:v>120</x:v>
      </x:c>
      <x:c r="L4" s="48" t="n">
        <x:f>IFERROR(C4/(IF('Densidades'!$F$4=0,0,'Densidades'!$F$4/MIN('Cenário Base'!$D$8*'Cenário Base'!$D$10*'Densidades'!$D$4,'Cenário Base'!$D$9))+IF('Densidades'!$F$5=0,0,'Densidades'!$F$5/MIN('Cenário Base'!$D$8*'Cenário Base'!$D$10*'Densidades'!$D$5,'Cenário Base'!$D$9))+IF('Densidades'!$F$6=0,0,'Densidades'!$F$6/MIN('Cenário Base'!$D$8*'Cenário Base'!$D$10*'Densidades'!$D$6,'Cenário Base'!$D$9))),0)</x:f>
        <x:v>537.7470391363481</x:v>
      </x:c>
      <x:c r="M4" s="59" t="str">
        <x:v>Referência automática pelo mix ponderado (kg/viagem; comparação)</x:v>
      </x:c>
      <x:c r="N4" s="87" t="n">
        <x:f>'Cenário Base'!$D$8*'Cenário Base'!$D$10*'Cenário Base'!$D$11</x:f>
        <x:v>461.49821502299227</x:v>
      </x:c>
    </x:row>
    <x:row r="5">
      <x:c r="A5" s="43" t="str">
        <x:v>R-002</x:v>
      </x:c>
      <x:c r="B5" s="43" t="str">
        <x:v>Jabaquara</x:v>
      </x:c>
      <x:c r="C5" s="48" t="n">
        <x:f>'Demanda Centros'!$P5</x:f>
        <x:v>2114.0940384615383</x:v>
      </x:c>
      <x:c r="D5" s="50" t="n">
        <x:f>(C5/L5)/($C$4/$L$4+$C$5/$L$5+$C$6/$L$6+$C$7/$L$7+$C$8/$L$8)</x:f>
        <x:v>0.26420530808479226</x:v>
      </x:c>
      <x:c r="E5" s="48" t="n">
        <x:f>'Rotas'!$K5</x:f>
        <x:v>27.666666666666668</x:v>
      </x:c>
      <x:c r="F5" s="48" t="n">
        <x:f>2*E5</x:f>
        <x:v>55.333333333333336</x:v>
      </x:c>
      <x:c r="G5" s="48" t="n">
        <x:f>'Tempos Operacionais'!$C5</x:f>
        <x:v>0</x:v>
      </x:c>
      <x:c r="H5" s="48" t="n">
        <x:f>'Tempos Operacionais'!$D5</x:f>
        <x:v>30</x:v>
      </x:c>
      <x:c r="I5" s="48" t="n">
        <x:f>'Tempos Operacionais'!$E5</x:f>
        <x:v>0</x:v>
      </x:c>
      <x:c r="J5" s="48" t="n">
        <x:f>'Tempos Operacionais'!$F5</x:f>
        <x:v>30</x:v>
      </x:c>
      <x:c r="K5" s="48" t="n">
        <x:f>F5+G5+H5+I5+J5</x:f>
        <x:v>115.33333333333334</x:v>
      </x:c>
      <x:c r="L5" s="48" t="n">
        <x:f>IFERROR(C5/(IF('Densidades'!$F$7=0,0,'Densidades'!$F$7/MIN('Cenário Base'!$D$8*'Cenário Base'!$D$10*'Densidades'!$D$7,'Cenário Base'!$D$9))+IF('Densidades'!$F$8=0,0,'Densidades'!$F$8/MIN('Cenário Base'!$D$8*'Cenário Base'!$D$10*'Densidades'!$D$8,'Cenário Base'!$D$9))+IF('Densidades'!$F$9=0,0,'Densidades'!$F$9/MIN('Cenário Base'!$D$8*'Cenário Base'!$D$10*'Densidades'!$D$9,'Cenário Base'!$D$9))),0)</x:f>
        <x:v>502.13425616893403</x:v>
      </x:c>
      <x:c r="M5" s="59" t="str">
        <x:v>Limite por peso (kg/viagem)</x:v>
      </x:c>
      <x:c r="N5" s="87" t="n">
        <x:f>'Cenário Base'!$D$9</x:f>
        <x:v>1800</x:v>
      </x:c>
    </x:row>
    <x:row r="6">
      <x:c r="A6" s="43" t="str">
        <x:v>R-003</x:v>
      </x:c>
      <x:c r="B6" s="43" t="str">
        <x:v>Paraisópolis</x:v>
      </x:c>
      <x:c r="C6" s="48" t="n">
        <x:f>'Demanda Centros'!$P6</x:f>
        <x:v>457.8355769230769</x:v>
      </x:c>
      <x:c r="D6" s="50" t="n">
        <x:f>(C6/L6)/($C$4/$L$4+$C$5/$L$5+$C$6/$L$6+$C$7/$L$7+$C$8/$L$8)</x:f>
        <x:v>0.13211130664924614</x:v>
      </x:c>
      <x:c r="E6" s="48" t="n">
        <x:f>'Rotas'!$K6</x:f>
        <x:v>24</x:v>
      </x:c>
      <x:c r="F6" s="48" t="n">
        <x:f>2*E6</x:f>
        <x:v>48</x:v>
      </x:c>
      <x:c r="G6" s="48" t="n">
        <x:f>'Tempos Operacionais'!$C6</x:f>
        <x:v>0</x:v>
      </x:c>
      <x:c r="H6" s="48" t="n">
        <x:f>'Tempos Operacionais'!$D6</x:f>
        <x:v>30</x:v>
      </x:c>
      <x:c r="I6" s="48" t="n">
        <x:f>'Tempos Operacionais'!$E6</x:f>
        <x:v>0</x:v>
      </x:c>
      <x:c r="J6" s="48" t="n">
        <x:f>'Tempos Operacionais'!$F6</x:f>
        <x:v>30</x:v>
      </x:c>
      <x:c r="K6" s="48" t="n">
        <x:f>F6+G6+H6+I6+J6</x:f>
        <x:v>108</x:v>
      </x:c>
      <x:c r="L6" s="48" t="n">
        <x:f>IFERROR(C6/(IF('Densidades'!$F$10=0,0,'Densidades'!$F$10/MIN('Cenário Base'!$D$8*'Cenário Base'!$D$10*'Densidades'!$D$10,'Cenário Base'!$D$9))+IF('Densidades'!$F$11=0,0,'Densidades'!$F$11/MIN('Cenário Base'!$D$8*'Cenário Base'!$D$10*'Densidades'!$D$11,'Cenário Base'!$D$9))+IF('Densidades'!$F$12=0,0,'Densidades'!$F$12/MIN('Cenário Base'!$D$8*'Cenário Base'!$D$10*'Densidades'!$D$12,'Cenário Base'!$D$9))),0)</x:f>
        <x:v>217.4736466362031</x:v>
      </x:c>
      <x:c r="M6" s="59" t="str">
        <x:v>Massa equivalente agregada usada (kg/viagem)</x:v>
      </x:c>
      <x:c r="N6" s="87" t="n">
        <x:f>SUM(C4:C8)/($C$4/$L$4+$C$5/$L$5+$C$6/$L$6+$C$7/$L$7+$C$8/$L$8)</x:f>
        <x:v>461.4982150229922</x:v>
      </x:c>
    </x:row>
    <x:row r="7">
      <x:c r="A7" s="43" t="str">
        <x:v>R-004</x:v>
      </x:c>
      <x:c r="B7" s="43" t="str">
        <x:v>Brooklin</x:v>
      </x:c>
      <x:c r="C7" s="48" t="n">
        <x:f>'Demanda Centros'!$P7</x:f>
        <x:v>367.8690384615384</x:v>
      </x:c>
      <x:c r="D7" s="50" t="n">
        <x:f>(C7/L7)/($C$4/$L$4+$C$5/$L$5+$C$6/$L$6+$C$7/$L$7+$C$8/$L$8)</x:f>
        <x:v>0.13210142444197642</x:v>
      </x:c>
      <x:c r="E7" s="48" t="n">
        <x:f>'Rotas'!$K7</x:f>
        <x:v>16.333333333333332</x:v>
      </x:c>
      <x:c r="F7" s="48" t="n">
        <x:f>2*E7</x:f>
        <x:v>32.666666666666664</x:v>
      </x:c>
      <x:c r="G7" s="48" t="n">
        <x:f>'Tempos Operacionais'!$C7</x:f>
        <x:v>0</x:v>
      </x:c>
      <x:c r="H7" s="48" t="n">
        <x:f>'Tempos Operacionais'!$D7</x:f>
        <x:v>30</x:v>
      </x:c>
      <x:c r="I7" s="48" t="n">
        <x:f>'Tempos Operacionais'!$E7</x:f>
        <x:v>0</x:v>
      </x:c>
      <x:c r="J7" s="48" t="n">
        <x:f>'Tempos Operacionais'!$F7</x:f>
        <x:v>30</x:v>
      </x:c>
      <x:c r="K7" s="48" t="n">
        <x:f>F7+G7+H7+I7+J7</x:f>
        <x:v>92.66666666666666</x:v>
      </x:c>
      <x:c r="L7" s="48" t="n">
        <x:f>IFERROR(C7/(IF('Densidades'!$F$13=0,0,'Densidades'!$F$13/MIN('Cenário Base'!$D$8*'Cenário Base'!$D$10*'Densidades'!$D$13,'Cenário Base'!$D$9))+IF('Densidades'!$F$14=0,0,'Densidades'!$F$14/MIN('Cenário Base'!$D$8*'Cenário Base'!$D$10*'Densidades'!$D$14,'Cenário Base'!$D$9))+IF('Densidades'!$F$15=0,0,'Densidades'!$F$15/MIN('Cenário Base'!$D$8*'Cenário Base'!$D$10*'Densidades'!$D$15,'Cenário Base'!$D$9))),0)</x:f>
        <x:v>174.75226929910852</x:v>
      </x:c>
      <x:c r="M7" s="59" t="str">
        <x:v>Ciclo médio ponderado por viagens (min)</x:v>
      </x:c>
      <x:c r="N7" s="87" t="n">
        <x:f>D4*K4+D5*K5+D6*K6+D7*K7+D8*K8</x:f>
        <x:v>116.96214457615925</x:v>
      </x:c>
    </x:row>
    <x:row r="8">
      <x:c r="A8" s="43" t="str">
        <x:v>R-005</x:v>
      </x:c>
      <x:c r="B8" s="43" t="str">
        <x:v>Embu das Artes</x:v>
      </x:c>
      <x:c r="C8" s="48" t="n">
        <x:f>'Demanda Centros'!$P8</x:f>
        <x:v>1584.106346153846</x:v>
      </x:c>
      <x:c r="D8" s="50" t="n">
        <x:f>(C8/L8)/($C$4/$L$4+$C$5/$L$5+$C$6/$L$6+$C$7/$L$7+$C$8/$L$8)</x:f>
        <x:v>0.14130044285110707</x:v>
      </x:c>
      <x:c r="E8" s="48" t="n">
        <x:f>'Rotas'!$K8</x:f>
        <x:v>42</x:v>
      </x:c>
      <x:c r="F8" s="48" t="n">
        <x:f>2*E8</x:f>
        <x:v>84</x:v>
      </x:c>
      <x:c r="G8" s="48" t="n">
        <x:f>'Tempos Operacionais'!$C8</x:f>
        <x:v>0</x:v>
      </x:c>
      <x:c r="H8" s="48" t="n">
        <x:f>'Tempos Operacionais'!$D8</x:f>
        <x:v>30</x:v>
      </x:c>
      <x:c r="I8" s="48" t="n">
        <x:f>'Tempos Operacionais'!$E8</x:f>
        <x:v>0</x:v>
      </x:c>
      <x:c r="J8" s="48" t="n">
        <x:f>'Tempos Operacionais'!$F8</x:f>
        <x:v>30</x:v>
      </x:c>
      <x:c r="K8" s="48" t="n">
        <x:f>F8+G8+H8+I8+J8</x:f>
        <x:v>144</x:v>
      </x:c>
      <x:c r="L8" s="48" t="n">
        <x:f>IFERROR(C8/(IF('Densidades'!$F$16=0,0,'Densidades'!$F$16/MIN('Cenário Base'!$D$8*'Cenário Base'!$D$10*'Densidades'!$D$16,'Cenário Base'!$D$9))+IF('Densidades'!$F$17=0,0,'Densidades'!$F$17/MIN('Cenário Base'!$D$8*'Cenário Base'!$D$10*'Densidades'!$D$17,'Cenário Base'!$D$9))+IF('Densidades'!$F$18=0,0,'Densidades'!$F$18/MIN('Cenário Base'!$D$8*'Cenário Base'!$D$10*'Densidades'!$D$18,'Cenário Base'!$D$9))),0)</x:f>
        <x:v>703.5223490952637</x:v>
      </x:c>
      <x:c r="M8" s="59" t="str">
        <x:v>Viagens nominais/dia útil</x:v>
      </x:c>
      <x:c r="N8" s="87" t="n">
        <x:f>IF(N7&gt;0,ROUNDDOWN('Cenário Base'!$D$5/N7,0)*'Cenário Base'!$D$4,0)</x:f>
        <x:v>4</x:v>
      </x:c>
    </x:row>
    <x:row r="9">
      <x:c r="M9" s="59" t="str">
        <x:v>Janela equivalente após eficiência — dia útil (min)</x:v>
      </x:c>
      <x:c r="N9" s="87" t="n">
        <x:f>'Cenário Base'!$D$5*'Cenário Base'!$D$7</x:f>
        <x:v>480</x:v>
      </x:c>
    </x:row>
    <x:row r="10">
      <x:c r="M10" s="59" t="str">
        <x:v>Partidas teóricas após eficiência/dia útil</x:v>
      </x:c>
      <x:c r="N10" s="87" t="n">
        <x:f>N8*'Cenário Base'!$D$7</x:f>
        <x:v>4</x:v>
      </x:c>
    </x:row>
    <x:row r="11">
      <x:c r="M11" s="59" t="str">
        <x:v>Viagens nominais/sábado</x:v>
      </x:c>
      <x:c r="N11" s="87" t="n">
        <x:f>IF(N7&gt;0,ROUNDDOWN('Cenário Base'!$D$64/N7,0)*'Cenário Base'!$D$4,0)</x:f>
        <x:v>2</x:v>
      </x:c>
    </x:row>
    <x:row r="12">
      <x:c r="M12" s="59" t="str">
        <x:v>Janela equivalente após eficiência — sábado (min)</x:v>
      </x:c>
      <x:c r="N12" s="87" t="n">
        <x:f>'Cenário Base'!$D$64*'Cenário Base'!$D$7</x:f>
        <x:v>240</x:v>
      </x:c>
    </x:row>
    <x:row r="13">
      <x:c r="M13" s="59" t="str">
        <x:v>Partidas teóricas após eficiência/sábado</x:v>
      </x:c>
      <x:c r="N13" s="87" t="n">
        <x:f>N11*'Cenário Base'!$D$7</x:f>
        <x:v>2</x:v>
      </x:c>
    </x:row>
    <x:row r="14">
      <x:c r="M14" s="59" t="str">
        <x:v>Viagens nominais/semana</x:v>
      </x:c>
      <x:c r="N14" s="87" t="n">
        <x:f>N8*'Cenário Base'!$D$61+N11*'Cenário Base'!$D$63</x:f>
        <x:v>22</x:v>
      </x:c>
    </x:row>
    <x:row r="15">
      <x:c r="M15" s="59" t="str">
        <x:v>Viagens efetivas/semana</x:v>
      </x:c>
      <x:c r="N15" s="87" t="n">
        <x:f>ROUNDDOWN(N14*'Cenário Base'!$D$7,0)</x:f>
        <x:v>22</x:v>
      </x:c>
    </x:row>
    <x:row r="16">
      <x:c r="M16" s="59" t="str">
        <x:v>Capacidade nominal (kg/semana)</x:v>
      </x:c>
      <x:c r="N16" s="87" t="n">
        <x:f>N14*N6</x:f>
        <x:v>10152.960730505829</x:v>
      </x:c>
    </x:row>
    <x:row r="17">
      <x:c r="M17" s="59" t="str">
        <x:v>Capacidade efetiva (kg/semana)</x:v>
      </x:c>
      <x:c r="N17" s="87" t="n">
        <x:f>N15*N6</x:f>
        <x:v>10152.960730505829</x:v>
      </x:c>
    </x:row>
    <x:row r="18">
      <x:c r="M18" s="59" t="str">
        <x:v>Demanda externa (kg/semana)</x:v>
      </x:c>
      <x:c r="N18" s="87" t="n">
        <x:f>'Cenário Base'!$D$13</x:f>
        <x:v>7354.157692307692</x:v>
      </x:c>
    </x:row>
    <x:row r="19">
      <x:c r="M19" s="59" t="str">
        <x:v>Utilização efetiva</x:v>
      </x:c>
      <x:c r="N19" s="88" t="n">
        <x:f>N18/N17</x:f>
        <x:v>0.7243362687507707</x:v>
      </x:c>
    </x:row>
    <x:row r="20">
      <x:c r="M20" s="59" t="str">
        <x:v>Folga efetiva (kg/semana)</x:v>
      </x:c>
      <x:c r="N20" s="87" t="n">
        <x:f>N17-N18</x:f>
        <x:v>2798.803038198137</x:v>
      </x:c>
    </x:row>
    <x:row r="21">
      <x:c r="M21" s="59" t="str">
        <x:v>Menor cobertura física entre os CCs (dias)</x:v>
      </x:c>
      <x:c r="N21" s="87" t="n">
        <x:f>MIN('Centros de Coleta'!$D$24:$D$28)</x:f>
        <x:v>3.5999934901709842</x:v>
      </x:c>
    </x:row>
    <x:row r="22">
      <x:c r="M22" s="59" t="str">
        <x:v>Viagens equivalentes requeridas/semana</x:v>
      </x:c>
      <x:c r="N22" s="87" t="n">
        <x:f>$C$4/$L$4+$C$5/$L$5+$C$6/$L$6+$C$7/$L$7+$C$8/$L$8</x:f>
        <x:v>15.935397912516956</x:v>
      </x:c>
    </x:row>
    <x:row r="23">
      <x:c r="M23" s="59" t="str">
        <x:v>Folga de viagens equivalentes/semana</x:v>
      </x:c>
      <x:c r="N23" s="87" t="n">
        <x:f>N15-N22</x:f>
        <x:v>6.064602087483044</x:v>
      </x:c>
    </x:row>
    <x:row r="24">
      <x:c r="M24" s="59" t="str">
        <x:v>Tempo médio ponderado pelas viagens (min/sentido)</x:v>
      </x:c>
      <x:c r="N24" s="87" t="n">
        <x:f>D4*E4+D5*E5+D6*E6+D7*E7+D8*E8</x:f>
        <x:v>30.132479877944007</x:v>
      </x:c>
    </x:row>
    <x:row r="25">
      <x:c r="M25" s="59" t="str">
        <x:v>Capacidade efetiva anualizada (kg/ano)</x:v>
      </x:c>
      <x:c r="N25" s="87" t="n">
        <x:f>N17*'Cenário Base'!$D$12/6</x:f>
        <x:v>527953.9579863031</x:v>
      </x:c>
    </x:row>
    <x:row r="26">
      <x:c r="M26" s="59" t="str">
        <x:v>Demanda anual da Base Geral oficial (kg/ano)</x:v>
      </x:c>
      <x:c r="N26" s="87" t="n">
        <x:f>N18*'Cenário Base'!$D$65</x:f>
        <x:v>382416.19999999995</x:v>
      </x:c>
    </x:row>
    <x:row r="27">
      <x:c r="M27" s="59" t="str">
        <x:v>Folga anual (kg/ano)</x:v>
      </x:c>
      <x:c r="N27" s="87" t="n">
        <x:f>N25-N26</x:f>
        <x:v>145537.7579863032</x:v>
      </x:c>
    </x:row>
    <x:row r="28">
      <x:c r="M28" s="59" t="str">
        <x:v>Capacidade integrada anual equivalente (kg/ano)</x:v>
      </x:c>
      <x:c r="N28" s="87" t="n">
        <x:f>(N18+'Centros de Coleta'!$B$19)/MAX(N19,MAX('Centros de Coleta'!$P$14:$P$18),'Prensagem'!$J$32)*'Cenário Base'!$D$12/6</x:f>
        <x:v>548198.2845962212</x:v>
      </x:c>
    </x:row>
    <x:row r="29">
      <x:c r="M29" s="59" t="str">
        <x:v>Demanda integrada anual fixa (kg/ano)</x:v>
      </x:c>
      <x:c r="N29" s="87" t="n">
        <x:f>(N18+'Centros de Coleta'!$B$19)*'Cenário Base'!$D$65</x:f>
        <x:v>397079.89999999997</x:v>
      </x:c>
    </x:row>
    <x:row r="30">
      <x:c r="M30" s="59" t="str">
        <x:v>Folga integrada anual (kg/ano)</x:v>
      </x:c>
      <x:c r="N30" s="87" t="n">
        <x:f>N28-N29</x:f>
        <x:v>151118.3845962212</x:v>
      </x:c>
    </x:row>
    <x:row r="32" ht="32" customHeight="1">
      <x:c r="A32" s="47" t="str">
        <x:v>A média de 32,781 min/sentido descreve a matriz ponderada pela demanda oficial; o ciclo da capacidade usa 30,132 min/sentido ponderados pelas viagens equivalentes. Por rota, a capacidade usa cada densidade específica vigente e o limite de volume/peso.</x:v>
      </x:c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</x:row>
  </x:sheetData>
  <x:mergeCells>
    <x:mergeCell ref="A1:N1"/>
    <x:mergeCell ref="A2:N2"/>
    <x:mergeCell ref="M3:N3"/>
    <x:mergeCell ref="A32:N3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6" hidden="0" customWidth="1"/>
    <x:col min="5" max="5" width="17" hidden="0" customWidth="1"/>
    <x:col min="6" max="6" width="21" hidden="0" customWidth="1"/>
    <x:col min="7" max="7" width="15" hidden="0" customWidth="1"/>
    <x:col min="8" max="8" width="16" hidden="0" customWidth="1"/>
    <x:col min="9" max="9" width="16" hidden="0" customWidth="1"/>
    <x:col min="10" max="10" width="20" hidden="0" customWidth="1"/>
    <x:col min="11" max="11" width="20" hidden="0" customWidth="1"/>
    <x:col min="12" max="12" width="25" hidden="0" customWidth="1"/>
    <x:col min="13" max="13" width="25" hidden="0" customWidth="1"/>
    <x:col min="14" max="14" width="37" hidden="0" customWidth="1"/>
    <x:col min="15" max="15" width="24" hidden="0" customWidth="1"/>
  </x:cols>
  <x:sheetData>
    <x:row r="1" ht="30" customHeight="1">
      <x:c r="A1" s="4" t="str">
        <x:v>Prensagem — Limites de Equipamento e Equipe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8" customHeight="1">
      <x:c r="A2" s="8" t="str">
        <x:v>Horizonte semanal seg–sáb. A eficiência do Hub é aplicada uma única vez à disponibilidade da equipe e das prensas; os tempos de tarefa permanecem inalterados.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 ht="30" customHeight="1">
      <x:c r="A4" s="14" t="str">
        <x:v>Premissa vinculada</x:v>
      </x:c>
      <x:c r="B4" s="14" t="str">
        <x:v>Valor</x:v>
      </x:c>
      <x:c r="C4" s="14" t="str">
        <x:v>Unidade</x:v>
      </x:c>
      <x:c r="D4" s="14" t="str">
        <x:v>Observação</x:v>
      </x:c>
      <x:c r="E4" s="14" t="str">
        <x:v>Regra de equipe</x:v>
      </x:c>
      <x:c r="F4" s="14" t="str">
        <x:v>Valor</x:v>
      </x:c>
      <x:c r="G4" s="14" t="str">
        <x:v>Unidade</x:v>
      </x:c>
      <x:c r="H4" s="14" t="str">
        <x:v>Observação</x:v>
      </x:c>
    </x:row>
    <x:row r="5">
      <x:c r="A5" s="43" t="str">
        <x:v>Janela efetiva semanal por prensa</x:v>
      </x:c>
      <x:c r="B5" s="48" t="n">
        <x:f>('Cenário Base'!$D$61*'Cenário Base'!$D$62+'Cenário Base'!$D$63*'Cenário Base'!$D$64)*'Cenário Base'!$D$67</x:f>
        <x:v>2940</x:v>
      </x:c>
      <x:c r="C5" s="43" t="str">
        <x:v>min/semana</x:v>
      </x:c>
      <x:c r="D5" s="43" t="str">
        <x:v>Calendário seg–sáb × eficiência do Hub, aplicada uma única vez.</x:v>
      </x:c>
      <x:c r="E5" s="43" t="str">
        <x:v>Pessoas compartilhadas no Hub</x:v>
      </x:c>
      <x:c r="F5" s="49" t="n">
        <x:f>'Cenário Base'!$D$47</x:f>
        <x:v>6</x:v>
      </x:c>
      <x:c r="G5" s="43" t="str">
        <x:v>pessoas</x:v>
      </x:c>
      <x:c r="H5" s="43" t="str">
        <x:v>Atendem descarga, movimentação, prensagem, expedição e a triagem das cargas vindas dos CCs quando configurada.</x:v>
      </x:c>
    </x:row>
    <x:row r="6">
      <x:c r="A6" s="43" t="str">
        <x:v>Prensas grandes ativas</x:v>
      </x:c>
      <x:c r="B6" s="49" t="n">
        <x:f>'Cenário Base'!$D$31</x:f>
        <x:v>2</x:v>
      </x:c>
      <x:c r="C6" s="43" t="str">
        <x:v>un.</x:v>
      </x:c>
      <x:c r="D6" s="43" t="str">
        <x:v>Exclusivas de papelão.</x:v>
      </x:c>
      <x:c r="E6" s="43" t="str">
        <x:v>Pessoas necessárias por prensa ativa</x:v>
      </x:c>
      <x:c r="F6" s="49" t="n">
        <x:f>'Cenário Base'!$D$48</x:f>
        <x:v>1</x:v>
      </x:c>
      <x:c r="G6" s="43" t="str">
        <x:v>pessoa/prensa</x:v>
      </x:c>
      <x:c r="H6" s="43" t="str">
        <x:v>A mesma pessoa movimenta a batelada e executa a prensagem.</x:v>
      </x:c>
    </x:row>
    <x:row r="7">
      <x:c r="A7" s="43" t="str">
        <x:v>Prensas pequenas ativas</x:v>
      </x:c>
      <x:c r="B7" s="49" t="n">
        <x:f>'Cenário Base'!$D$30</x:f>
        <x:v>4</x:v>
      </x:c>
      <x:c r="C7" s="43" t="str">
        <x:v>un.</x:v>
      </x:c>
      <x:c r="D7" s="43" t="str">
        <x:v>Compartilhadas entre plástico e longa vida.</x:v>
      </x:c>
      <x:c r="E7" s="43" t="str">
        <x:v>Prensas simultâneas por pessoa</x:v>
      </x:c>
      <x:c r="F7" s="49" t="n">
        <x:f>'Cenário Base'!$D$49</x:f>
        <x:v>1</x:v>
      </x:c>
      <x:c r="G7" s="43" t="str">
        <x:v>prensa/pessoa</x:v>
      </x:c>
      <x:c r="H7" s="43" t="str">
        <x:v>Uma pessoa não opera duas prensas em paralelo.</x:v>
      </x:c>
    </x:row>
    <x:row r="8">
      <x:c r="A8" s="43" t="str">
        <x:v>Minutos-máquina disponíveis — grandes</x:v>
      </x:c>
      <x:c r="B8" s="48" t="n">
        <x:f>B5*B6</x:f>
        <x:v>5880</x:v>
      </x:c>
      <x:c r="C8" s="43" t="str">
        <x:v>min-máquina/semana</x:v>
      </x:c>
      <x:c r="D8" s="43" t="str">
        <x:v>Janela efetiva por prensa × prensas grandes.</x:v>
      </x:c>
      <x:c r="E8" s="43" t="str">
        <x:v>Prensas simultâneas máximas</x:v>
      </x:c>
      <x:c r="F8" s="49" t="n">
        <x:f>'Cenário Base'!$D$50</x:f>
        <x:v>6</x:v>
      </x:c>
      <x:c r="G8" s="43" t="str">
        <x:v>prensas</x:v>
      </x:c>
      <x:c r="H8" s="43" t="str">
        <x:v>Teto instantâneo quando as pessoas estão livres.</x:v>
      </x:c>
    </x:row>
    <x:row r="9">
      <x:c r="A9" s="43" t="str">
        <x:v>Minutos-máquina disponíveis — pequenas</x:v>
      </x:c>
      <x:c r="B9" s="48" t="n">
        <x:f>B5*B7</x:f>
        <x:v>11760</x:v>
      </x:c>
      <x:c r="C9" s="43" t="str">
        <x:v>min-máquina/semana</x:v>
      </x:c>
      <x:c r="D9" s="43" t="str">
        <x:v>Janela efetiva por prensa × prensas pequenas.</x:v>
      </x:c>
      <x:c r="E9" s="43" t="str">
        <x:v>Teto máximo de operador-min do ciclo</x:v>
      </x:c>
      <x:c r="F9" s="48" t="n">
        <x:f>$B$5*F8</x:f>
        <x:v>17640</x:v>
      </x:c>
      <x:c r="G9" s="43" t="str">
        <x:v>min-homem/semana</x:v>
      </x:c>
      <x:c r="H9" s="43" t="str">
        <x:v>Teto semanal efetivo das seis pessoas; o resumo abaixo separa os consumos conhecidos.</x:v>
      </x:c>
    </x:row>
    <x:row r="11" ht="30" customHeight="1">
      <x:c r="A11" s="14" t="str">
        <x:v>Material</x:v>
      </x:c>
      <x:c r="B11" s="14" t="str">
        <x:v>Prensa elegível</x:v>
      </x:c>
      <x:c r="C11" s="14" t="str">
        <x:v>Prensas</x:v>
      </x:c>
      <x:c r="D11" s="14" t="str">
        <x:v>Prensagem por fardo (min)</x:v>
      </x:c>
      <x:c r="E11" s="14" t="str">
        <x:v>Movimentação por fardo (min)</x:v>
      </x:c>
      <x:c r="F11" s="14" t="str">
        <x:v>Tempo total do operador (min/fardo)</x:v>
      </x:c>
      <x:c r="G11" s="14" t="str">
        <x:v>Peso por fardo (kg)</x:v>
      </x:c>
      <x:c r="H11" s="14" t="str">
        <x:v>Volume por fardo (m³)</x:v>
      </x:c>
      <x:c r="I11" s="14" t="str">
        <x:v>Min. máquina/semana</x:v>
      </x:c>
      <x:c r="J11" s="14" t="str">
        <x:v>Fardos pelo equipamento/semana</x:v>
      </x:c>
      <x:c r="K11" s="14" t="str">
        <x:v>kg/semana pelo equipamento</x:v>
      </x:c>
      <x:c r="L11" s="14" t="str">
        <x:v>Fardos com equipe 100% dedicada/semana</x:v>
      </x:c>
      <x:c r="M11" s="14" t="str">
        <x:v>kg/semana com equipe 100% dedicada</x:v>
      </x:c>
      <x:c r="N11" s="14" t="str">
        <x:v>Restrição de recurso</x:v>
      </x:c>
      <x:c r="O11" s="14" t="str">
        <x:v>Leitura</x:v>
      </x:c>
    </x:row>
    <x:row r="12">
      <x:c r="A12" s="43" t="str">
        <x:v>Papelão</x:v>
      </x:c>
      <x:c r="B12" s="43" t="str">
        <x:v>Grandes</x:v>
      </x:c>
      <x:c r="C12" s="49" t="n">
        <x:f>$B$6</x:f>
        <x:v>2</x:v>
      </x:c>
      <x:c r="D12" s="48" t="n">
        <x:f>'Cenário Base'!$D$33</x:f>
        <x:v>20</x:v>
      </x:c>
      <x:c r="E12" s="48" t="n">
        <x:f>'Cenário Base'!$D$52</x:f>
        <x:v>10</x:v>
      </x:c>
      <x:c r="F12" s="48" t="n">
        <x:f>D12+E12</x:f>
        <x:v>30</x:v>
      </x:c>
      <x:c r="G12" s="48" t="n">
        <x:f>'Cenário Base'!$D$34</x:f>
        <x:v>200</x:v>
      </x:c>
      <x:c r="H12" s="51" t="n">
        <x:f>'Cenário Base'!$D$42</x:f>
        <x:v>0.539</x:v>
      </x:c>
      <x:c r="I12" s="60" t="n">
        <x:f>$B$5*C12</x:f>
        <x:v>5880</x:v>
      </x:c>
      <x:c r="J12" s="60" t="n">
        <x:f>I12/D12</x:f>
        <x:v>294</x:v>
      </x:c>
      <x:c r="K12" s="90" t="n">
        <x:f>J12*G12</x:f>
        <x:v>58800</x:v>
      </x:c>
      <x:c r="L12" s="92" t="n">
        <x:f>MIN(J12,$F$9/F12)</x:f>
        <x:v>294</x:v>
      </x:c>
      <x:c r="M12" s="92" t="n">
        <x:f>L12*G12</x:f>
        <x:v>58800</x:v>
      </x:c>
      <x:c r="N12" s="43" t="str">
        <x:v>Duas prensas, mas a movimentação reduz o teto humano</x:v>
      </x:c>
      <x:c r="O12" s="43" t="str">
        <x:v>Teto humano condicional</x:v>
      </x:c>
    </x:row>
    <x:row r="13">
      <x:c r="A13" s="43" t="str">
        <x:v>Plástico</x:v>
      </x:c>
      <x:c r="B13" s="43" t="str">
        <x:v>Pequenas</x:v>
      </x:c>
      <x:c r="C13" s="49" t="n">
        <x:f>$B$7</x:f>
        <x:v>4</x:v>
      </x:c>
      <x:c r="D13" s="48" t="n">
        <x:f>'Cenário Base'!$D$37</x:f>
        <x:v>8</x:v>
      </x:c>
      <x:c r="E13" s="48" t="n">
        <x:f>5</x:f>
        <x:v>5</x:v>
      </x:c>
      <x:c r="F13" s="48" t="n">
        <x:f>D13+E13</x:f>
        <x:v>13</x:v>
      </x:c>
      <x:c r="G13" s="48" t="n">
        <x:f>'Cenário Base'!$D$38</x:f>
        <x:v>100</x:v>
      </x:c>
      <x:c r="H13" s="51" t="n">
        <x:f>'Cenário Base'!$D$46</x:f>
        <x:v>0.247</x:v>
      </x:c>
      <x:c r="I13" s="60" t="n">
        <x:f>$B$5*C13</x:f>
        <x:v>11760</x:v>
      </x:c>
      <x:c r="J13" s="60" t="n">
        <x:f>I13/D13</x:f>
        <x:v>1470</x:v>
      </x:c>
      <x:c r="K13" s="90" t="n">
        <x:f>J13*G13</x:f>
        <x:v>147000</x:v>
      </x:c>
      <x:c r="L13" s="92" t="n">
        <x:f>MIN(J13,$F$9/F13)</x:f>
        <x:v>1356.923076923077</x:v>
      </x:c>
      <x:c r="M13" s="92" t="n">
        <x:f>L13*G13</x:f>
        <x:v>135692.3076923077</x:v>
      </x:c>
      <x:c r="N13" s="94" t="str">
        <x:v>Quatro prensas pequenas compartilhadas</x:v>
      </x:c>
      <x:c r="O13" s="94" t="str">
        <x:v>Teto humano e de equipamento; não somar</x:v>
      </x:c>
    </x:row>
    <x:row r="14">
      <x:c r="A14" s="43" t="str">
        <x:v>Longa vida</x:v>
      </x:c>
      <x:c r="B14" s="43" t="str">
        <x:v>Pequenas</x:v>
      </x:c>
      <x:c r="C14" s="49" t="n">
        <x:f>$B$7</x:f>
        <x:v>4</x:v>
      </x:c>
      <x:c r="D14" s="48" t="n">
        <x:f>'Cenário Base'!$D$35</x:f>
        <x:v>8</x:v>
      </x:c>
      <x:c r="E14" s="48" t="n">
        <x:f>5</x:f>
        <x:v>5</x:v>
      </x:c>
      <x:c r="F14" s="48" t="n">
        <x:f>D14+E14</x:f>
        <x:v>13</x:v>
      </x:c>
      <x:c r="G14" s="48" t="n">
        <x:f>'Cenário Base'!$D$36</x:f>
        <x:v>120</x:v>
      </x:c>
      <x:c r="H14" s="51" t="n">
        <x:f>'Cenário Base'!$D$46</x:f>
        <x:v>0.247</x:v>
      </x:c>
      <x:c r="I14" s="60" t="n">
        <x:f>$B$5*C14</x:f>
        <x:v>11760</x:v>
      </x:c>
      <x:c r="J14" s="60" t="n">
        <x:f>I14/D14</x:f>
        <x:v>1470</x:v>
      </x:c>
      <x:c r="K14" s="90" t="n">
        <x:f>J14*G14</x:f>
        <x:v>176400</x:v>
      </x:c>
      <x:c r="L14" s="92" t="n">
        <x:f>MIN(J14,$F$9/F14)</x:f>
        <x:v>1356.923076923077</x:v>
      </x:c>
      <x:c r="M14" s="92" t="n">
        <x:f>L14*G14</x:f>
        <x:v>162830.76923076922</x:v>
      </x:c>
      <x:c r="N14" s="94" t="str">
        <x:v>Quatro prensas pequenas compartilhadas</x:v>
      </x:c>
      <x:c r="O14" s="94" t="str">
        <x:v>Teto humano e de equipamento; não somar</x:v>
      </x:c>
    </x:row>
    <x:row r="17" ht="24" customHeight="1">
      <x:c r="A17" s="96" t="str">
        <x:v>Massa semanal do cenário — demanda atual distribuída pelo mix anual de referência</x:v>
      </x:c>
      <x:c r="B17" s="96"/>
      <x:c r="C17" s="96"/>
      <x:c r="D17" s="96"/>
      <x:c r="E17" s="96"/>
      <x:c r="F17" s="96"/>
      <x:c r="G17" s="96"/>
      <x:c r="H17" s="96"/>
      <x:c r="I17" s="96" t="str">
        <x:v>Orçamento semanal da equipe compartilhada do Hub</x:v>
      </x:c>
      <x:c r="J17" s="96"/>
      <x:c r="K17" s="96"/>
      <x:c r="L17" s="96"/>
      <x:c r="M17" s="96"/>
      <x:c r="N17" s="96"/>
      <x:c r="O17" s="96"/>
    </x:row>
    <x:row r="18" ht="30" customHeight="1">
      <x:c r="A18" s="14" t="str">
        <x:v>Material</x:v>
      </x:c>
      <x:c r="B18" s="14" t="str">
        <x:v>Massa a processar (kg/semana)</x:v>
      </x:c>
      <x:c r="C18" s="14" t="str">
        <x:v>Fardos requeridos</x:v>
      </x:c>
      <x:c r="D18" s="14" t="str">
        <x:v>Min. máquina requeridos</x:v>
      </x:c>
      <x:c r="E18" s="14" t="str">
        <x:v>Min. operador requeridos</x:v>
      </x:c>
      <x:c r="F18" s="14" t="str">
        <x:v>Uso do equipamento</x:v>
      </x:c>
      <x:c r="G18" s="14" t="str">
        <x:v>Uso do teto máximo de equipe</x:v>
      </x:c>
      <x:c r="H18" s="14" t="str">
        <x:v>Verificação condicional</x:v>
      </x:c>
      <x:c r="I18" s="14" t="str">
        <x:v>Componente</x:v>
      </x:c>
      <x:c r="J18" s="14" t="str">
        <x:v>Mínimo</x:v>
      </x:c>
      <x:c r="K18" s="14" t="str">
        <x:v>Referência</x:v>
      </x:c>
      <x:c r="L18" s="14" t="str">
        <x:v>Máximo</x:v>
      </x:c>
      <x:c r="M18" s="14" t="str">
        <x:v>Unidade</x:v>
      </x:c>
      <x:c r="N18" s="14" t="str">
        <x:v>Regra</x:v>
      </x:c>
      <x:c r="O18" s="14" t="str">
        <x:v>Leitura</x:v>
      </x:c>
    </x:row>
    <x:row r="19">
      <x:c r="A19" s="43" t="str">
        <x:v>Papelão</x:v>
      </x:c>
      <x:c r="B19" s="99" t="n">
        <x:f>'Expedição'!$D$12</x:f>
        <x:v>6288.717115384615</x:v>
      </x:c>
      <x:c r="C19" s="48" t="n">
        <x:f>B19/$G$12</x:f>
        <x:v>31.443585576923073</x:v>
      </x:c>
      <x:c r="D19" s="48" t="n">
        <x:f>C19*$D$12</x:f>
        <x:v>628.8717115384615</x:v>
      </x:c>
      <x:c r="E19" s="48" t="n">
        <x:f>C19*$F$12</x:f>
        <x:v>943.3075673076922</x:v>
      </x:c>
      <x:c r="F19" s="50" t="n">
        <x:f>D19/$I$12</x:f>
        <x:v>0.10695097135007847</x:v>
      </x:c>
      <x:c r="G19" s="50" t="n">
        <x:f>E19/$F$9</x:f>
        <x:v>0.05347548567503924</x:v>
      </x:c>
      <x:c r="H19" s="43" t="str">
        <x:f>IF(F19&lt;=1,IF(G24&lt;=1,"Dentro dos tetos máximos","Acima do teto de equipe"),"Acima do limite de equipamento")</x:f>
        <x:v>Dentro dos tetos máximos</x:v>
      </x:c>
      <x:c r="I19" s="43" t="str">
        <x:v>Movimentação + prensagem</x:v>
      </x:c>
      <x:c r="J19" s="48" t="n">
        <x:f>E24</x:f>
        <x:v>1113.7811089743589</x:v>
      </x:c>
      <x:c r="K19" s="48" t="n">
        <x:f>E24</x:f>
        <x:v>1113.7811089743589</x:v>
      </x:c>
      <x:c r="L19" s="48" t="n">
        <x:f>E24</x:f>
        <x:v>1113.7811089743589</x:v>
      </x:c>
      <x:c r="M19" s="43" t="str">
        <x:v>op-min/semana</x:v>
      </x:c>
      <x:c r="N19" s="43" t="str">
        <x:v>Tempo do mix semanal processado</x:v>
      </x:c>
      <x:c r="O19" s="43" t="str">
        <x:v>Base sem faixa; mesmo valor nas três colunas.</x:v>
      </x:c>
    </x:row>
    <x:row r="20">
      <x:c r="A20" s="43" t="str">
        <x:v>Plástico</x:v>
      </x:c>
      <x:c r="B20" s="99" t="n">
        <x:f>'Expedição'!$D$13</x:f>
        <x:v>1130.8355769230768</x:v>
      </x:c>
      <x:c r="C20" s="48" t="n">
        <x:f>B20/$G$13</x:f>
        <x:v>11.308355769230769</x:v>
      </x:c>
      <x:c r="D20" s="48" t="n">
        <x:f>C20*$D$13</x:f>
        <x:v>90.46684615384615</x:v>
      </x:c>
      <x:c r="E20" s="48" t="n">
        <x:f>C20*$F$13</x:f>
        <x:v>147.008625</x:v>
      </x:c>
      <x:c r="F20" s="50" t="n">
        <x:f>D20/$I$13</x:f>
        <x:v>0.007692759026687598</x:v>
      </x:c>
      <x:c r="G20" s="50" t="n">
        <x:f>E20/$F$9</x:f>
        <x:v>0.008333822278911565</x:v>
      </x:c>
      <x:c r="H20" s="43" t="str">
        <x:v>Ver resumos abaixo</x:v>
      </x:c>
      <x:c r="I20" s="43" t="str">
        <x:v>Expedição por lote</x:v>
      </x:c>
      <x:c r="J20" s="48" t="n">
        <x:f>'Expedição'!$F$24</x:f>
        <x:v>290.0186056673133</x:v>
      </x:c>
      <x:c r="K20" s="48" t="n">
        <x:f>'Expedição'!$G$24</x:f>
        <x:v>290.0186056673133</x:v>
      </x:c>
      <x:c r="L20" s="48" t="n">
        <x:f>'Expedição'!$H$24</x:f>
        <x:v>290.0186056673133</x:v>
      </x:c>
      <x:c r="M20" s="43" t="str">
        <x:v>op-min/semana</x:v>
      </x:c>
      <x:c r="N20" s="43" t="str">
        <x:v>Retiradas equivalentes × 30 min × 6 pessoas</x:v>
      </x:c>
      <x:c r="O20" s="43" t="str">
        <x:v>Cada retirada mobiliza as seis pessoas no baseline.</x:v>
      </x:c>
    </x:row>
    <x:row r="21">
      <x:c r="A21" s="43" t="str">
        <x:v>Longa vida</x:v>
      </x:c>
      <x:c r="B21" s="99" t="n">
        <x:f>'Expedição'!$D$14</x:f>
        <x:v>216.5992307692308</x:v>
      </x:c>
      <x:c r="C21" s="48" t="n">
        <x:f>B21/$G$14</x:f>
        <x:v>1.8049935897435898</x:v>
      </x:c>
      <x:c r="D21" s="48" t="n">
        <x:f>C21*$D$14</x:f>
        <x:v>14.439948717948718</x:v>
      </x:c>
      <x:c r="E21" s="48" t="n">
        <x:f>C21*$F$14</x:f>
        <x:v>23.464916666666667</x:v>
      </x:c>
      <x:c r="F21" s="50" t="n">
        <x:f>D21/$I$14</x:f>
        <x:v>0.0012278867957439387</x:v>
      </x:c>
      <x:c r="G21" s="50" t="n">
        <x:f>E21/$F$9</x:f>
        <x:v>0.0013302106953892669</x:v>
      </x:c>
      <x:c r="H21" s="43" t="str">
        <x:v>Ver resumos abaixo</x:v>
      </x:c>
      <x:c r="I21" s="43" t="str">
        <x:v>Descarga de caminhões externos</x:v>
      </x:c>
      <x:c r="J21" s="48" t="n">
        <x:f>'Ciclos e Capacidade'!$N$22*'Tempos Operacionais'!$F$4*3</x:f>
        <x:v>1434.1858121265261</x:v>
      </x:c>
      <x:c r="K21" s="48" t="n">
        <x:f>'Ciclos e Capacidade'!$N$22*'Tempos Operacionais'!$F$4*3</x:f>
        <x:v>1434.1858121265261</x:v>
      </x:c>
      <x:c r="L21" s="48" t="n">
        <x:f>'Ciclos e Capacidade'!$N$22*'Tempos Operacionais'!$F$4*3</x:f>
        <x:v>1434.1858121265261</x:v>
      </x:c>
      <x:c r="M21" s="43" t="str">
        <x:v>op-min/semana</x:v>
      </x:c>
      <x:c r="N21" s="43" t="str">
        <x:v>Viagens equivalentes × 30 min × 3 pessoas</x:v>
      </x:c>
      <x:c r="O21" s="43" t="str">
        <x:v>Consumo conhecido do Hub; o evento também está no ciclo do caminhão.</x:v>
      </x:c>
    </x:row>
    <x:row r="22">
      <x:c r="A22" s="43" t="str"/>
      <x:c r="B22" s="43"/>
      <x:c r="C22" s="48"/>
      <x:c r="D22" s="48"/>
      <x:c r="E22" s="48"/>
      <x:c r="F22" s="50"/>
      <x:c r="G22" s="50"/>
      <x:c r="H22" s="43"/>
      <x:c r="I22" s="43" t="str">
        <x:v>Atendimento direto Santo Amaro</x:v>
      </x:c>
      <x:c r="J22" s="48" t="n">
        <x:f>'Centros de Coleta'!$K$19</x:f>
        <x:v>50.38461538461539</x:v>
      </x:c>
      <x:c r="K22" s="48" t="n">
        <x:f>'Centros de Coleta'!$K$19</x:f>
        <x:v>50.38461538461539</x:v>
      </x:c>
      <x:c r="L22" s="48" t="n">
        <x:f>'Centros de Coleta'!$K$19</x:f>
        <x:v>50.38461538461539</x:v>
      </x:c>
      <x:c r="M22" s="43" t="str">
        <x:v>op-min/semana</x:v>
      </x:c>
      <x:c r="N22" s="43" t="str">
        <x:v>Visitas físicas/semana × 4 min</x:v>
      </x:c>
      <x:c r="O22" s="43" t="str">
        <x:v>Não inclui 30 min de descarga de caminhão.</x:v>
      </x:c>
    </x:row>
    <x:row r="23">
      <x:c r="A23" s="59" t="str">
        <x:v>Plástico + longa vida (equipamento pequeno)</x:v>
      </x:c>
      <x:c r="B23" s="59"/>
      <x:c r="C23" s="60" t="n">
        <x:f>C20+C21</x:f>
        <x:v>13.113349358974359</x:v>
      </x:c>
      <x:c r="D23" s="60" t="n">
        <x:f>D20+D21</x:f>
        <x:v>104.90679487179487</x:v>
      </x:c>
      <x:c r="E23" s="60" t="n">
        <x:f>E20+E21</x:f>
        <x:v>170.47354166666668</x:v>
      </x:c>
      <x:c r="F23" s="100" t="n">
        <x:f>D23/$I$13</x:f>
        <x:v>0.008920645822431537</x:v>
      </x:c>
      <x:c r="G23" s="100" t="n">
        <x:f>E23/$F$9</x:f>
        <x:v>0.009664032974300832</x:v>
      </x:c>
      <x:c r="H23" s="59" t="str">
        <x:f>IF(F23&lt;=1,"Dentro do limite de equipamento pequeno","Acima do limite de equipamento pequeno")</x:f>
        <x:v>Dentro do limite de equipamento pequeno</x:v>
      </x:c>
      <x:c r="I23" s="43" t="str">
        <x:v>Triagem de cargas vindas dos CCs</x:v>
      </x:c>
      <x:c r="J23" s="48" t="n">
        <x:f>'Ciclos e Capacidade'!$N$22*'Cenário Base'!$D$27*'Cenário Base'!$D$86</x:f>
        <x:v>0</x:v>
      </x:c>
      <x:c r="K23" s="48" t="n">
        <x:f>'Ciclos e Capacidade'!$N$22*'Cenário Base'!$D$27*'Cenário Base'!$D$86</x:f>
        <x:v>0</x:v>
      </x:c>
      <x:c r="L23" s="48" t="n">
        <x:f>'Ciclos e Capacidade'!$N$22*'Cenário Base'!$D$27*'Cenário Base'!$D$86</x:f>
        <x:v>0</x:v>
      </x:c>
      <x:c r="M23" s="43" t="str">
        <x:v>op-min/semana</x:v>
      </x:c>
      <x:c r="N23" s="43" t="str">
        <x:v>Cargas vindas dos CCs × 0 min/carga × 1 pessoa</x:v>
      </x:c>
      <x:c r="O23" s="43" t="str">
        <x:v>Controle ativo; consumo igual a zero no baseline e editável para cenários.</x:v>
      </x:c>
    </x:row>
    <x:row r="24">
      <x:c r="A24" s="59" t="str">
        <x:v>Todos os materiais (teto máximo de equipe)</x:v>
      </x:c>
      <x:c r="B24" s="59"/>
      <x:c r="C24" s="60" t="n">
        <x:f>C19+C20+C21</x:f>
        <x:v>44.55693493589743</x:v>
      </x:c>
      <x:c r="D24" s="60" t="n">
        <x:f>D19+D20+D21</x:f>
        <x:v>733.7785064102563</x:v>
      </x:c>
      <x:c r="E24" s="60" t="n">
        <x:f>E19+E20+E21</x:f>
        <x:v>1113.7811089743589</x:v>
      </x:c>
      <x:c r="F24" s="100" t="str">
        <x:v>—</x:v>
      </x:c>
      <x:c r="G24" s="100" t="n">
        <x:f>E24/$F$9</x:f>
        <x:v>0.06313951864934007</x:v>
      </x:c>
      <x:c r="H24" s="59" t="str">
        <x:f>IF(G24&lt;=1,"Dentro do teto máximo de equipe","Acima do teto máximo de equipe")</x:f>
        <x:v>Dentro do teto máximo de equipe</x:v>
      </x:c>
      <x:c r="I24" s="59" t="str">
        <x:v>Total conhecido do cenário</x:v>
      </x:c>
      <x:c r="J24" s="60" t="n">
        <x:f>SUM(J19:J23)</x:f>
        <x:v>2888.3701421528135</x:v>
      </x:c>
      <x:c r="K24" s="60" t="n">
        <x:f>SUM(K19:K23)</x:f>
        <x:v>2888.3701421528135</x:v>
      </x:c>
      <x:c r="L24" s="60" t="n">
        <x:f>SUM(L19:L23)</x:f>
        <x:v>2888.3701421528135</x:v>
      </x:c>
      <x:c r="M24" s="59" t="str">
        <x:v>op-min/semana</x:v>
      </x:c>
      <x:c r="N24" s="59" t="str">
        <x:v>Soma dos cinco componentes</x:v>
      </x:c>
      <x:c r="O24" s="59" t="str">
        <x:v>Carga humana agregada no mix e ritmo atuais.</x:v>
      </x:c>
    </x:row>
    <x:row r="25">
      <x:c r="I25" s="98" t="str">
        <x:v>Disponibilidade efetiva da equipe</x:v>
      </x:c>
      <x:c r="J25" s="99" t="n">
        <x:f>$F$9</x:f>
        <x:v>17640</x:v>
      </x:c>
      <x:c r="K25" s="99" t="n">
        <x:f>$F$9</x:f>
        <x:v>17640</x:v>
      </x:c>
      <x:c r="L25" s="99" t="n">
        <x:f>$F$9</x:f>
        <x:v>17640</x:v>
      </x:c>
      <x:c r="M25" s="98" t="str">
        <x:v>op-min/semana</x:v>
      </x:c>
      <x:c r="N25" s="98" t="str">
        <x:v>6 pessoas × calendário semanal × eficiência do Hub</x:v>
      </x:c>
      <x:c r="O25" s="98" t="str">
        <x:v>A eficiência do Hub já está aplicada aqui uma única vez.</x:v>
      </x:c>
    </x:row>
    <x:row r="26">
      <x:c r="I26" s="43" t="str">
        <x:v>Uso conhecido da disponibilidade</x:v>
      </x:c>
      <x:c r="J26" s="50" t="n">
        <x:f>J24/J25</x:f>
        <x:v>0.16373980397691687</x:v>
      </x:c>
      <x:c r="K26" s="50" t="n">
        <x:f>K24/K25</x:f>
        <x:v>0.16373980397691687</x:v>
      </x:c>
      <x:c r="L26" s="50" t="n">
        <x:f>L24/L25</x:f>
        <x:v>0.16373980397691687</x:v>
      </x:c>
      <x:c r="M26" s="43" t="str">
        <x:v>%</x:v>
      </x:c>
      <x:c r="N26" s="43" t="str">
        <x:v>Total conhecido ÷ disponibilidade efetiva</x:v>
      </x:c>
      <x:c r="O26" s="43" t="str">
        <x:v>Indicador RCCP da equipe compartilhada.</x:v>
      </x:c>
    </x:row>
    <x:row r="27">
      <x:c r="I27" s="94" t="str">
        <x:v>Saldo conhecido da equipe</x:v>
      </x:c>
      <x:c r="J27" s="103" t="n">
        <x:f>J25-J24</x:f>
        <x:v>14751.629857847187</x:v>
      </x:c>
      <x:c r="K27" s="103" t="n">
        <x:f>K25-K24</x:f>
        <x:v>14751.629857847187</x:v>
      </x:c>
      <x:c r="L27" s="103" t="n">
        <x:f>L25-L24</x:f>
        <x:v>14751.629857847187</x:v>
      </x:c>
      <x:c r="M27" s="94" t="str">
        <x:v>op-min/semana</x:v>
      </x:c>
      <x:c r="N27" s="94" t="str">
        <x:v>Disponibilidade − total conhecido</x:v>
      </x:c>
      <x:c r="O27" s="94" t="str">
        <x:v>Limpeza e rotinas ainda não mapeadas não estão incluídas.</x:v>
      </x:c>
    </x:row>
    <x:row r="29">
      <x:c r="I29" s="104" t="str">
        <x:v>Capacidade equivalente do Hub — equipe e prensas</x:v>
      </x:c>
      <x:c r="J29" s="104"/>
      <x:c r="K29" s="104"/>
      <x:c r="L29" s="104"/>
      <x:c r="M29" s="104"/>
      <x:c r="N29" s="104"/>
      <x:c r="O29" s="104"/>
    </x:row>
    <x:row r="30" ht="30" customHeight="1">
      <x:c r="I30" s="14" t="str">
        <x:v>Indicador</x:v>
      </x:c>
      <x:c r="J30" s="14" t="str">
        <x:v>Valor</x:v>
      </x:c>
      <x:c r="K30" s="14" t="str">
        <x:v>Leitura</x:v>
      </x:c>
    </x:row>
    <x:row r="31">
      <x:c r="I31" s="43" t="str">
        <x:v>Demanda processada</x:v>
      </x:c>
      <x:c r="J31" s="48" t="n">
        <x:f>'Ciclos e Capacidade'!$N$18+'Centros de Coleta'!$B$19</x:f>
        <x:v>7636.151923076923</x:v>
      </x:c>
      <x:c r="K31" s="43" t="str">
        <x:v>Cinco CCs + Santo Amaro direto, kg/semana</x:v>
      </x:c>
    </x:row>
    <x:row r="32">
      <x:c r="I32" s="43" t="str">
        <x:v>Maior utilização de equipe/prensas</x:v>
      </x:c>
      <x:c r="J32" s="50" t="n">
        <x:f>MAX(K26,F19,F23)</x:f>
        <x:v>0.16373980397691687</x:v>
      </x:c>
      <x:c r="K32" s="43" t="str">
        <x:v>Máximo entre equipe, prensas grandes e prensas pequenas</x:v>
      </x:c>
    </x:row>
    <x:row r="33">
      <x:c r="I33" s="43" t="str">
        <x:v>Capacidade equivalente semanal por equipe/prensas</x:v>
      </x:c>
      <x:c r="J33" s="48" t="n">
        <x:f>IF(J32&gt;0,J31/J32,0)</x:f>
        <x:v>46635.892663908555</x:v>
      </x:c>
      <x:c r="K33" s="43" t="str">
        <x:v>Demanda ÷ maior utilização; mantém o mix e a relação visitas/massa</x:v>
      </x:c>
    </x:row>
    <x:row r="34">
      <x:c r="I34" s="43" t="str">
        <x:v>Folga equivalente semanal por equipe/prensas</x:v>
      </x:c>
      <x:c r="J34" s="48" t="n">
        <x:f>J33-J31</x:f>
        <x:v>38999.740740831636</x:v>
      </x:c>
      <x:c r="K34" s="43" t="str">
        <x:v>Capacidade equivalente − demanda</x:v>
      </x:c>
    </x:row>
    <x:row r="35">
      <x:c r="I35" s="43" t="str">
        <x:v>Capacidade equivalente anualizada</x:v>
      </x:c>
      <x:c r="J35" s="48" t="n">
        <x:f>J33*'Cenário Base'!$D$12/6</x:f>
        <x:v>2425066.418523245</x:v>
      </x:c>
      <x:c r="K35" s="43" t="str">
        <x:v>Capacidade semanal × dias trabalhados no ano ÷ 6</x:v>
      </x:c>
    </x:row>
    <x:row r="36">
      <x:c r="I36" s="43" t="str">
        <x:v>Demanda anual da Base Geral oficial</x:v>
      </x:c>
      <x:c r="J36" s="48" t="n">
        <x:f>J31*'Cenário Base'!$D$65</x:f>
        <x:v>397079.89999999997</x:v>
      </x:c>
      <x:c r="K36" s="43" t="str">
        <x:v>Demanda semanal × 52; não varia com dias trabalhados</x:v>
      </x:c>
    </x:row>
    <x:row r="37">
      <x:c r="I37" s="43" t="str">
        <x:v>Folga equivalente anual</x:v>
      </x:c>
      <x:c r="J37" s="48" t="n">
        <x:f>J35-J36</x:f>
        <x:v>2027986.5185232451</x:v>
      </x:c>
      <x:c r="K37" s="43" t="str">
        <x:v>Capacidade anualizada − demanda anual fixa</x:v>
      </x:c>
    </x:row>
    <x:row r="39" ht="32" customHeight="1">
      <x:c r="A39" s="47" t="str">
        <x:v>Não some plástico e longa vida: ambas usam as mesmas prensas pequenas. A eficiência do Hub é aplicada uma única vez. O orçamento inclui processamento, expedição, descarga das cargas vindas dos CCs e atendimento direto; triagem dessas cargas = zero. Os 493 m³ são compartilhados, de modo que as coberturas de material solto e fardos devem ser lidas isoladamente.</x:v>
      </x:c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</x:row>
  </x:sheetData>
  <x:mergeCells>
    <x:mergeCell ref="A1:O1"/>
    <x:mergeCell ref="A2:O2"/>
    <x:mergeCell ref="A17:H17"/>
    <x:mergeCell ref="I17:O17"/>
    <x:mergeCell ref="I29:O29"/>
    <x:mergeCell ref="A39:O39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7" hidden="0" customWidth="1"/>
    <x:col min="5" max="5" width="18" hidden="0" customWidth="1"/>
    <x:col min="6" max="6" width="19" hidden="0" customWidth="1"/>
    <x:col min="7" max="7" width="20" hidden="0" customWidth="1"/>
    <x:col min="8" max="8" width="22" hidden="0" customWidth="1"/>
    <x:col min="9" max="9" width="37" hidden="0" customWidth="1"/>
    <x:col min="10" max="10" width="20" hidden="0" customWidth="1"/>
    <x:col min="11" max="11" width="18" hidden="0" customWidth="1"/>
    <x:col min="12" max="12" width="18" hidden="0" customWidth="1"/>
  </x:cols>
  <x:sheetData>
    <x:row r="1" ht="30" customHeight="1">
      <x:c r="A1" s="4" t="str">
        <x:v>Expedição — Frequência Semanal de Retirada e Uso da Equipe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8" t="str">
        <x:v>A retirada é um evento discreto por material. O cálculo semanal alimenta o orçamento da equipe do Hub, cuja disponibilidade já incorpora apenas a eficiência específica do Hub.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0" customHeight="1">
      <x:c r="A4" s="14" t="str">
        <x:v>Parâmetro interno</x:v>
      </x:c>
      <x:c r="B4" s="14" t="str">
        <x:v>Valor</x:v>
      </x:c>
      <x:c r="C4" s="14" t="str">
        <x:v>Unidade</x:v>
      </x:c>
      <x:c r="D4" s="14" t="str">
        <x:v>Leitura</x:v>
      </x:c>
      <x:c r="F4" s="14" t="str">
        <x:v>Regra de modelagem</x:v>
      </x:c>
      <x:c r="G4" s="14" t="str">
        <x:v>Valor</x:v>
      </x:c>
      <x:c r="H4" s="14" t="str">
        <x:v>Unidade</x:v>
      </x:c>
      <x:c r="I4" s="14" t="str">
        <x:v>Leitura</x:v>
      </x:c>
    </x:row>
    <x:row r="5">
      <x:c r="A5" s="43" t="str">
        <x:v>Tempo mínimo de carregamento</x:v>
      </x:c>
      <x:c r="B5" s="48" t="n">
        <x:f>'Cenário Base'!$D$53</x:f>
        <x:v>30</x:v>
      </x:c>
      <x:c r="C5" s="43" t="str">
        <x:v>min/retirada</x:v>
      </x:c>
      <x:c r="D5" s="43" t="str">
        <x:v>Faixa informada para a operação interna.</x:v>
      </x:c>
      <x:c r="F5" s="43" t="str">
        <x:v>Veículo do parceiro</x:v>
      </x:c>
      <x:c r="G5" s="43" t="str">
        <x:f>'Cenário Base'!$D$60</x:f>
        <x:v>Terceiro; não limitante</x:v>
      </x:c>
      <x:c r="H5" s="43" t="str">
        <x:v>regra</x:v>
      </x:c>
      <x:c r="I5" s="43" t="str">
        <x:v>Não vira gargalo de frota, peso, volume ou disponibilidade.</x:v>
      </x:c>
    </x:row>
    <x:row r="6">
      <x:c r="A6" s="43" t="str">
        <x:v>Tempo máximo de carregamento</x:v>
      </x:c>
      <x:c r="B6" s="48" t="n">
        <x:f>'Cenário Base'!$D$54</x:f>
        <x:v>30</x:v>
      </x:c>
      <x:c r="C6" s="43" t="str">
        <x:v>min/retirada</x:v>
      </x:c>
      <x:c r="D6" s="43" t="str">
        <x:v>Faixa informada para a operação interna.</x:v>
      </x:c>
      <x:c r="F6" s="43" t="str">
        <x:v>Semanas de planejamento</x:v>
      </x:c>
      <x:c r="G6" s="49" t="n">
        <x:f>'Cenário Base'!$D$65</x:f>
        <x:v>52</x:v>
      </x:c>
      <x:c r="H6" s="43" t="str">
        <x:v>semanas/ano</x:v>
      </x:c>
      <x:c r="I6" s="43" t="str">
        <x:v>Base usada para transformar massa anual em semanal e frequência anual.</x:v>
      </x:c>
    </x:row>
    <x:row r="7">
      <x:c r="A7" s="43" t="str">
        <x:v>Tempo de referência</x:v>
      </x:c>
      <x:c r="B7" s="48" t="n">
        <x:f>'Cenário Base'!$D$55</x:f>
        <x:v>30</x:v>
      </x:c>
      <x:c r="C7" s="43" t="str">
        <x:v>min/retirada</x:v>
      </x:c>
      <x:c r="D7" s="43" t="str">
        <x:v>Média simples usada no cenário-base.</x:v>
      </x:c>
      <x:c r="F7" s="43" t="str">
        <x:v>Formação de retirada</x:v>
      </x:c>
      <x:c r="G7" s="43" t="str">
        <x:v>Fardos inteiros</x:v>
      </x:c>
      <x:c r="H7" s="43" t="str">
        <x:v>regra</x:v>
      </x:c>
      <x:c r="I7" s="43" t="str">
        <x:v>Fardos mínimos = teto(gatilho ÷ peso por fardo).</x:v>
      </x:c>
    </x:row>
    <x:row r="8">
      <x:c r="A8" s="43" t="str">
        <x:v>Operadores no carregamento</x:v>
      </x:c>
      <x:c r="B8" s="49" t="n">
        <x:f>'Cenário Base'!$D$56</x:f>
        <x:v>6</x:v>
      </x:c>
      <x:c r="C8" s="43" t="str">
        <x:v>pessoas</x:v>
      </x:c>
      <x:c r="D8" s="43" t="str">
        <x:v>Equipe compartilhada com as demais etapas do Hub.</x:v>
      </x:c>
      <x:c r="F8" s="43" t="str">
        <x:v>Leitura da frequência</x:v>
      </x:c>
      <x:c r="G8" s="43" t="str">
        <x:v>Evento discreto</x:v>
      </x:c>
      <x:c r="H8" s="43" t="str">
        <x:v>regra</x:v>
      </x:c>
      <x:c r="I8" s="43" t="str">
        <x:v>A frequência semanal é média de longo prazo; cada retirada real continua inteira.</x:v>
      </x:c>
    </x:row>
    <x:row r="10" ht="24" customHeight="1">
      <x:c r="A10" s="96" t="str">
        <x:v>Mix de processamento e frequência estimada de retirada</x:v>
      </x:c>
      <x:c r="B10" s="96"/>
      <x:c r="C10" s="96"/>
      <x:c r="D10" s="96"/>
      <x:c r="E10" s="96"/>
      <x:c r="F10" s="96"/>
      <x:c r="G10" s="96"/>
      <x:c r="H10" s="96"/>
      <x:c r="I10" s="96"/>
      <x:c r="J10" s="96"/>
      <x:c r="K10" s="96"/>
      <x:c r="L10" s="96"/>
    </x:row>
    <x:row r="11" ht="30" customHeight="1">
      <x:c r="A11" s="14" t="str">
        <x:v>Material</x:v>
      </x:c>
      <x:c r="B11" s="14" t="str">
        <x:v>Massa anual de referência (kg/ano)</x:v>
      </x:c>
      <x:c r="C11" s="14" t="str">
        <x:v>Massa semanal de referência (kg/semana)</x:v>
      </x:c>
      <x:c r="D11" s="14" t="str">
        <x:v>Massa processada no cenário (kg/semana)</x:v>
      </x:c>
      <x:c r="E11" s="14" t="str">
        <x:v>Peso por fardo (kg)</x:v>
      </x:c>
      <x:c r="F11" s="14" t="str">
        <x:v>Gatilho informado (kg)</x:v>
      </x:c>
      <x:c r="G11" s="14" t="str">
        <x:v>Fardos mínimos/retirada</x:v>
      </x:c>
      <x:c r="H11" s="14" t="str">
        <x:v>Massa efetiva/retirada (kg)</x:v>
      </x:c>
      <x:c r="I11" s="14" t="str">
        <x:v>Retiradas equivalentes/semana</x:v>
      </x:c>
      <x:c r="J11" s="14" t="str">
        <x:v>Semanas entre retiradas</x:v>
      </x:c>
      <x:c r="K11" s="14" t="str">
        <x:v>Retiradas/mês</x:v>
      </x:c>
      <x:c r="L11" s="14" t="str">
        <x:v>Retiradas/ano</x:v>
      </x:c>
    </x:row>
    <x:row r="12">
      <x:c r="A12" s="43" t="str">
        <x:v>Papelão</x:v>
      </x:c>
      <x:c r="B12" s="87" t="n">
        <x:v>327013.29</x:v>
      </x:c>
      <x:c r="C12" s="87" t="n">
        <x:f>B12/'Cenário Base'!$D$65</x:f>
        <x:v>6288.717115384615</x:v>
      </x:c>
      <x:c r="D12" s="60" t="n">
        <x:f>('Cenário Base'!$D$13+'Cenário Base'!$D$77/'Cenário Base'!$D$65)*B12/$B$15</x:f>
        <x:v>6288.717115384615</x:v>
      </x:c>
      <x:c r="E12" s="48" t="n">
        <x:f>'Prensagem'!$G$12</x:f>
        <x:v>200</x:v>
      </x:c>
      <x:c r="F12" s="48" t="n">
        <x:f>'Cenário Base'!$D$57</x:f>
        <x:v>6400</x:v>
      </x:c>
      <x:c r="G12" s="49" t="n">
        <x:f>ROUNDUP(F12/E12,0)</x:f>
        <x:v>32</x:v>
      </x:c>
      <x:c r="H12" s="48" t="n">
        <x:f>G12*E12</x:f>
        <x:v>6400</x:v>
      </x:c>
      <x:c r="I12" s="105" t="n">
        <x:f>IF(D12&lt;=0,0,D12/H12)</x:f>
        <x:v>0.982612049278846</x:v>
      </x:c>
      <x:c r="J12" s="78" t="n">
        <x:f>IF(I12=0,"",1/I12)</x:f>
        <x:v>1.0176956416664291</x:v>
      </x:c>
      <x:c r="K12" s="48" t="n">
        <x:f>I12*$G$6/12</x:f>
        <x:v>4.257985546874999</x:v>
      </x:c>
      <x:c r="L12" s="48" t="n">
        <x:f>I12*$G$6</x:f>
        <x:v>51.095826562499994</x:v>
      </x:c>
    </x:row>
    <x:row r="13">
      <x:c r="A13" s="43" t="str">
        <x:v>Plástico</x:v>
      </x:c>
      <x:c r="B13" s="87" t="n">
        <x:v>58803.45</x:v>
      </x:c>
      <x:c r="C13" s="87" t="n">
        <x:f>B13/'Cenário Base'!$D$65</x:f>
        <x:v>1130.8355769230768</x:v>
      </x:c>
      <x:c r="D13" s="60" t="n">
        <x:f>('Cenário Base'!$D$13+'Cenário Base'!$D$77/'Cenário Base'!$D$65)*B13/$B$15</x:f>
        <x:v>1130.8355769230768</x:v>
      </x:c>
      <x:c r="E13" s="48" t="n">
        <x:f>'Prensagem'!$G$13</x:f>
        <x:v>100</x:v>
      </x:c>
      <x:c r="F13" s="48" t="n">
        <x:f>'Cenário Base'!$D$58</x:f>
        <x:v>1900</x:v>
      </x:c>
      <x:c r="G13" s="49" t="n">
        <x:f>ROUNDUP(F13/E13,0)</x:f>
        <x:v>19</x:v>
      </x:c>
      <x:c r="H13" s="48" t="n">
        <x:f>G13*E13</x:f>
        <x:v>1900</x:v>
      </x:c>
      <x:c r="I13" s="105" t="n">
        <x:f>IF(D13&lt;=0,0,D13/H13)</x:f>
        <x:v>0.5951766194331983</x:v>
      </x:c>
      <x:c r="J13" s="78" t="n">
        <x:f>IF(I13=0,"",1/I13)</x:f>
        <x:v>1.6801735272335212</x:v>
      </x:c>
      <x:c r="K13" s="48" t="n">
        <x:f>I13*$G$6/12</x:f>
        <x:v>2.579098684210526</x:v>
      </x:c>
      <x:c r="L13" s="48" t="n">
        <x:f>I13*$G$6</x:f>
        <x:v>30.94918421052631</x:v>
      </x:c>
    </x:row>
    <x:row r="14">
      <x:c r="A14" s="43" t="str">
        <x:v>Longa vida</x:v>
      </x:c>
      <x:c r="B14" s="87" t="n">
        <x:v>11263.16</x:v>
      </x:c>
      <x:c r="C14" s="87" t="n">
        <x:f>B14/'Cenário Base'!$D$65</x:f>
        <x:v>216.59923076923076</x:v>
      </x:c>
      <x:c r="D14" s="60" t="n">
        <x:f>('Cenário Base'!$D$13+'Cenário Base'!$D$77/'Cenário Base'!$D$65)*B14/$B$15</x:f>
        <x:v>216.5992307692308</x:v>
      </x:c>
      <x:c r="E14" s="48" t="n">
        <x:f>'Prensagem'!$G$14</x:f>
        <x:v>120</x:v>
      </x:c>
      <x:c r="F14" s="48" t="n">
        <x:f>'Cenário Base'!$D$59</x:f>
        <x:v>6480</x:v>
      </x:c>
      <x:c r="G14" s="49" t="n">
        <x:f>ROUNDUP(F14/E14,0)</x:f>
        <x:v>54</x:v>
      </x:c>
      <x:c r="H14" s="48" t="n">
        <x:f>G14*E14</x:f>
        <x:v>6480</x:v>
      </x:c>
      <x:c r="I14" s="105" t="n">
        <x:f>IF(D14&lt;=0,0,D14/H14)</x:f>
        <x:v>0.03342580721747389</x:v>
      </x:c>
      <x:c r="J14" s="78" t="n">
        <x:f>IF(I14=0,"",1/I14)</x:f>
        <x:v>29.91700375383107</x:v>
      </x:c>
      <x:c r="K14" s="48" t="n">
        <x:f>I14*$G$6/12</x:f>
        <x:v>0.14484516460905353</x:v>
      </x:c>
      <x:c r="L14" s="48" t="n">
        <x:f>I14*$G$6</x:f>
        <x:v>1.7381419753086422</x:v>
      </x:c>
    </x:row>
    <x:row r="15">
      <x:c r="A15" s="98" t="str">
        <x:v>Total / frequência combinada</x:v>
      </x:c>
      <x:c r="B15" s="99" t="n">
        <x:f>SUM(B12:B14)</x:f>
        <x:v>397079.89999999997</x:v>
      </x:c>
      <x:c r="C15" s="99" t="n">
        <x:f>SUM(C12:C14)</x:f>
        <x:v>7636.151923076922</x:v>
      </x:c>
      <x:c r="D15" s="99" t="n">
        <x:f>SUM(D12:D14)</x:f>
        <x:v>7636.151923076922</x:v>
      </x:c>
      <x:c r="E15" s="98"/>
      <x:c r="F15" s="98"/>
      <x:c r="G15" s="98"/>
      <x:c r="H15" s="98"/>
      <x:c r="I15" s="108" t="n">
        <x:f>SUM(I12:I14)</x:f>
        <x:v>1.6112144759295182</x:v>
      </x:c>
      <x:c r="J15" s="109" t="n">
        <x:f>IF(I15=0,"",1/I15)</x:f>
        <x:v>0.6206498358470214</x:v>
      </x:c>
      <x:c r="K15" s="99" t="n">
        <x:f>SUM(K12:K14)</x:f>
        <x:v>6.9819293956945785</x:v>
      </x:c>
      <x:c r="L15" s="99" t="n">
        <x:f>SUM(L12:L14)</x:f>
        <x:v>83.78315274833494</x:v>
      </x:c>
    </x:row>
    <x:row r="16">
      <x:c r="A16" s="98" t="str">
        <x:v>Controle do balanço semanal</x:v>
      </x:c>
      <x:c r="B16" s="119" t="n">
        <x:f>D15-('Cenário Base'!$D$13+'Cenário Base'!$D$77/'Cenário Base'!$D$65)</x:f>
        <x:v>-9.094947017729282e-13</x:v>
      </x:c>
      <x:c r="C16" s="98" t="str">
        <x:v>kg/semana</x:v>
      </x:c>
      <x:c r="D16" s="98" t="str">
        <x:f>IF(ABS(B16)&lt;0.01,"Conciliado","Revisar")</x:f>
        <x:v>Conciliado</x:v>
      </x:c>
      <x:c r="E16" s="63" t="str">
        <x:v>Massa do Hub = demanda externa atual + entrada direta anual ÷ 52; o mix de 2025 é reaplicado proporcionalmente.</x:v>
      </x:c>
      <x:c r="F16" s="63"/>
      <x:c r="G16" s="63"/>
      <x:c r="H16" s="63"/>
      <x:c r="I16" s="63"/>
      <x:c r="J16" s="63"/>
      <x:c r="K16" s="63"/>
      <x:c r="L16" s="63"/>
    </x:row>
    <x:row r="18" ht="24" customHeight="1">
      <x:c r="A18" s="96" t="str">
        <x:v>Tempo da equipe compartilhada — expedição por lote</x:v>
      </x:c>
      <x:c r="B18" s="96"/>
      <x:c r="C18" s="96"/>
      <x:c r="D18" s="96"/>
      <x:c r="E18" s="96"/>
      <x:c r="F18" s="96"/>
      <x:c r="G18" s="96"/>
      <x:c r="H18" s="96"/>
      <x:c r="I18" s="96"/>
    </x:row>
    <x:row r="19" ht="30" customHeight="1">
      <x:c r="A19" s="14" t="str">
        <x:v>Material</x:v>
      </x:c>
      <x:c r="B19" s="14" t="str">
        <x:v>Retiradas equivalentes/semana</x:v>
      </x:c>
      <x:c r="C19" s="14" t="str">
        <x:v>Tempo-equipe mínimo (min/sem)</x:v>
      </x:c>
      <x:c r="D19" s="14" t="str">
        <x:v>Tempo-equipe referência (min/sem)</x:v>
      </x:c>
      <x:c r="E19" s="14" t="str">
        <x:v>Tempo-equipe máximo (min/sem)</x:v>
      </x:c>
      <x:c r="F19" s="14" t="str">
        <x:v>Operador-min mínimo (op-min/sem)</x:v>
      </x:c>
      <x:c r="G19" s="14" t="str">
        <x:v>Operador-min referência (op-min/sem)</x:v>
      </x:c>
      <x:c r="H19" s="14" t="str">
        <x:v>Operador-min máximo (op-min/sem)</x:v>
      </x:c>
      <x:c r="I19" s="14" t="str">
        <x:v>Leitura</x:v>
      </x:c>
    </x:row>
    <x:row r="20">
      <x:c r="A20" s="43" t="str">
        <x:v>Papelão</x:v>
      </x:c>
      <x:c r="B20" s="105" t="n">
        <x:f>I12</x:f>
        <x:v>0.982612049278846</x:v>
      </x:c>
      <x:c r="C20" s="48" t="n">
        <x:f>B20*$B$5</x:f>
        <x:v>29.478361478365382</x:v>
      </x:c>
      <x:c r="D20" s="48" t="n">
        <x:f>B20*$B$7</x:f>
        <x:v>29.478361478365382</x:v>
      </x:c>
      <x:c r="E20" s="48" t="n">
        <x:f>B20*$B$6</x:f>
        <x:v>29.478361478365382</x:v>
      </x:c>
      <x:c r="F20" s="48" t="n">
        <x:f>C20*$B$8</x:f>
        <x:v>176.8701688701923</x:v>
      </x:c>
      <x:c r="G20" s="48" t="n">
        <x:f>D20*$B$8</x:f>
        <x:v>176.8701688701923</x:v>
      </x:c>
      <x:c r="H20" s="48" t="n">
        <x:f>E20*$B$8</x:f>
        <x:v>176.8701688701923</x:v>
      </x:c>
      <x:c r="I20" s="43" t="str">
        <x:v>Evento discreto; 6 pessoas por retirada.</x:v>
      </x:c>
    </x:row>
    <x:row r="21">
      <x:c r="A21" s="43" t="str">
        <x:v>Plástico</x:v>
      </x:c>
      <x:c r="B21" s="105" t="n">
        <x:f>I13</x:f>
        <x:v>0.5951766194331983</x:v>
      </x:c>
      <x:c r="C21" s="48" t="n">
        <x:f>B21*$B$5</x:f>
        <x:v>17.85529858299595</x:v>
      </x:c>
      <x:c r="D21" s="48" t="n">
        <x:f>B21*$B$7</x:f>
        <x:v>17.85529858299595</x:v>
      </x:c>
      <x:c r="E21" s="48" t="n">
        <x:f>B21*$B$6</x:f>
        <x:v>17.85529858299595</x:v>
      </x:c>
      <x:c r="F21" s="48" t="n">
        <x:f>C21*$B$8</x:f>
        <x:v>107.1317914979757</x:v>
      </x:c>
      <x:c r="G21" s="48" t="n">
        <x:f>D21*$B$8</x:f>
        <x:v>107.1317914979757</x:v>
      </x:c>
      <x:c r="H21" s="48" t="n">
        <x:f>E21*$B$8</x:f>
        <x:v>107.1317914979757</x:v>
      </x:c>
      <x:c r="I21" s="43" t="str">
        <x:v>Evento discreto; 6 pessoas por retirada.</x:v>
      </x:c>
    </x:row>
    <x:row r="22">
      <x:c r="A22" s="43" t="str">
        <x:v>Longa vida</x:v>
      </x:c>
      <x:c r="B22" s="105" t="n">
        <x:f>I14</x:f>
        <x:v>0.03342580721747389</x:v>
      </x:c>
      <x:c r="C22" s="48" t="n">
        <x:f>B22*$B$5</x:f>
        <x:v>1.0027742165242166</x:v>
      </x:c>
      <x:c r="D22" s="48" t="n">
        <x:f>B22*$B$7</x:f>
        <x:v>1.0027742165242166</x:v>
      </x:c>
      <x:c r="E22" s="48" t="n">
        <x:f>B22*$B$6</x:f>
        <x:v>1.0027742165242166</x:v>
      </x:c>
      <x:c r="F22" s="48" t="n">
        <x:f>C22*$B$8</x:f>
        <x:v>6.016645299145299</x:v>
      </x:c>
      <x:c r="G22" s="48" t="n">
        <x:f>D22*$B$8</x:f>
        <x:v>6.016645299145299</x:v>
      </x:c>
      <x:c r="H22" s="48" t="n">
        <x:f>E22*$B$8</x:f>
        <x:v>6.016645299145299</x:v>
      </x:c>
      <x:c r="I22" s="43" t="str">
        <x:v>Evento discreto; 6 pessoas por retirada.</x:v>
      </x:c>
    </x:row>
    <x:row r="23">
      <x:c r="A23" s="43" t="str"/>
      <x:c r="B23" s="105"/>
      <x:c r="C23" s="48"/>
      <x:c r="D23" s="48"/>
      <x:c r="E23" s="48"/>
      <x:c r="F23" s="48"/>
      <x:c r="G23" s="48"/>
      <x:c r="H23" s="48"/>
      <x:c r="I23" s="43"/>
    </x:row>
    <x:row r="24">
      <x:c r="A24" s="98" t="str">
        <x:v>Total médio semanal</x:v>
      </x:c>
      <x:c r="B24" s="108" t="n">
        <x:f>SUM(B20:B22)</x:f>
        <x:v>1.6112144759295182</x:v>
      </x:c>
      <x:c r="C24" s="99" t="n">
        <x:f>SUM(C20:C22)</x:f>
        <x:v>48.336434277885544</x:v>
      </x:c>
      <x:c r="D24" s="99" t="n">
        <x:f>SUM(D20:D22)</x:f>
        <x:v>48.336434277885544</x:v>
      </x:c>
      <x:c r="E24" s="99" t="n">
        <x:f>SUM(E20:E22)</x:f>
        <x:v>48.336434277885544</x:v>
      </x:c>
      <x:c r="F24" s="99" t="n">
        <x:f>SUM(F20:F22)</x:f>
        <x:v>290.0186056673133</x:v>
      </x:c>
      <x:c r="G24" s="99" t="n">
        <x:f>SUM(G20:G22)</x:f>
        <x:v>290.0186056673133</x:v>
      </x:c>
      <x:c r="H24" s="99" t="n">
        <x:f>SUM(H20:H22)</x:f>
        <x:v>290.0186056673133</x:v>
      </x:c>
      <x:c r="I24" s="98" t="str">
        <x:v>Média semanal; cada retirada mobiliza 6 pessoas por 30 min.</x:v>
      </x:c>
    </x:row>
    <x:row r="26" ht="32" customHeight="1">
      <x:c r="A26" s="47" t="str">
        <x:v>Mix e massas oficiais: Base Geral de Parâmetros.xlsx, aba Volumes e Mixing. Limiares: 32 fardos de papelão, 19 de plástico e 54 de longa vida. O tempo de 30 min e as 6 pessoas estão confirmados para o baseline, mas ainda não foram cronometrados em campo.</x:v>
      </x:c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</x:row>
  </x:sheetData>
  <x:mergeCells>
    <x:mergeCell ref="A1:L1"/>
    <x:mergeCell ref="A2:L2"/>
    <x:mergeCell ref="A10:L10"/>
    <x:mergeCell ref="E16:L16"/>
    <x:mergeCell ref="A18:I18"/>
    <x:mergeCell ref="A26:L2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1" hidden="0" customWidth="1"/>
    <x:col min="3" max="3" width="25" hidden="0" customWidth="1"/>
    <x:col min="4" max="4" width="28" hidden="0" customWidth="1"/>
    <x:col min="5" max="5" width="22" hidden="0" customWidth="1"/>
    <x:col min="6" max="6" width="29" hidden="0" customWidth="1"/>
    <x:col min="7" max="7" width="42" hidden="0" customWidth="1"/>
    <x:col min="8" max="8" width="23" hidden="0" customWidth="1"/>
    <x:col min="9" max="9" width="30" hidden="0" customWidth="1"/>
    <x:col min="10" max="10" width="43" hidden="0" customWidth="1"/>
  </x:cols>
  <x:sheetData>
    <x:row r="1" ht="30" customHeight="1">
      <x:c r="A1" s="4" t="str">
        <x:v>Mapa da Capacidade As-Is — Operação Completa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8" t="str">
        <x:v>Estrutura ponta a ponta da calculadora RCCP. O limite indicativo é o grupo com maior utilização; o SIMUL8 valida filas e eventos discretos.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30" customHeight="1">
      <x:c r="A3" s="14" t="str">
        <x:v>ID</x:v>
      </x:c>
      <x:c r="B3" s="14" t="str">
        <x:v>Etapa as-is</x:v>
      </x:c>
      <x:c r="C3" s="14" t="str">
        <x:v>Entrada</x:v>
      </x:c>
      <x:c r="D3" s="14" t="str">
        <x:v>Saída</x:v>
      </x:c>
      <x:c r="E3" s="14" t="str">
        <x:v>Unidade de capacidade</x:v>
      </x:c>
      <x:c r="F3" s="14" t="str">
        <x:v>Recurso/limite</x:v>
      </x:c>
      <x:c r="G3" s="14" t="str">
        <x:v>Regra de cálculo</x:v>
      </x:c>
      <x:c r="H3" s="14" t="str">
        <x:v>Situação</x:v>
      </x:c>
      <x:c r="I3" s="14" t="str">
        <x:v>Evidência atual</x:v>
      </x:c>
      <x:c r="J3" s="14" t="str">
        <x:v>Próximo dado necessário</x:v>
      </x:c>
    </x:row>
    <x:row r="4">
      <x:c r="A4" s="43" t="str">
        <x:v>ASI-001</x:v>
      </x:c>
      <x:c r="B4" s="43" t="str">
        <x:v>Recepção e identificação no centro</x:v>
      </x:c>
      <x:c r="C4" s="43" t="str">
        <x:v>Pessoa/fornecedor com material</x:v>
      </x:c>
      <x:c r="D4" s="43" t="str">
        <x:v>Material aceito e identificado</x:v>
      </x:c>
      <x:c r="E4" s="43" t="str">
        <x:v>visitas/semana; op-min/semana</x:v>
      </x:c>
      <x:c r="F4" s="43" t="str">
        <x:v>Equipe local, espaço e regra de aceite</x:v>
      </x:c>
      <x:c r="G4" s="43" t="str">
        <x:v>0,5 min por visita; quantidade oficial anual ÷ 52</x:v>
      </x:c>
      <x:c r="H4" s="43" t="str">
        <x:v>Calculado</x:v>
      </x:c>
      <x:c r="I4" s="43" t="str">
        <x:v>Base Geral de Parâmetros</x:v>
      </x:c>
      <x:c r="J4" s="43" t="str">
        <x:v>Validar picos e fila no SIMUL8</x:v>
      </x:c>
    </x:row>
    <x:row r="5">
      <x:c r="A5" s="43" t="str">
        <x:v>ASI-002</x:v>
      </x:c>
      <x:c r="B5" s="43" t="str">
        <x:v>Pesagem e registro no centro</x:v>
      </x:c>
      <x:c r="C5" s="43" t="str">
        <x:v>Material identificado</x:v>
      </x:c>
      <x:c r="D5" s="43" t="str">
        <x:v>Peso e transação registrados</x:v>
      </x:c>
      <x:c r="E5" s="43" t="str">
        <x:v>visitas/semana; op-min/semana</x:v>
      </x:c>
      <x:c r="F5" s="43" t="str">
        <x:v>1 balança, operador, sistema</x:v>
      </x:c>
      <x:c r="G5" s="43" t="str">
        <x:v>0,5 min para pesar + 1 min para registrar por visita; balança não limitante</x:v>
      </x:c>
      <x:c r="H5" s="43" t="str">
        <x:v>Calculado</x:v>
      </x:c>
      <x:c r="I5" s="43" t="str">
        <x:v>Base Geral de Parâmetros</x:v>
      </x:c>
      <x:c r="J5" s="43" t="str">
        <x:v>Validar tara/repesagem e indisponibilidade do sistema</x:v>
      </x:c>
    </x:row>
    <x:row r="6">
      <x:c r="A6" s="43" t="str">
        <x:v>ASI-003</x:v>
      </x:c>
      <x:c r="B6" s="43" t="str">
        <x:v>Segregação e estoque no centro</x:v>
      </x:c>
      <x:c r="C6" s="43" t="str">
        <x:v>Material recebido e registrado</x:v>
      </x:c>
      <x:c r="D6" s="43" t="str">
        <x:v>Material armazenado</x:v>
      </x:c>
      <x:c r="E6" s="43" t="str">
        <x:v>kg/semana; op-min/semana; m³</x:v>
      </x:c>
      <x:c r="F6" s="43" t="str">
        <x:v>Equipe e estoque compartilhado</x:v>
      </x:c>
      <x:c r="G6" s="43" t="str">
        <x:v>2 min por visita; volume = soma(massa/densidade aparente por material); 30 m³ Pinheiros e 33 m³ demais</x:v>
      </x:c>
      <x:c r="H6" s="43" t="str">
        <x:v>Calculado</x:v>
      </x:c>
      <x:c r="I6" s="43" t="str">
        <x:v>Base Geral para tempo e estoque; densidades da etapa Caminhão</x:v>
      </x:c>
      <x:c r="J6" s="43" t="str">
        <x:v>Testar sensibilidade das densidades</x:v>
      </x:c>
    </x:row>
    <x:row r="7">
      <x:c r="A7" s="43" t="str">
        <x:v>ASI-004</x:v>
      </x:c>
      <x:c r="B7" s="43" t="str">
        <x:v>Prensagem local — somente cenário futuro</x:v>
      </x:c>
      <x:c r="C7" s="43" t="str">
        <x:v>Material segregado solto</x:v>
      </x:c>
      <x:c r="D7" s="43" t="str">
        <x:v>Fardo/lote local</x:v>
      </x:c>
      <x:c r="E7" s="43" t="str">
        <x:v>fora do as-is</x:v>
      </x:c>
      <x:c r="F7" s="43" t="str">
        <x:v>Prensa pequena e operador</x:v>
      </x:c>
      <x:c r="G7" s="43" t="str">
        <x:v>Zero prensas nos CCs as-is; cenário futuro para todos os materiais permanece bloqueado</x:v>
      </x:c>
      <x:c r="H7" s="43" t="str">
        <x:v>Pendente</x:v>
      </x:c>
      <x:c r="I7" s="43" t="str">
        <x:v>Informado pelo usuário em 31/07/2026</x:v>
      </x:c>
      <x:c r="J7" s="43" t="str">
        <x:v>Aplicação a todos os materiais confirmada; definir centro/localização, ciclo, fardo, equipe e estoque</x:v>
      </x:c>
    </x:row>
    <x:row r="8">
      <x:c r="A8" s="43" t="str">
        <x:v>ASI-005</x:v>
      </x:c>
      <x:c r="B8" s="43" t="str">
        <x:v>Monitoramento, gatilho e solicitação de coleta</x:v>
      </x:c>
      <x:c r="C8" s="43" t="str">
        <x:v>Estoque solto compartilhado</x:v>
      </x:c>
      <x:c r="D8" s="43" t="str">
        <x:v>Centro elegível para coleta</x:v>
      </x:c>
      <x:c r="E8" s="43" t="str">
        <x:v>m³; dias; 0 op-min de monitoramento</x:v>
      </x:c>
      <x:c r="F8" s="43" t="str">
        <x:v>Estoque, responsável e frota</x:v>
      </x:c>
      <x:c r="G8" s="43" t="str">
        <x:v>Regra operacional: acionar em 15 m³ e priorizar maior ocupação; não participa do throughput RCCP</x:v>
      </x:c>
      <x:c r="H8" s="43" t="str">
        <x:v>Fora do RCCP</x:v>
      </x:c>
      <x:c r="I8" s="43" t="str">
        <x:v>Base Geral de Parâmetros</x:v>
      </x:c>
      <x:c r="J8" s="43" t="str">
        <x:v>Medir lead time apenas para validar a dinâmica no SIMUL8</x:v>
      </x:c>
    </x:row>
    <x:row r="9">
      <x:c r="A9" s="43" t="str">
        <x:v>ASI-006</x:v>
      </x:c>
      <x:c r="B9" s="43" t="str">
        <x:v>Preparação da carga no centro</x:v>
      </x:c>
      <x:c r="C9" s="43" t="str">
        <x:v>Coleta programada</x:v>
      </x:c>
      <x:c r="D9" s="43" t="str">
        <x:v>Material pronto no ponto de carregamento</x:v>
      </x:c>
      <x:c r="E9" s="43" t="str">
        <x:v>cargas/dia; operador-min/dia</x:v>
      </x:c>
      <x:c r="F9" s="43" t="str">
        <x:v>Operador local, movimentação e área</x:v>
      </x:c>
      <x:c r="G9" s="43" t="str">
        <x:v>Viagens × tempo de preparação × operadores</x:v>
      </x:c>
      <x:c r="H9" s="43" t="str">
        <x:v>Pendente</x:v>
      </x:c>
      <x:c r="I9" s="43" t="str">
        <x:v>Conversa de projeto</x:v>
      </x:c>
      <x:c r="J9" s="43" t="str">
        <x:v>Conferência, separação, movimentação e pesagem anteriores ao posicionamento</x:v>
      </x:c>
    </x:row>
    <x:row r="10">
      <x:c r="A10" s="43" t="str">
        <x:v>ASI-007</x:v>
      </x:c>
      <x:c r="B10" s="43" t="str">
        <x:v>Carregamento com apoio do operador do centro</x:v>
      </x:c>
      <x:c r="C10" s="43" t="str">
        <x:v>Caminhão posicionado e carga pronta</x:v>
      </x:c>
      <x:c r="D10" s="43" t="str">
        <x:v>Veículo liberado para o Hub</x:v>
      </x:c>
      <x:c r="E10" s="43" t="str">
        <x:v>viagens/semana; op-min/semana; caminhão-min</x:v>
      </x:c>
      <x:c r="F10" s="43" t="str">
        <x:v>2 operadores locais, motorista, equipamento e caminhão</x:v>
      </x:c>
      <x:c r="G10" s="43" t="str">
        <x:v>20 min Pinheiros/30 min demais; carregar o material de maior volume que couber</x:v>
      </x:c>
      <x:c r="H10" s="43" t="str">
        <x:v>Calculado</x:v>
      </x:c>
      <x:c r="I10" s="43" t="str">
        <x:v>Base Geral de Parâmetros</x:v>
      </x:c>
      <x:c r="J10" s="43" t="str">
        <x:v>Validar participação do motorista/equipamentos</x:v>
      </x:c>
    </x:row>
    <x:row r="11">
      <x:c r="A11" s="43" t="str">
        <x:v>ASI-008</x:v>
      </x:c>
      <x:c r="B11" s="43" t="str">
        <x:v>Transporte CC → Hub</x:v>
      </x:c>
      <x:c r="C11" s="43" t="str">
        <x:v>Veículo carregado</x:v>
      </x:c>
      <x:c r="D11" s="43" t="str">
        <x:v>Caminhão posicionado no Hub</x:v>
      </x:c>
      <x:c r="E11" s="43" t="str">
        <x:v>viagens/semana; kg/semana; m³</x:v>
      </x:c>
      <x:c r="F11" s="43" t="str">
        <x:v>Caminhão, motorista, rota, volume e peso</x:v>
      </x:c>
      <x:c r="G11" s="43" t="str">
        <x:v>Hub → um CC → Hub; capacidade equivalente por rota derivada do mix e da densidade específica de cada material, limitada por volume útil/peso; o peso de 1 m³ é resultado automático da média harmônica ponderada</x:v>
      </x:c>
      <x:c r="H11" s="43" t="str">
        <x:v>Calculado</x:v>
      </x:c>
      <x:c r="I11" s="43" t="str">
        <x:v>Base Geral de Parâmetros + tabela da etapa Caminhão de 19/08/2026</x:v>
      </x:c>
      <x:c r="J11" s="43" t="str">
        <x:v>Validar variabilidade no SIMUL8</x:v>
      </x:c>
    </x:row>
    <x:row r="12">
      <x:c r="A12" s="43" t="str">
        <x:v>ASI-009</x:v>
      </x:c>
      <x:c r="B12" s="43" t="str">
        <x:v>Recebimento e descarga no Hub</x:v>
      </x:c>
      <x:c r="C12" s="43" t="str">
        <x:v>Cargas vindas dos CCs + entregas diretas</x:v>
      </x:c>
      <x:c r="D12" s="43" t="str">
        <x:v>Material no estoque compartilhado</x:v>
      </x:c>
      <x:c r="E12" s="43" t="str">
        <x:v>kg/semana; op-min/semana; m³</x:v>
      </x:c>
      <x:c r="F12" s="43" t="str">
        <x:v>1 entrada, 3 pessoas na descarga; estoque compartilhado de 493 m³</x:v>
      </x:c>
      <x:c r="G12" s="43" t="str">
        <x:v>Caminhões: 30 min e 3 pessoas; direto: ciclo local de 4 min</x:v>
      </x:c>
      <x:c r="H12" s="43" t="str">
        <x:v>Calculado</x:v>
      </x:c>
      <x:c r="I12" s="43" t="str">
        <x:v>Base Geral de Parâmetros</x:v>
      </x:c>
      <x:c r="J12" s="43" t="str">
        <x:v>Validar duração e simultaneidade em campo</x:v>
      </x:c>
    </x:row>
    <x:row r="13">
      <x:c r="A13" s="43" t="str">
        <x:v>ASI-010</x:v>
      </x:c>
      <x:c r="B13" s="43" t="str">
        <x:v>Triagem de cargas vindas dos CCs</x:v>
      </x:c>
      <x:c r="C13" s="43" t="str">
        <x:v>Material descarregado dos CCs</x:v>
      </x:c>
      <x:c r="D13" s="43" t="str">
        <x:v>Material pronto para movimentação</x:v>
      </x:c>
      <x:c r="E13" s="43" t="str">
        <x:v>op-min/semana</x:v>
      </x:c>
      <x:c r="F13" s="43" t="str">
        <x:v>Ativa; 1 pessoa de referência</x:v>
      </x:c>
      <x:c r="G13" s="43" t="str">
        <x:v>0 min/carga no baseline; tempo editável para cenários</x:v>
      </x:c>
      <x:c r="H13" s="43" t="str">
        <x:v>Calculado</x:v>
      </x:c>
      <x:c r="I13" s="43" t="str">
        <x:v>Solicitação do usuário — 12/08/2026</x:v>
      </x:c>
      <x:c r="J13" s="43" t="str">
        <x:v>Simular e validar tempos alternativos</x:v>
      </x:c>
    </x:row>
    <x:row r="14">
      <x:c r="A14" s="43" t="str">
        <x:v>ASI-011</x:v>
      </x:c>
      <x:c r="B14" s="43" t="str">
        <x:v>Movimentação da batelada até a prensa do Hub</x:v>
      </x:c>
      <x:c r="C14" s="43" t="str">
        <x:v>Material no estoque compartilhado</x:v>
      </x:c>
      <x:c r="D14" s="43" t="str">
        <x:v>Batelada posicionada para prensagem</x:v>
      </x:c>
      <x:c r="E14" s="43" t="str">
        <x:v>bateladas/dia; operador-min/dia</x:v>
      </x:c>
      <x:c r="F14" s="43" t="str">
        <x:v>Equipe compartilhada e equipamento interno</x:v>
      </x:c>
      <x:c r="G14" s="43" t="str">
        <x:v>10 min/fardo de papelão; 5 min/fardo de plástico e longa vida</x:v>
      </x:c>
      <x:c r="H14" s="43" t="str">
        <x:v>Calculado</x:v>
      </x:c>
      <x:c r="I14" s="43" t="str">
        <x:v>Base Geral de Parâmetros</x:v>
      </x:c>
      <x:c r="J14" s="43" t="str">
        <x:v>Validar método de transporte e prioridade da equipe</x:v>
      </x:c>
    </x:row>
    <x:row r="15">
      <x:c r="A15" s="43" t="str">
        <x:v>ASI-012</x:v>
      </x:c>
      <x:c r="B15" s="43" t="str">
        <x:v>Prensagem no Hub por família</x:v>
      </x:c>
      <x:c r="C15" s="43" t="str">
        <x:v>Batelada posicionada para prensagem</x:v>
      </x:c>
      <x:c r="D15" s="43" t="str">
        <x:v>Fardos</x:v>
      </x:c>
      <x:c r="E15" s="43" t="str">
        <x:v>kg/dia; fardos/dia; máquina-min; homem-min</x:v>
      </x:c>
      <x:c r="F15" s="43" t="str">
        <x:v>2 grandes para papelão; 4 pequenas para plástico e longa vida; 6 pessoas compartilhadas</x:v>
      </x:c>
      <x:c r="G15" s="43" t="str">
        <x:v>Minutos-máquina usam 20/8 min; tempo do operador soma movimentação e prensagem</x:v>
      </x:c>
      <x:c r="H15" s="43" t="str">
        <x:v>Calculado</x:v>
      </x:c>
      <x:c r="I15" s="43" t="str">
        <x:v>Base Geral de Parâmetros</x:v>
      </x:c>
      <x:c r="J15" s="43" t="str">
        <x:v>Validar duração dos ciclos, alocação diária, retirada e paradas</x:v>
      </x:c>
    </x:row>
    <x:row r="16">
      <x:c r="A16" s="43" t="str">
        <x:v>ASI-013</x:v>
      </x:c>
      <x:c r="B16" s="43" t="str">
        <x:v>Estoque de fardos no Hub</x:v>
      </x:c>
      <x:c r="C16" s="43" t="str">
        <x:v>Fardos produzidos</x:v>
      </x:c>
      <x:c r="D16" s="43" t="str">
        <x:v>Fardos disponíveis para expedição</x:v>
      </x:c>
      <x:c r="E16" s="43" t="str">
        <x:v>m³; dias de cobertura</x:v>
      </x:c>
      <x:c r="F16" s="43" t="str">
        <x:v>493 m³ compartilhados com o material solto</x:v>
      </x:c>
      <x:c r="G16" s="43" t="str">
        <x:v>Cobertura de fardos = 493 ÷ volume diário médio, lida isoladamente</x:v>
      </x:c>
      <x:c r="H16" s="43" t="str">
        <x:v>Calculado</x:v>
      </x:c>
      <x:c r="I16" s="43" t="str">
        <x:v>Base Geral de Parâmetros</x:v>
      </x:c>
      <x:c r="J16" s="43" t="str">
        <x:v>Validar empilhamento, área útil e cadência de retirada</x:v>
      </x:c>
    </x:row>
    <x:row r="17">
      <x:c r="A17" s="43" t="str">
        <x:v>ASI-014</x:v>
      </x:c>
      <x:c r="B17" s="43" t="str">
        <x:v>Expedição do Hub ao parceiro</x:v>
      </x:c>
      <x:c r="C17" s="43" t="str">
        <x:v>Fardos disponíveis</x:v>
      </x:c>
      <x:c r="D17" s="43" t="str">
        <x:v>Material expedido</x:v>
      </x:c>
      <x:c r="E17" s="43" t="str">
        <x:v>kg/dia; retiradas/dia; operador-min/dia</x:v>
      </x:c>
      <x:c r="F17" s="43" t="str">
        <x:v>6 pessoas; 30 min; parceiro terceirizado</x:v>
      </x:c>
      <x:c r="G17" s="43" t="str">
        <x:v>32/19/54 fardos por material; tempo humano = retiradas × 30 × 6</x:v>
      </x:c>
      <x:c r="H17" s="43" t="str">
        <x:v>Calculado</x:v>
      </x:c>
      <x:c r="I17" s="43" t="str">
        <x:v>Base Geral de Parâmetros</x:v>
      </x:c>
      <x:c r="J17" s="43" t="str">
        <x:v>Cronometrar em campo sem alterar o baseline até nova decisão</x:v>
      </x:c>
    </x:row>
    <x:row r="18">
      <x:c r="A18" s="43" t="str">
        <x:v>ASI-015</x:v>
      </x:c>
      <x:c r="B18" s="43" t="str">
        <x:v>Fotografia operacional do baseline</x:v>
      </x:c>
      <x:c r="C18" s="43" t="str">
        <x:v>Período, demanda e recursos</x:v>
      </x:c>
      <x:c r="D18" s="43" t="str">
        <x:v>Conjunto de parâmetros comparável</x:v>
      </x:c>
      <x:c r="E18" s="43" t="str">
        <x:v>regra de versão</x:v>
      </x:c>
      <x:c r="F18" s="43" t="str">
        <x:v>Frota, turnos, materiais, recursos locais e calendário</x:v>
      </x:c>
      <x:c r="G18" s="43" t="str">
        <x:v>Calendário atual = seg–sex 08–17 + sábado 08–12; 312 dias/ano sem descontos; quantidades e massas oficiais ÷ 52</x:v>
      </x:c>
      <x:c r="H18" s="43" t="str">
        <x:v>Calculado</x:v>
      </x:c>
      <x:c r="I18" s="43" t="str">
        <x:v>Base Geral de Parâmetros</x:v>
      </x:c>
      <x:c r="J18" s="43" t="str">
        <x:v>Validar em campo apenas a aderência de tempos e eficiências alternativos</x:v>
      </x:c>
    </x:row>
    <x:row r="19">
      <x:c r="A19" s="43" t="str">
        <x:v>ASI-016</x:v>
      </x:c>
      <x:c r="B19" s="43" t="str">
        <x:v>Capacidade integrada da operação</x:v>
      </x:c>
      <x:c r="C19" s="43" t="str">
        <x:v>Fluxo completo</x:v>
      </x:c>
      <x:c r="D19" s="43" t="str">
        <x:v>Limite indicativo por grupo</x:v>
      </x:c>
      <x:c r="E19" s="43" t="str">
        <x:v>kg/semana, visitas/semana e op-min/semana</x:v>
      </x:c>
      <x:c r="F19" s="43" t="str">
        <x:v>Grupo com maior utilização comparável</x:v>
      </x:c>
      <x:c r="G19" s="43" t="str">
        <x:v>Comparar CC, Transporte e Hub com eficiências independentes; no Hub, a capacidade equivalente é limitada por equipe e prensas, com eficiência aplicada uma vez; estoques são cobertura/buffer</x:v>
      </x:c>
      <x:c r="H19" s="43" t="str">
        <x:v>Calculado</x:v>
      </x:c>
      <x:c r="I19" s="43" t="str">
        <x:v>Regra RCCP</x:v>
      </x:c>
      <x:c r="J19" s="43" t="str">
        <x:v>Validar em campo tempos, eficiências, permanência/retirada e dinâmica no SIMUL8</x:v>
      </x:c>
    </x:row>
  </x:sheetData>
  <x:mergeCells>
    <x:mergeCell ref="A1:J1"/>
    <x:mergeCell ref="A2:J2"/>
  </x:mergeCells>
  <x:dataValidations count="1">
    <x:dataValidation type="list" sqref="H4:H19">
      <x:formula1>"Mapeado,Calculado,Parcialmente calculado,Pendente,Bloqueado"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1" hidden="0" customWidth="1"/>
    <x:col min="3" max="3" width="28" hidden="0" customWidth="1"/>
    <x:col min="4" max="4" width="25" hidden="0" customWidth="1"/>
    <x:col min="5" max="5" width="45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3" hidden="0" customWidth="1"/>
    <x:col min="12" max="12" width="13" hidden="0" customWidth="1"/>
    <x:col min="13" max="13" width="14" hidden="0" customWidth="1"/>
    <x:col min="14" max="14" width="42" hidden="0" customWidth="1"/>
  </x:cols>
  <x:sheetData>
    <x:row r="1" ht="30" customHeight="1">
      <x:c r="A1" s="4" t="str">
        <x:v>Validação com Operadores — Tempos e Capacidades As-Is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8" t="str">
        <x:v>Use esta aba quando não houver histórico registrado. Cada estimativa deve dizer exatamente o que começa e termina na etapa; percepção não é medição observada.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 ht="30" customHeight="1">
      <x:c r="A3" s="14" t="str">
        <x:v>ID</x:v>
      </x:c>
      <x:c r="B3" s="14" t="str">
        <x:v>Etapa</x:v>
      </x:c>
      <x:c r="C3" s="14" t="str">
        <x:v>Local</x:v>
      </x:c>
      <x:c r="D3" s="14" t="str">
        <x:v>Recurso</x:v>
      </x:c>
      <x:c r="E3" s="14" t="str">
        <x:v>Definição de início e fim</x:v>
      </x:c>
      <x:c r="F3" s="14" t="str">
        <x:v>Unidade</x:v>
      </x:c>
      <x:c r="G3" s="14" t="str">
        <x:v>Valor atual</x:v>
      </x:c>
      <x:c r="H3" s="14" t="str">
        <x:v>Mais provável</x:v>
      </x:c>
      <x:c r="I3" s="14" t="str">
        <x:v>Mínimo</x:v>
      </x:c>
      <x:c r="J3" s="14" t="str">
        <x:v>Máximo</x:v>
      </x:c>
      <x:c r="K3" s="14" t="str">
        <x:v>Fonte estimada</x:v>
      </x:c>
      <x:c r="L3" s="14" t="str">
        <x:v>Confiança</x:v>
      </x:c>
      <x:c r="M3" s="14" t="str">
        <x:v>Status</x:v>
      </x:c>
      <x:c r="N3" s="14" t="str">
        <x:v>Próxima ação</x:v>
      </x:c>
    </x:row>
    <x:row r="4">
      <x:c r="A4" s="43" t="str">
        <x:v>OPV-001</x:v>
      </x:c>
      <x:c r="B4" s="43" t="str">
        <x:v>Recepção e identificação</x:v>
      </x:c>
      <x:c r="C4" s="43" t="str">
        <x:v>Centros de coleta + Santo Amaro direto</x:v>
      </x:c>
      <x:c r="D4" s="43" t="str">
        <x:v>1 operador e área de atendimento</x:v>
      </x:c>
      <x:c r="E4" s="43" t="str">
        <x:v>Da chegada física até o material estar aceito e identificado</x:v>
      </x:c>
      <x:c r="F4" s="43" t="str">
        <x:v>min/visita</x:v>
      </x:c>
      <x:c r="G4" s="48" t="n">
        <x:v>0.5</x:v>
      </x:c>
      <x:c r="H4" s="48" t="n">
        <x:v>0.5</x:v>
      </x:c>
      <x:c r="I4" s="48"/>
      <x:c r="J4" s="48"/>
      <x:c r="K4" s="43" t="str">
        <x:v>Base Geral de Parâmetros</x:v>
      </x:c>
      <x:c r="L4" s="43" t="str">
        <x:v>Alta</x:v>
      </x:c>
      <x:c r="M4" s="43" t="str">
        <x:v>Validar</x:v>
      </x:c>
      <x:c r="N4" s="43" t="str">
        <x:v>Validar fila/picos. Equipe: 2 em Pinheiros/Jabaquara/Paraisópolis/Brooklin, 3 em Embu e 6 no Hub</x:v>
      </x:c>
    </x:row>
    <x:row r="5">
      <x:c r="A5" s="43" t="str">
        <x:v>OPV-002</x:v>
      </x:c>
      <x:c r="B5" s="43" t="str">
        <x:v>Segregação e estoque temporário</x:v>
      </x:c>
      <x:c r="C5" s="43" t="str">
        <x:v>Centros de coleta + Santo Amaro direto</x:v>
      </x:c>
      <x:c r="D5" s="43" t="str">
        <x:v>Operador e estoque compartilhado</x:v>
      </x:c>
      <x:c r="E5" s="43" t="str">
        <x:v>Do registro até o material estar segregado e armazenado</x:v>
      </x:c>
      <x:c r="F5" s="43" t="str">
        <x:v>min/visita</x:v>
      </x:c>
      <x:c r="G5" s="48" t="n">
        <x:v>2</x:v>
      </x:c>
      <x:c r="H5" s="48" t="n">
        <x:v>2</x:v>
      </x:c>
      <x:c r="I5" s="48"/>
      <x:c r="J5" s="48"/>
      <x:c r="K5" s="43" t="str">
        <x:v>Conversa de projeto + SIMUL8</x:v>
      </x:c>
      <x:c r="L5" s="43" t="str">
        <x:v>Alta</x:v>
      </x:c>
      <x:c r="M5" s="43" t="str">
        <x:v>Validar</x:v>
      </x:c>
      <x:c r="N5" s="43" t="str">
        <x:v>Densidades aparentes por centro/material já calibradas; validar se os 2 min variam com volume/tipo</x:v>
      </x:c>
    </x:row>
    <x:row r="6">
      <x:c r="A6" s="43" t="str">
        <x:v>OPV-003</x:v>
      </x:c>
      <x:c r="B6" s="43" t="str">
        <x:v>Carregamento de caminhão — Pinheiros</x:v>
      </x:c>
      <x:c r="C6" s="43" t="str">
        <x:v>Pinheiros</x:v>
      </x:c>
      <x:c r="D6" s="43" t="str">
        <x:v>2 operadores locais, motorista e caminhão</x:v>
      </x:c>
      <x:c r="E6" s="43" t="str">
        <x:v>Do caminhão posicionado até a carga estar pronta e o veículo liberado</x:v>
      </x:c>
      <x:c r="F6" s="43" t="str">
        <x:v>min/viagem</x:v>
      </x:c>
      <x:c r="G6" s="48" t="n">
        <x:v>20</x:v>
      </x:c>
      <x:c r="H6" s="48" t="n">
        <x:v>20</x:v>
      </x:c>
      <x:c r="I6" s="48"/>
      <x:c r="J6" s="48"/>
      <x:c r="K6" s="43" t="str">
        <x:v>Base Geral de Parâmetros</x:v>
      </x:c>
      <x:c r="L6" s="43" t="str">
        <x:v>Alta</x:v>
      </x:c>
      <x:c r="M6" s="43" t="str">
        <x:v>Validar</x:v>
      </x:c>
      <x:c r="N6" s="43" t="str">
        <x:v>Confirmado para o baseline; validar participação do motorista/equipamentos e fronteira do tempo</x:v>
      </x:c>
    </x:row>
    <x:row r="7">
      <x:c r="A7" s="43" t="str">
        <x:v>OPV-004</x:v>
      </x:c>
      <x:c r="B7" s="43" t="str">
        <x:v>Carregamento de caminhão — demais centros</x:v>
      </x:c>
      <x:c r="C7" s="43" t="str">
        <x:v>Jabaquara, Paraisópolis, Brooklin e Embu</x:v>
      </x:c>
      <x:c r="D7" s="43" t="str">
        <x:v>2 operadores locais, motorista e caminhão</x:v>
      </x:c>
      <x:c r="E7" s="43" t="str">
        <x:v>Do caminhão posicionado até a carga estar pronta e o veículo liberado</x:v>
      </x:c>
      <x:c r="F7" s="43" t="str">
        <x:v>min/viagem</x:v>
      </x:c>
      <x:c r="G7" s="48" t="n">
        <x:v>30</x:v>
      </x:c>
      <x:c r="H7" s="48" t="n">
        <x:v>30</x:v>
      </x:c>
      <x:c r="I7" s="48"/>
      <x:c r="J7" s="48"/>
      <x:c r="K7" s="43" t="str">
        <x:v>Base Geral de Parâmetros</x:v>
      </x:c>
      <x:c r="L7" s="43" t="str">
        <x:v>Alta</x:v>
      </x:c>
      <x:c r="M7" s="43" t="str">
        <x:v>Validar</x:v>
      </x:c>
      <x:c r="N7" s="43" t="str">
        <x:v>Confirmado para o baseline; separar por centro e validar motorista, equipamentos e fronteira do tempo</x:v>
      </x:c>
    </x:row>
    <x:row r="8">
      <x:c r="A8" s="43" t="str">
        <x:v>OPV-005</x:v>
      </x:c>
      <x:c r="B8" s="43" t="str">
        <x:v>Recebimento e descarga</x:v>
      </x:c>
      <x:c r="C8" s="43" t="str">
        <x:v>Hub Santo Amaro</x:v>
      </x:c>
      <x:c r="D8" s="43" t="str">
        <x:v>1 entrada física e 3 pessoas</x:v>
      </x:c>
      <x:c r="E8" s="43" t="str">
        <x:v>Do posicionamento do caminhão até o material estar no estoque compartilhado</x:v>
      </x:c>
      <x:c r="F8" s="43" t="str">
        <x:v>min/viagem</x:v>
      </x:c>
      <x:c r="G8" s="48" t="n">
        <x:v>30</x:v>
      </x:c>
      <x:c r="H8" s="48" t="n">
        <x:v>30</x:v>
      </x:c>
      <x:c r="I8" s="48"/>
      <x:c r="J8" s="48"/>
      <x:c r="K8" s="43" t="str">
        <x:v>Base Geral de Parâmetros</x:v>
      </x:c>
      <x:c r="L8" s="43" t="str">
        <x:v>Alta</x:v>
      </x:c>
      <x:c r="M8" s="43" t="str">
        <x:v>Validar</x:v>
      </x:c>
      <x:c r="N8" s="43" t="str">
        <x:v>Confirmado para o baseline; ainda não cronometrado em campo</x:v>
      </x:c>
    </x:row>
    <x:row r="9">
      <x:c r="A9" s="43" t="str">
        <x:v>OPV-006</x:v>
      </x:c>
      <x:c r="B9" s="43" t="str">
        <x:v>Triagem de cargas vindas dos CCs</x:v>
      </x:c>
      <x:c r="C9" s="43" t="str">
        <x:v>Hub Santo Amaro</x:v>
      </x:c>
      <x:c r="D9" s="43" t="str">
        <x:v>Controle ativo</x:v>
      </x:c>
      <x:c r="E9" s="43" t="str">
        <x:v>Tempo por carga vinda dos CCs</x:v>
      </x:c>
      <x:c r="F9" s="43" t="str">
        <x:v>min/carga</x:v>
      </x:c>
      <x:c r="G9" s="48" t="n">
        <x:v>0</x:v>
      </x:c>
      <x:c r="H9" s="48" t="n">
        <x:v>0</x:v>
      </x:c>
      <x:c r="I9" s="48"/>
      <x:c r="J9" s="48"/>
      <x:c r="K9" s="43" t="str">
        <x:v>Solicitação do usuário — 12/08/2026</x:v>
      </x:c>
      <x:c r="L9" s="43" t="str">
        <x:v>Alta</x:v>
      </x:c>
      <x:c r="M9" s="43" t="str">
        <x:v>Validado</x:v>
      </x:c>
      <x:c r="N9" s="43" t="str">
        <x:v>Inicia em zero e permanece editável para simular cenários</x:v>
      </x:c>
    </x:row>
    <x:row r="10">
      <x:c r="A10" s="43" t="str">
        <x:v>OPV-007</x:v>
      </x:c>
      <x:c r="B10" s="43" t="str">
        <x:v>Movimentação da batelada até a prensa</x:v>
      </x:c>
      <x:c r="C10" s="43" t="str">
        <x:v>Hub Santo Amaro</x:v>
      </x:c>
      <x:c r="D10" s="43" t="str">
        <x:v>Operador compartilhado/equipamento interno</x:v>
      </x:c>
      <x:c r="E10" s="43" t="str">
        <x:v>Do estoque compartilhado até a batelada estar posicionada</x:v>
      </x:c>
      <x:c r="F10" s="43" t="str">
        <x:v>min/fardo</x:v>
      </x:c>
      <x:c r="G10" s="48" t="n">
        <x:v>10</x:v>
      </x:c>
      <x:c r="H10" s="48" t="n">
        <x:v>10</x:v>
      </x:c>
      <x:c r="I10" s="48" t="n">
        <x:v>5</x:v>
      </x:c>
      <x:c r="J10" s="48" t="n">
        <x:v>10</x:v>
      </x:c>
      <x:c r="K10" s="43" t="str">
        <x:v>Base Geral de Parâmetros</x:v>
      </x:c>
      <x:c r="L10" s="43" t="str">
        <x:v>Alta</x:v>
      </x:c>
      <x:c r="M10" s="43" t="str">
        <x:v>Validar</x:v>
      </x:c>
      <x:c r="N10" s="43" t="str">
        <x:v>Papelão = 10 min; plástico e longa vida = 5 min</x:v>
      </x:c>
    </x:row>
    <x:row r="11">
      <x:c r="A11" s="43" t="str">
        <x:v>OPV-008</x:v>
      </x:c>
      <x:c r="B11" s="43" t="str">
        <x:v>Prensagem de papelão</x:v>
      </x:c>
      <x:c r="C11" s="43" t="str">
        <x:v>Hub Santo Amaro</x:v>
      </x:c>
      <x:c r="D11" s="43" t="str">
        <x:v>2 prensas grandes exclusivas e equipe compartilhada</x:v>
      </x:c>
      <x:c r="E11" s="43" t="str">
        <x:v>Após a batelada estar posicionada: alimentar/prensar, amarrar e levar o fardo ao estoque</x:v>
      </x:c>
      <x:c r="F11" s="43" t="str">
        <x:v>min/fardo</x:v>
      </x:c>
      <x:c r="G11" s="48" t="n">
        <x:v>20</x:v>
      </x:c>
      <x:c r="H11" s="48" t="n">
        <x:v>20</x:v>
      </x:c>
      <x:c r="I11" s="48"/>
      <x:c r="J11" s="48"/>
      <x:c r="K11" s="43" t="str">
        <x:v>Conversa de projeto</x:v>
      </x:c>
      <x:c r="L11" s="43" t="str">
        <x:v>Média</x:v>
      </x:c>
      <x:c r="M11" s="43" t="str">
        <x:v>Validar</x:v>
      </x:c>
      <x:c r="N11" s="43" t="str">
        <x:v>Validar duração da etapa de prensagem, disponibilidade e paradas; movimentação inicial é OPV-007</x:v>
      </x:c>
    </x:row>
    <x:row r="12">
      <x:c r="A12" s="43" t="str">
        <x:v>OPV-009</x:v>
      </x:c>
      <x:c r="B12" s="43" t="str">
        <x:v>Prensagem de plástico</x:v>
      </x:c>
      <x:c r="C12" s="43" t="str">
        <x:v>Hub Santo Amaro</x:v>
      </x:c>
      <x:c r="D12" s="43" t="str">
        <x:v>4 prensas pequenas compartilhadas com longa vida e equipe</x:v>
      </x:c>
      <x:c r="E12" s="43" t="str">
        <x:v>Após a batelada estar posicionada: alimentar/prensar, amarrar e levar o fardo ao estoque</x:v>
      </x:c>
      <x:c r="F12" s="43" t="str">
        <x:v>min/fardo</x:v>
      </x:c>
      <x:c r="G12" s="48" t="n">
        <x:v>8</x:v>
      </x:c>
      <x:c r="H12" s="48" t="n">
        <x:v>8</x:v>
      </x:c>
      <x:c r="I12" s="48"/>
      <x:c r="J12" s="48"/>
      <x:c r="K12" s="43" t="str">
        <x:v>Conversa de projeto</x:v>
      </x:c>
      <x:c r="L12" s="43" t="str">
        <x:v>Média</x:v>
      </x:c>
      <x:c r="M12" s="43" t="str">
        <x:v>Validar</x:v>
      </x:c>
      <x:c r="N12" s="43" t="str">
        <x:v>Validar duração da etapa de prensagem, disponibilidade e paradas; movimentação inicial é OPV-007</x:v>
      </x:c>
    </x:row>
    <x:row r="13">
      <x:c r="A13" s="43" t="str">
        <x:v>OPV-010</x:v>
      </x:c>
      <x:c r="B13" s="43" t="str">
        <x:v>Prensagem de longa vida</x:v>
      </x:c>
      <x:c r="C13" s="43" t="str">
        <x:v>Hub Santo Amaro</x:v>
      </x:c>
      <x:c r="D13" s="43" t="str">
        <x:v>4 prensas pequenas compartilhadas com plástico e equipe</x:v>
      </x:c>
      <x:c r="E13" s="43" t="str">
        <x:v>Após a batelada estar posicionada: alimentar/prensar, amarrar e levar o fardo ao estoque</x:v>
      </x:c>
      <x:c r="F13" s="43" t="str">
        <x:v>min/fardo</x:v>
      </x:c>
      <x:c r="G13" s="48" t="n">
        <x:v>8</x:v>
      </x:c>
      <x:c r="H13" s="48" t="n">
        <x:v>8</x:v>
      </x:c>
      <x:c r="I13" s="48"/>
      <x:c r="J13" s="48"/>
      <x:c r="K13" s="43" t="str">
        <x:v>Conversa de projeto</x:v>
      </x:c>
      <x:c r="L13" s="43" t="str">
        <x:v>Média</x:v>
      </x:c>
      <x:c r="M13" s="43" t="str">
        <x:v>Validar</x:v>
      </x:c>
      <x:c r="N13" s="43" t="str">
        <x:v>Validar duração da etapa de prensagem, disponibilidade e paradas; movimentação inicial é OPV-007</x:v>
      </x:c>
    </x:row>
    <x:row r="14">
      <x:c r="A14" s="43" t="str">
        <x:v>OPV-011</x:v>
      </x:c>
      <x:c r="B14" s="43" t="str">
        <x:v>Estoque compartilhado do Hub</x:v>
      </x:c>
      <x:c r="C14" s="43" t="str">
        <x:v>Hub Santo Amaro</x:v>
      </x:c>
      <x:c r="D14" s="43" t="str">
        <x:v>Área e circulação</x:v>
      </x:c>
      <x:c r="E14" s="43" t="str">
        <x:v>Material solto ou fardo aguardando a próxima etapa</x:v>
      </x:c>
      <x:c r="F14" s="43" t="str">
        <x:v>m³</x:v>
      </x:c>
      <x:c r="G14" s="48" t="n">
        <x:v>493</x:v>
      </x:c>
      <x:c r="H14" s="48" t="n">
        <x:v>493</x:v>
      </x:c>
      <x:c r="I14" s="48"/>
      <x:c r="J14" s="48"/>
      <x:c r="K14" s="43" t="str">
        <x:v>Base Geral de Parâmetros</x:v>
      </x:c>
      <x:c r="L14" s="43" t="str">
        <x:v>Alta</x:v>
      </x:c>
      <x:c r="M14" s="43" t="str">
        <x:v>Validar</x:v>
      </x:c>
      <x:c r="N14" s="43" t="str">
        <x:v>Sem divisão fixa entre material intermediário e fardos; validar empilhamento e área útil</x:v>
      </x:c>
    </x:row>
    <x:row r="15">
      <x:c r="A15" s="43" t="str">
        <x:v>OPV-012</x:v>
      </x:c>
      <x:c r="B15" s="43" t="str">
        <x:v>Expedição ao parceiro — carregamento</x:v>
      </x:c>
      <x:c r="C15" s="43" t="str">
        <x:v>Hub Santo Amaro</x:v>
      </x:c>
      <x:c r="D15" s="43" t="str">
        <x:v>6 pessoas + veículo parceiro</x:v>
      </x:c>
      <x:c r="E15" s="43" t="str">
        <x:v>Do início do carregamento dos fardos até a liberação do veículo</x:v>
      </x:c>
      <x:c r="F15" s="43" t="str">
        <x:v>min/retirada</x:v>
      </x:c>
      <x:c r="G15" s="48" t="n">
        <x:v>30</x:v>
      </x:c>
      <x:c r="H15" s="48" t="n">
        <x:v>30</x:v>
      </x:c>
      <x:c r="I15" s="48" t="n">
        <x:v>30</x:v>
      </x:c>
      <x:c r="J15" s="48" t="n">
        <x:v>30</x:v>
      </x:c>
      <x:c r="K15" s="43" t="str">
        <x:v>Base Geral de Parâmetros</x:v>
      </x:c>
      <x:c r="L15" s="43" t="str">
        <x:v>Alta</x:v>
      </x:c>
      <x:c r="M15" s="43" t="str">
        <x:v>Validar</x:v>
      </x:c>
      <x:c r="N15" s="43" t="str">
        <x:v>Confirmado para o baseline; ainda não cronometrado em campo</x:v>
      </x:c>
    </x:row>
    <x:row r="16">
      <x:c r="A16" s="43" t="str">
        <x:v>OPV-013</x:v>
      </x:c>
      <x:c r="B16" s="43" t="str">
        <x:v>Frota e disponibilidade do motorista</x:v>
      </x:c>
      <x:c r="C16" s="43" t="str">
        <x:v>Transporte CC → Hub</x:v>
      </x:c>
      <x:c r="D16" s="43" t="str">
        <x:v>Caminhão e motorista</x:v>
      </x:c>
      <x:c r="E16" s="43" t="str">
        <x:v>Veículo disponível para iniciar a primeira viagem até sua liberação no fim do turno</x:v>
      </x:c>
      <x:c r="F16" s="43" t="str">
        <x:v>caminhão-h/dia</x:v>
      </x:c>
      <x:c r="G16" s="48" t="n">
        <x:v>1</x:v>
      </x:c>
      <x:c r="H16" s="48" t="n">
        <x:v>1</x:v>
      </x:c>
      <x:c r="I16" s="48"/>
      <x:c r="J16" s="48"/>
      <x:c r="K16" s="43" t="str">
        <x:v>Conversa de projeto</x:v>
      </x:c>
      <x:c r="L16" s="43" t="str">
        <x:v>Média</x:v>
      </x:c>
      <x:c r="M16" s="43" t="str">
        <x:v>Validar</x:v>
      </x:c>
      <x:c r="N16" s="43" t="str">
        <x:v>Confirmar a fotografia atual e separar da referência histórica de dois caminhões</x:v>
      </x:c>
    </x:row>
    <x:row r="17">
      <x:c r="A17" s="43" t="str">
        <x:v>OPV-014</x:v>
      </x:c>
      <x:c r="B17" s="43" t="str">
        <x:v>Alocação da equipe compartilhada</x:v>
      </x:c>
      <x:c r="C17" s="43" t="str">
        <x:v>Hub Santo Amaro</x:v>
      </x:c>
      <x:c r="D17" s="43" t="str">
        <x:v>6 pessoas</x:v>
      </x:c>
      <x:c r="E17" s="43" t="str">
        <x:v>Da abertura ao encerramento da jornada; registrar tempo em descarga, movimentação, prensagem e expedição</x:v>
      </x:c>
      <x:c r="F17" s="43" t="str">
        <x:v>operador-min/dia ou % do turno</x:v>
      </x:c>
      <x:c r="G17" s="48"/>
      <x:c r="H17" s="48"/>
      <x:c r="I17" s="48"/>
      <x:c r="J17" s="48"/>
      <x:c r="K17" s="43" t="str">
        <x:v>Base Geral de Parâmetros</x:v>
      </x:c>
      <x:c r="L17" s="43" t="str">
        <x:v>Alta</x:v>
      </x:c>
      <x:c r="M17" s="43" t="str">
        <x:v>Validar</x:v>
      </x:c>
      <x:c r="N17" s="43" t="str">
        <x:v>Confirmar divisão diária do tempo e prioridades</x:v>
      </x:c>
    </x:row>
    <x:row r="18">
      <x:c r="A18" s="43" t="str">
        <x:v>OPV-015</x:v>
      </x:c>
      <x:c r="B18" s="43" t="str">
        <x:v>Jornada e cobertura da equipe</x:v>
      </x:c>
      <x:c r="C18" s="43" t="str">
        <x:v>Hub Santo Amaro</x:v>
      </x:c>
      <x:c r="D18" s="43" t="str">
        <x:v>6 pessoas compartilhadas</x:v>
      </x:c>
      <x:c r="E18" s="43" t="str">
        <x:v>Da abertura às 08h ao encerramento às 17h; almoço revezado sem parada coletiva</x:v>
      </x:c>
      <x:c r="F18" s="43" t="str">
        <x:v>min/dia de janela</x:v>
      </x:c>
      <x:c r="G18" s="48" t="n">
        <x:v>540</x:v>
      </x:c>
      <x:c r="H18" s="48" t="n">
        <x:v>540</x:v>
      </x:c>
      <x:c r="I18" s="48"/>
      <x:c r="J18" s="48"/>
      <x:c r="K18" s="43" t="str">
        <x:v>Base Geral de Parâmetros</x:v>
      </x:c>
      <x:c r="L18" s="43" t="str">
        <x:v>Alta</x:v>
      </x:c>
      <x:c r="M18" s="43" t="str">
        <x:v>Validar</x:v>
      </x:c>
      <x:c r="N18" s="43" t="str">
        <x:v>Validar a divisão típica do tempo entre atividades</x:v>
      </x:c>
    </x:row>
    <x:row r="19">
      <x:c r="A19" s="43" t="str">
        <x:v>OPV-016</x:v>
      </x:c>
      <x:c r="B19" s="43" t="str">
        <x:v>Perdas e rejeitos na triagem de cargas vindas dos CCs</x:v>
      </x:c>
      <x:c r="C19" s="43" t="str">
        <x:v>Hub Santo Amaro</x:v>
      </x:c>
      <x:c r="D19" s="43" t="str">
        <x:v>Fluxo de material</x:v>
      </x:c>
      <x:c r="E19" s="43" t="str">
        <x:v>Da massa recebida na triagem até a massa triada por família</x:v>
      </x:c>
      <x:c r="F19" s="43" t="str">
        <x:v>% da massa recebida</x:v>
      </x:c>
      <x:c r="G19" s="48" t="n">
        <x:v>0</x:v>
      </x:c>
      <x:c r="H19" s="48" t="n">
        <x:v>0</x:v>
      </x:c>
      <x:c r="I19" s="48"/>
      <x:c r="J19" s="48"/>
      <x:c r="K19" s="43" t="str">
        <x:v>Conversa de projeto</x:v>
      </x:c>
      <x:c r="L19" s="43" t="str">
        <x:v>Média</x:v>
      </x:c>
      <x:c r="M19" s="43" t="str">
        <x:v>Validar</x:v>
      </x:c>
      <x:c r="N19" s="43" t="str">
        <x:v>Premissa as-is: não considerar perdas/rejeitos; revisar se houver medição física</x:v>
      </x:c>
    </x:row>
    <x:row r="20">
      <x:c r="A20" s="43" t="str">
        <x:v>OPV-017</x:v>
      </x:c>
      <x:c r="B20" s="43" t="str">
        <x:v>Prensas pequenas ativas</x:v>
      </x:c>
      <x:c r="C20" s="43" t="str">
        <x:v>Hub Santo Amaro</x:v>
      </x:c>
      <x:c r="D20" s="43" t="str">
        <x:v>Equipamento de prensagem</x:v>
      </x:c>
      <x:c r="E20" s="43" t="str">
        <x:v>Quantidade disponível no cenário as-is</x:v>
      </x:c>
      <x:c r="F20" s="43" t="str">
        <x:v>un.</x:v>
      </x:c>
      <x:c r="G20" s="48" t="n">
        <x:v>4</x:v>
      </x:c>
      <x:c r="H20" s="48" t="n">
        <x:v>4</x:v>
      </x:c>
      <x:c r="I20" s="48"/>
      <x:c r="J20" s="48"/>
      <x:c r="K20" s="43" t="str">
        <x:v>Conversa de projeto</x:v>
      </x:c>
      <x:c r="L20" s="43" t="str">
        <x:v>Média</x:v>
      </x:c>
      <x:c r="M20" s="43" t="str">
        <x:v>Validar</x:v>
      </x:c>
      <x:c r="N20" s="43" t="str">
        <x:v>Atendem plástico e longa vida; confirmar disponibilidade e paradas</x:v>
      </x:c>
    </x:row>
    <x:row r="21">
      <x:c r="A21" s="43" t="str">
        <x:v>OPV-018</x:v>
      </x:c>
      <x:c r="B21" s="43" t="str">
        <x:v>Prensas grandes ativas</x:v>
      </x:c>
      <x:c r="C21" s="43" t="str">
        <x:v>Hub Santo Amaro</x:v>
      </x:c>
      <x:c r="D21" s="43" t="str">
        <x:v>Equipamento de prensagem</x:v>
      </x:c>
      <x:c r="E21" s="43" t="str">
        <x:v>Quantidade disponível no cenário as-is</x:v>
      </x:c>
      <x:c r="F21" s="43" t="str">
        <x:v>un.</x:v>
      </x:c>
      <x:c r="G21" s="48" t="n">
        <x:v>2</x:v>
      </x:c>
      <x:c r="H21" s="48" t="n">
        <x:v>2</x:v>
      </x:c>
      <x:c r="I21" s="48"/>
      <x:c r="J21" s="48"/>
      <x:c r="K21" s="43" t="str">
        <x:v>Conversa de projeto</x:v>
      </x:c>
      <x:c r="L21" s="43" t="str">
        <x:v>Média</x:v>
      </x:c>
      <x:c r="M21" s="43" t="str">
        <x:v>Validar</x:v>
      </x:c>
      <x:c r="N21" s="43" t="str">
        <x:v>Atendem exclusivamente papelão; confirmar disponibilidade e paradas</x:v>
      </x:c>
    </x:row>
    <x:row r="22">
      <x:c r="A22" s="43" t="str">
        <x:v>OPV-019</x:v>
      </x:c>
      <x:c r="B22" s="43" t="str">
        <x:v>Peso do fardo de papelão</x:v>
      </x:c>
      <x:c r="C22" s="43" t="str">
        <x:v>Hub Santo Amaro</x:v>
      </x:c>
      <x:c r="D22" s="43" t="str">
        <x:v>Fardo de prensa grande</x:v>
      </x:c>
      <x:c r="E22" s="43" t="str">
        <x:v>Massa do fardo pronto para armazenar</x:v>
      </x:c>
      <x:c r="F22" s="43" t="str">
        <x:v>kg/fardo</x:v>
      </x:c>
      <x:c r="G22" s="48" t="n">
        <x:v>200</x:v>
      </x:c>
      <x:c r="H22" s="48" t="n">
        <x:v>200</x:v>
      </x:c>
      <x:c r="I22" s="48"/>
      <x:c r="J22" s="48"/>
      <x:c r="K22" s="43" t="str">
        <x:v>Conversa de projeto</x:v>
      </x:c>
      <x:c r="L22" s="43" t="str">
        <x:v>Média</x:v>
      </x:c>
      <x:c r="M22" s="43" t="str">
        <x:v>Validar</x:v>
      </x:c>
      <x:c r="N22" s="43" t="str">
        <x:v>Confirmar média, faixa de variação e critério de pesagem</x:v>
      </x:c>
    </x:row>
    <x:row r="23">
      <x:c r="A23" s="43" t="str">
        <x:v>OPV-020</x:v>
      </x:c>
      <x:c r="B23" s="43" t="str">
        <x:v>Peso do fardo de plástico</x:v>
      </x:c>
      <x:c r="C23" s="43" t="str">
        <x:v>Hub Santo Amaro</x:v>
      </x:c>
      <x:c r="D23" s="43" t="str">
        <x:v>Fardo de prensa pequena</x:v>
      </x:c>
      <x:c r="E23" s="43" t="str">
        <x:v>Massa do fardo pronto para armazenar</x:v>
      </x:c>
      <x:c r="F23" s="43" t="str">
        <x:v>kg/fardo</x:v>
      </x:c>
      <x:c r="G23" s="48" t="n">
        <x:v>100</x:v>
      </x:c>
      <x:c r="H23" s="48" t="n">
        <x:v>100</x:v>
      </x:c>
      <x:c r="I23" s="48"/>
      <x:c r="J23" s="48"/>
      <x:c r="K23" s="43" t="str">
        <x:v>Base Geral de Parâmetros</x:v>
      </x:c>
      <x:c r="L23" s="43" t="str">
        <x:v>Alta</x:v>
      </x:c>
      <x:c r="M23" s="43" t="str">
        <x:v>Validar</x:v>
      </x:c>
      <x:c r="N23" s="43" t="str">
        <x:v>Confirmado para o baseline; validar variação em campo</x:v>
      </x:c>
    </x:row>
    <x:row r="24">
      <x:c r="A24" s="43" t="str">
        <x:v>OPV-021</x:v>
      </x:c>
      <x:c r="B24" s="43" t="str">
        <x:v>Peso do fardo de longa vida</x:v>
      </x:c>
      <x:c r="C24" s="43" t="str">
        <x:v>Hub Santo Amaro</x:v>
      </x:c>
      <x:c r="D24" s="43" t="str">
        <x:v>Fardo de prensa pequena</x:v>
      </x:c>
      <x:c r="E24" s="43" t="str">
        <x:v>Massa do fardo pronto para armazenar</x:v>
      </x:c>
      <x:c r="F24" s="43" t="str">
        <x:v>kg/fardo</x:v>
      </x:c>
      <x:c r="G24" s="48" t="n">
        <x:v>120</x:v>
      </x:c>
      <x:c r="H24" s="48" t="n">
        <x:v>120</x:v>
      </x:c>
      <x:c r="I24" s="48"/>
      <x:c r="J24" s="48"/>
      <x:c r="K24" s="43" t="str">
        <x:v>Conversa de projeto</x:v>
      </x:c>
      <x:c r="L24" s="43" t="str">
        <x:v>Média</x:v>
      </x:c>
      <x:c r="M24" s="43" t="str">
        <x:v>Validar</x:v>
      </x:c>
      <x:c r="N24" s="43" t="str">
        <x:v>Confirmar média, faixa de variação e critério de pesagem</x:v>
      </x:c>
    </x:row>
    <x:row r="25">
      <x:c r="A25" s="43" t="str">
        <x:v>OPV-022</x:v>
      </x:c>
      <x:c r="B25" s="43" t="str">
        <x:v>Volume do fardo grande</x:v>
      </x:c>
      <x:c r="C25" s="43" t="str">
        <x:v>Hub Santo Amaro</x:v>
      </x:c>
      <x:c r="D25" s="43" t="str">
        <x:v>Fardo de papelão em prensa grande</x:v>
      </x:c>
      <x:c r="E25" s="43" t="str">
        <x:v>Volume calculado de 70 × 110 × 70 cm</x:v>
      </x:c>
      <x:c r="F25" s="43" t="str">
        <x:v>m³/fardo</x:v>
      </x:c>
      <x:c r="G25" s="51" t="n">
        <x:v>0.539</x:v>
      </x:c>
      <x:c r="H25" s="51" t="n">
        <x:v>0.539</x:v>
      </x:c>
      <x:c r="I25" s="48"/>
      <x:c r="J25" s="48"/>
      <x:c r="K25" s="43" t="str">
        <x:v>Conversa de projeto</x:v>
      </x:c>
      <x:c r="L25" s="43" t="str">
        <x:v>Média</x:v>
      </x:c>
      <x:c r="M25" s="43" t="str">
        <x:v>Validar</x:v>
      </x:c>
      <x:c r="N25" s="43" t="str">
        <x:v>Confirmar dimensões reais após prensagem e critério de medição</x:v>
      </x:c>
    </x:row>
    <x:row r="26">
      <x:c r="A26" s="43" t="str">
        <x:v>OPV-023</x:v>
      </x:c>
      <x:c r="B26" s="43" t="str">
        <x:v>Volume do fardo pequeno</x:v>
      </x:c>
      <x:c r="C26" s="43" t="str">
        <x:v>Hub Santo Amaro</x:v>
      </x:c>
      <x:c r="D26" s="43" t="str">
        <x:v>Fardo de plástico ou longa vida</x:v>
      </x:c>
      <x:c r="E26" s="43" t="str">
        <x:v>Volume oficial direto</x:v>
      </x:c>
      <x:c r="F26" s="43" t="str">
        <x:v>m³/fardo</x:v>
      </x:c>
      <x:c r="G26" s="51" t="n">
        <x:v>0.247</x:v>
      </x:c>
      <x:c r="H26" s="51" t="n">
        <x:v>0.247</x:v>
      </x:c>
      <x:c r="I26" s="48"/>
      <x:c r="J26" s="48"/>
      <x:c r="K26" s="43" t="str">
        <x:v>Base Geral de Parâmetros</x:v>
      </x:c>
      <x:c r="L26" s="43" t="str">
        <x:v>Alta</x:v>
      </x:c>
      <x:c r="M26" s="43" t="str">
        <x:v>Validar</x:v>
      </x:c>
      <x:c r="N26" s="43" t="str">
        <x:v>Não derivar das dimensões históricas</x:v>
      </x:c>
    </x:row>
    <x:row r="27">
      <x:c r="A27" s="43" t="str">
        <x:v>OPV-024</x:v>
      </x:c>
      <x:c r="B27" s="43" t="str">
        <x:v>Pessoas necessárias por prensa</x:v>
      </x:c>
      <x:c r="C27" s="43" t="str">
        <x:v>Hub Santo Amaro</x:v>
      </x:c>
      <x:c r="D27" s="43" t="str">
        <x:v>Equipe compartilhada</x:v>
      </x:c>
      <x:c r="E27" s="43" t="str">
        <x:v>Cada prensa em operação requer uma pessoa dedicada</x:v>
      </x:c>
      <x:c r="F27" s="43" t="str">
        <x:v>pessoa/prensa</x:v>
      </x:c>
      <x:c r="G27" s="48" t="n">
        <x:v>1</x:v>
      </x:c>
      <x:c r="H27" s="48" t="n">
        <x:v>1</x:v>
      </x:c>
      <x:c r="I27" s="48"/>
      <x:c r="J27" s="48"/>
      <x:c r="K27" s="43" t="str">
        <x:v>Conversa de projeto</x:v>
      </x:c>
      <x:c r="L27" s="43" t="str">
        <x:v>Média</x:v>
      </x:c>
      <x:c r="M27" s="43" t="str">
        <x:v>Validar</x:v>
      </x:c>
      <x:c r="N27" s="43" t="str">
        <x:v>Confirmar se há exceção por porte, material ou fase do fardo</x:v>
      </x:c>
    </x:row>
    <x:row r="28">
      <x:c r="A28" s="43" t="str">
        <x:v>OPV-025</x:v>
      </x:c>
      <x:c r="B28" s="43" t="str">
        <x:v>Prensas simultâneas por pessoa</x:v>
      </x:c>
      <x:c r="C28" s="43" t="str">
        <x:v>Hub Santo Amaro</x:v>
      </x:c>
      <x:c r="D28" s="43" t="str">
        <x:v>Operador de prensa</x:v>
      </x:c>
      <x:c r="E28" s="43" t="str">
        <x:v>Uma mesma pessoa não opera mais de uma prensa ao mesmo tempo</x:v>
      </x:c>
      <x:c r="F28" s="43" t="str">
        <x:v>prensa/pessoa</x:v>
      </x:c>
      <x:c r="G28" s="48" t="n">
        <x:v>1</x:v>
      </x:c>
      <x:c r="H28" s="48" t="n">
        <x:v>1</x:v>
      </x:c>
      <x:c r="I28" s="48"/>
      <x:c r="J28" s="48"/>
      <x:c r="K28" s="43" t="str">
        <x:v>Conversa de projeto</x:v>
      </x:c>
      <x:c r="L28" s="43" t="str">
        <x:v>Média</x:v>
      </x:c>
      <x:c r="M28" s="43" t="str">
        <x:v>Validar</x:v>
      </x:c>
      <x:c r="N28" s="43" t="str">
        <x:v>Confirmar se alguma parte do ciclo permite supervisão de outra prensa</x:v>
      </x:c>
    </x:row>
    <x:row r="29">
      <x:c r="A29" s="43" t="str">
        <x:v>OPV-026</x:v>
      </x:c>
      <x:c r="B29" s="43" t="str">
        <x:v>Prensas simultâneas máximas pela equipe</x:v>
      </x:c>
      <x:c r="C29" s="43" t="str">
        <x:v>Hub Santo Amaro</x:v>
      </x:c>
      <x:c r="D29" s="43" t="str">
        <x:v>6 pessoas e 6 prensas físicas</x:v>
      </x:c>
      <x:c r="E29" s="43" t="str">
        <x:v>Mínimo entre pessoas disponíveis e prensas físicas, quando a equipe está livre</x:v>
      </x:c>
      <x:c r="F29" s="43" t="str">
        <x:v>prensas</x:v>
      </x:c>
      <x:c r="G29" s="48" t="n">
        <x:v>6</x:v>
      </x:c>
      <x:c r="H29" s="48" t="n">
        <x:v>6</x:v>
      </x:c>
      <x:c r="I29" s="48"/>
      <x:c r="J29" s="48"/>
      <x:c r="K29" s="43" t="str">
        <x:v>Base Geral de Parâmetros</x:v>
      </x:c>
      <x:c r="L29" s="43" t="str">
        <x:v>Alta</x:v>
      </x:c>
      <x:c r="M29" s="43" t="str">
        <x:v>Validar</x:v>
      </x:c>
      <x:c r="N29" s="43" t="str">
        <x:v>Confirmar disponibilidade real por horário e prioridades das demais etapas</x:v>
      </x:c>
    </x:row>
    <x:row r="30">
      <x:c r="A30" s="43" t="str">
        <x:v>OPV-027</x:v>
      </x:c>
      <x:c r="B30" s="43" t="str">
        <x:v>Sequência de trabalho do fardo</x:v>
      </x:c>
      <x:c r="C30" s="43" t="str">
        <x:v>Hub Santo Amaro</x:v>
      </x:c>
      <x:c r="D30" s="43" t="str">
        <x:v>Operador de prensa</x:v>
      </x:c>
      <x:c r="E30" s="43" t="str">
        <x:v>Movimentar batelada do estoque → alimentar/prensar → amarrar → levar fardo ao estoque</x:v>
      </x:c>
      <x:c r="F30" s="43" t="str">
        <x:v>regra</x:v>
      </x:c>
      <x:c r="G30" s="48" t="str">
        <x:v>1 pessoa executa toda a sequência</x:v>
      </x:c>
      <x:c r="H30" s="48" t="str">
        <x:v>1 pessoa executa toda a sequência</x:v>
      </x:c>
      <x:c r="I30" s="48"/>
      <x:c r="J30" s="48"/>
      <x:c r="K30" s="43" t="str">
        <x:v>Conversa de projeto</x:v>
      </x:c>
      <x:c r="L30" s="43" t="str">
        <x:v>Alta</x:v>
      </x:c>
      <x:c r="M30" s="43" t="str">
        <x:v>Validado</x:v>
      </x:c>
      <x:c r="N30" s="43" t="str">
        <x:v>Confirmado: 10 min/batelada antes da prensa, 20/8 min por fardo e 1 batelada = 1 fardo = 1 lote</x:v>
      </x:c>
    </x:row>
    <x:row r="31">
      <x:c r="A31" s="43" t="str">
        <x:v>OPV-028</x:v>
      </x:c>
      <x:c r="B31" s="43" t="str">
        <x:v>Gatilho de retirada — papelão</x:v>
      </x:c>
      <x:c r="C31" s="43" t="str">
        <x:v>Hub Santo Amaro</x:v>
      </x:c>
      <x:c r="D31" s="43" t="str">
        <x:v>Estoque de fardos e parceiro</x:v>
      </x:c>
      <x:c r="E31" s="43" t="str">
        <x:v>32 fardos de 200 kg</x:v>
      </x:c>
      <x:c r="F31" s="43" t="str">
        <x:v>kg/retirada</x:v>
      </x:c>
      <x:c r="G31" s="48" t="n">
        <x:v>6400</x:v>
      </x:c>
      <x:c r="H31" s="48" t="n">
        <x:v>6400</x:v>
      </x:c>
      <x:c r="I31" s="48"/>
      <x:c r="J31" s="48"/>
      <x:c r="K31" s="43" t="str">
        <x:v>Base Geral de Parâmetros</x:v>
      </x:c>
      <x:c r="L31" s="43" t="str">
        <x:v>Alta</x:v>
      </x:c>
      <x:c r="M31" s="43" t="str">
        <x:v>Validar</x:v>
      </x:c>
      <x:c r="N31" s="43" t="str">
        <x:v>Confirmado para o baseline; ainda não observado em campo</x:v>
      </x:c>
    </x:row>
    <x:row r="32">
      <x:c r="A32" s="43" t="str">
        <x:v>OPV-029</x:v>
      </x:c>
      <x:c r="B32" s="43" t="str">
        <x:v>Gatilho de retirada — plástico</x:v>
      </x:c>
      <x:c r="C32" s="43" t="str">
        <x:v>Hub Santo Amaro</x:v>
      </x:c>
      <x:c r="D32" s="43" t="str">
        <x:v>Estoque de fardos e parceiro</x:v>
      </x:c>
      <x:c r="E32" s="43" t="str">
        <x:v>19 fardos de 100 kg</x:v>
      </x:c>
      <x:c r="F32" s="43" t="str">
        <x:v>kg/retirada</x:v>
      </x:c>
      <x:c r="G32" s="48" t="n">
        <x:v>1900</x:v>
      </x:c>
      <x:c r="H32" s="48" t="n">
        <x:v>1900</x:v>
      </x:c>
      <x:c r="I32" s="48"/>
      <x:c r="J32" s="48"/>
      <x:c r="K32" s="43" t="str">
        <x:v>Base Geral de Parâmetros</x:v>
      </x:c>
      <x:c r="L32" s="43" t="str">
        <x:v>Alta</x:v>
      </x:c>
      <x:c r="M32" s="43" t="str">
        <x:v>Validar</x:v>
      </x:c>
      <x:c r="N32" s="43" t="str">
        <x:v>Confirmado para o baseline; ainda não observado em campo</x:v>
      </x:c>
    </x:row>
    <x:row r="33">
      <x:c r="A33" s="43" t="str">
        <x:v>OPV-030</x:v>
      </x:c>
      <x:c r="B33" s="43" t="str">
        <x:v>Gatilho de retirada — longa vida</x:v>
      </x:c>
      <x:c r="C33" s="43" t="str">
        <x:v>Hub Santo Amaro</x:v>
      </x:c>
      <x:c r="D33" s="43" t="str">
        <x:v>Estoque de fardos e parceiro</x:v>
      </x:c>
      <x:c r="E33" s="43" t="str">
        <x:v>54 fardos de 120 kg</x:v>
      </x:c>
      <x:c r="F33" s="43" t="str">
        <x:v>kg/retirada</x:v>
      </x:c>
      <x:c r="G33" s="48" t="n">
        <x:v>6480</x:v>
      </x:c>
      <x:c r="H33" s="48" t="n">
        <x:v>6480</x:v>
      </x:c>
      <x:c r="I33" s="48"/>
      <x:c r="J33" s="48"/>
      <x:c r="K33" s="43" t="str">
        <x:v>Base Geral de Parâmetros</x:v>
      </x:c>
      <x:c r="L33" s="43" t="str">
        <x:v>Alta</x:v>
      </x:c>
      <x:c r="M33" s="43" t="str">
        <x:v>Validar</x:v>
      </x:c>
      <x:c r="N33" s="43" t="str">
        <x:v>Confirmado para o baseline; ainda não observado em campo</x:v>
      </x:c>
    </x:row>
    <x:row r="34">
      <x:c r="A34" s="43" t="str">
        <x:v>OPV-031</x:v>
      </x:c>
      <x:c r="B34" s="43" t="str">
        <x:v>Pesagem do material</x:v>
      </x:c>
      <x:c r="C34" s="43" t="str">
        <x:v>Centros de coleta + Santo Amaro direto</x:v>
      </x:c>
      <x:c r="D34" s="43" t="str">
        <x:v>1 balança e operador</x:v>
      </x:c>
      <x:c r="E34" s="43" t="str">
        <x:v>Do material identificado até o peso estar aferido</x:v>
      </x:c>
      <x:c r="F34" s="43" t="str">
        <x:v>min/visita</x:v>
      </x:c>
      <x:c r="G34" s="48" t="n">
        <x:v>0.5</x:v>
      </x:c>
      <x:c r="H34" s="48" t="n">
        <x:v>0.5</x:v>
      </x:c>
      <x:c r="I34" s="48"/>
      <x:c r="J34" s="48"/>
      <x:c r="K34" s="43" t="str">
        <x:v>Conversa de projeto</x:v>
      </x:c>
      <x:c r="L34" s="43" t="str">
        <x:v>Alta</x:v>
      </x:c>
      <x:c r="M34" s="43" t="str">
        <x:v>Validar</x:v>
      </x:c>
      <x:c r="N34" s="43" t="str">
        <x:v>Balança declarada não limitante; validar tara, repesagem e indisponibilidade</x:v>
      </x:c>
    </x:row>
    <x:row r="35">
      <x:c r="A35" s="43" t="str">
        <x:v>OPV-032</x:v>
      </x:c>
      <x:c r="B35" s="43" t="str">
        <x:v>Registro do recebimento</x:v>
      </x:c>
      <x:c r="C35" s="43" t="str">
        <x:v>Centros de coleta + Santo Amaro direto</x:v>
      </x:c>
      <x:c r="D35" s="43" t="str">
        <x:v>Operador e sistema</x:v>
      </x:c>
      <x:c r="E35" s="43" t="str">
        <x:v>Do peso aferido até a transação estar registrada</x:v>
      </x:c>
      <x:c r="F35" s="43" t="str">
        <x:v>min/visita</x:v>
      </x:c>
      <x:c r="G35" s="48" t="n">
        <x:v>1</x:v>
      </x:c>
      <x:c r="H35" s="48" t="n">
        <x:v>1</x:v>
      </x:c>
      <x:c r="I35" s="48"/>
      <x:c r="J35" s="48"/>
      <x:c r="K35" s="43" t="str">
        <x:v>Base Geral de Parâmetros</x:v>
      </x:c>
      <x:c r="L35" s="43" t="str">
        <x:v>Alta</x:v>
      </x:c>
      <x:c r="M35" s="43" t="str">
        <x:v>Validar</x:v>
      </x:c>
      <x:c r="N35" s="43" t="str">
        <x:v>Validar retrabalho e operação sem conexão</x:v>
      </x:c>
    </x:row>
    <x:row r="36">
      <x:c r="A36" s="43" t="str">
        <x:v>OPV-033</x:v>
      </x:c>
      <x:c r="B36" s="43" t="str">
        <x:v>Prensagem local as-is</x:v>
      </x:c>
      <x:c r="C36" s="43" t="str">
        <x:v>Centros de coleta</x:v>
      </x:c>
      <x:c r="D36" s="43" t="str">
        <x:v>Prensas locais</x:v>
      </x:c>
      <x:c r="E36" s="43" t="str">
        <x:v>Quantidade de prensas existentes hoje</x:v>
      </x:c>
      <x:c r="F36" s="43" t="str">
        <x:v>un.</x:v>
      </x:c>
      <x:c r="G36" s="48" t="n">
        <x:v>0</x:v>
      </x:c>
      <x:c r="H36" s="48" t="n">
        <x:v>0</x:v>
      </x:c>
      <x:c r="I36" s="48"/>
      <x:c r="J36" s="48"/>
      <x:c r="K36" s="43" t="str">
        <x:v>Conversa de projeto 31/07/2026</x:v>
      </x:c>
      <x:c r="L36" s="43" t="str">
        <x:v>Alta</x:v>
      </x:c>
      <x:c r="M36" s="43" t="str">
        <x:v>Validado</x:v>
      </x:c>
      <x:c r="N36" s="43" t="str">
        <x:v>Nenhum CC prensa atualmente</x:v>
      </x:c>
    </x:row>
    <x:row r="37">
      <x:c r="A37" s="43" t="str">
        <x:v>OPV-034</x:v>
      </x:c>
      <x:c r="B37" s="43" t="str">
        <x:v>Prensagem local — cenário futuro</x:v>
      </x:c>
      <x:c r="C37" s="43" t="str">
        <x:v>Centro/localização a definir</x:v>
      </x:c>
      <x:c r="D37" s="43" t="str">
        <x:v>Prensa pequena e operador local</x:v>
      </x:c>
      <x:c r="E37" s="43" t="str">
        <x:v>Do material segregado até fardo/lote pronto; apta a todos os materiais</x:v>
      </x:c>
      <x:c r="F37" s="43" t="str">
        <x:v>cenário</x:v>
      </x:c>
      <x:c r="G37" s="48" t="str">
        <x:v>Todos os materiais</x:v>
      </x:c>
      <x:c r="H37" s="48" t="str">
        <x:v>Todos os materiais</x:v>
      </x:c>
      <x:c r="I37" s="48"/>
      <x:c r="J37" s="48"/>
      <x:c r="K37" s="43" t="str">
        <x:v>Conversa de projeto</x:v>
      </x:c>
      <x:c r="L37" s="43" t="str">
        <x:v>Média</x:v>
      </x:c>
      <x:c r="M37" s="43" t="str">
        <x:v>Pendente</x:v>
      </x:c>
      <x:c r="N37" s="43" t="str">
        <x:v>Aplicação a todos os materiais confirmada; após validar as-is, definir centro/localização, ciclo, fardo, equipe e estoque</x:v>
      </x:c>
    </x:row>
    <x:row r="38">
      <x:c r="A38" s="43" t="str">
        <x:v>OPV-035</x:v>
      </x:c>
      <x:c r="B38" s="43" t="str">
        <x:v>Gatilho operacional de coleta do centro</x:v>
      </x:c>
      <x:c r="C38" s="43" t="str">
        <x:v>Centros de coleta externos</x:v>
      </x:c>
      <x:c r="D38" s="43" t="str">
        <x:v>Estoque compartilhado e responsável</x:v>
      </x:c>
      <x:c r="E38" s="43" t="str">
        <x:v>Do estoque monitorado visualmente até cruzar a regra de solicitação</x:v>
      </x:c>
      <x:c r="F38" s="43" t="str">
        <x:v>m³</x:v>
      </x:c>
      <x:c r="G38" s="48" t="n">
        <x:v>15</x:v>
      </x:c>
      <x:c r="H38" s="48" t="n">
        <x:v>15</x:v>
      </x:c>
      <x:c r="I38" s="48"/>
      <x:c r="J38" s="48"/>
      <x:c r="K38" s="43" t="str">
        <x:v>Base Geral de Parâmetros</x:v>
      </x:c>
      <x:c r="L38" s="43" t="str">
        <x:v>Alta</x:v>
      </x:c>
      <x:c r="M38" s="43" t="str">
        <x:v>Referência operacional</x:v>
      </x:c>
      <x:c r="N38" s="43" t="str">
        <x:v>Mantido fora do throughput RCCP e na dinâmica operacional</x:v>
      </x:c>
    </x:row>
    <x:row r="39">
      <x:c r="A39" s="43" t="str">
        <x:v>OPV-036</x:v>
      </x:c>
      <x:c r="B39" s="43" t="str">
        <x:v>LT_pedido da coleta</x:v>
      </x:c>
      <x:c r="C39" s="43" t="str">
        <x:v>Centros de coleta</x:v>
      </x:c>
      <x:c r="D39" s="43" t="str">
        <x:v>Responsável, canal e frota</x:v>
      </x:c>
      <x:c r="E39" s="43" t="str">
        <x:v>Da solicitação enviada em E1 até o caminhão chegar ao CC em E6</x:v>
      </x:c>
      <x:c r="F39" s="43" t="str">
        <x:v>min ou h/solicitação</x:v>
      </x:c>
      <x:c r="G39" s="48"/>
      <x:c r="H39" s="48"/>
      <x:c r="I39" s="48"/>
      <x:c r="J39" s="48"/>
      <x:c r="K39" s="43" t="str">
        <x:v>Medição prospectiva</x:v>
      </x:c>
      <x:c r="L39" s="43" t="str">
        <x:v>Baixa</x:v>
      </x:c>
      <x:c r="M39" s="43" t="str">
        <x:v>Pendente</x:v>
      </x:c>
      <x:c r="N39" s="43" t="str">
        <x:v>Indicador de resposta e proteção do estoque; não somar fila por caminhão ocupado ao ciclo RCCP</x:v>
      </x:c>
    </x:row>
    <x:row r="40">
      <x:c r="A40" s="43" t="str">
        <x:v>OPV-037</x:v>
      </x:c>
      <x:c r="B40" s="43" t="str">
        <x:v>Preparação da carga</x:v>
      </x:c>
      <x:c r="C40" s="43" t="str">
        <x:v>Centros de coleta</x:v>
      </x:c>
      <x:c r="D40" s="43" t="str">
        <x:v>Operador local e movimentação interna</x:v>
      </x:c>
      <x:c r="E40" s="43" t="str">
        <x:v>Da coleta programada até o material estar disponível no ponto de carregamento</x:v>
      </x:c>
      <x:c r="F40" s="43" t="str">
        <x:v>min/viagem; operador-min/viagem</x:v>
      </x:c>
      <x:c r="G40" s="48"/>
      <x:c r="H40" s="48"/>
      <x:c r="I40" s="48"/>
      <x:c r="J40" s="48"/>
      <x:c r="K40" s="43" t="str">
        <x:v>Entrevista com operadores (a realizar)</x:v>
      </x:c>
      <x:c r="L40" s="43" t="str">
        <x:v>Baixa</x:v>
      </x:c>
      <x:c r="M40" s="43" t="str">
        <x:v>Pendente</x:v>
      </x:c>
      <x:c r="N40" s="43" t="str">
        <x:v>Confirmar separação, conferência, movimentação e pesagem antes da chegada/posição do caminhão</x:v>
      </x:c>
    </x:row>
    <x:row r="41">
      <x:c r="A41" s="43" t="str">
        <x:v>OPV-038</x:v>
      </x:c>
      <x:c r="B41" s="43" t="str">
        <x:v>Apoio local ao carregamento</x:v>
      </x:c>
      <x:c r="C41" s="43" t="str">
        <x:v>Centros de coleta</x:v>
      </x:c>
      <x:c r="D41" s="43" t="str">
        <x:v>2 operadores locais</x:v>
      </x:c>
      <x:c r="E41" s="43" t="str">
        <x:v>Do início ao fim do carregamento do caminhão</x:v>
      </x:c>
      <x:c r="F41" s="43" t="str">
        <x:v>operador/viagem</x:v>
      </x:c>
      <x:c r="G41" s="48" t="n">
        <x:v>2</x:v>
      </x:c>
      <x:c r="H41" s="48" t="n">
        <x:v>2</x:v>
      </x:c>
      <x:c r="I41" s="48"/>
      <x:c r="J41" s="48"/>
      <x:c r="K41" s="43" t="str">
        <x:v>Base Geral de Parâmetros</x:v>
      </x:c>
      <x:c r="L41" s="43" t="str">
        <x:v>Alta</x:v>
      </x:c>
      <x:c r="M41" s="43" t="str">
        <x:v>Validar</x:v>
      </x:c>
      <x:c r="N41" s="43" t="str">
        <x:v>Confirmado para o baseline; validar motorista/equipamentos e fronteira dos 20/30 min</x:v>
      </x:c>
    </x:row>
    <x:row r="42">
      <x:c r="A42" s="43" t="str">
        <x:v>OPV-039</x:v>
      </x:c>
      <x:c r="B42" s="43" t="str">
        <x:v>Baixa de estoque e documento de saída</x:v>
      </x:c>
      <x:c r="C42" s="43" t="str">
        <x:v>Centros de coleta</x:v>
      </x:c>
      <x:c r="D42" s="43" t="str">
        <x:v>Operador e sistema</x:v>
      </x:c>
      <x:c r="E42" s="43" t="str">
        <x:v>Do veículo liberado até estoque e massa expedida estarem reconciliados</x:v>
      </x:c>
      <x:c r="F42" s="43" t="str">
        <x:v>min/viagem; registros/viagem</x:v>
      </x:c>
      <x:c r="G42" s="48"/>
      <x:c r="H42" s="48"/>
      <x:c r="I42" s="48"/>
      <x:c r="J42" s="48"/>
      <x:c r="K42" s="43" t="str">
        <x:v>Entrevista com operadores (a realizar)</x:v>
      </x:c>
      <x:c r="L42" s="43" t="str">
        <x:v>Baixa</x:v>
      </x:c>
      <x:c r="M42" s="43" t="str">
        <x:v>Pendente</x:v>
      </x:c>
      <x:c r="N42" s="43" t="str">
        <x:v>Confirmar documento, momento da baixa, massa utilizada, divergências e vínculo com o recebimento no Hub</x:v>
      </x:c>
    </x:row>
    <x:row r="43">
      <x:c r="A43" s="43" t="str">
        <x:v>OPV-040</x:v>
      </x:c>
      <x:c r="B43" s="43" t="str">
        <x:v>Alocação da equipe local</x:v>
      </x:c>
      <x:c r="C43" s="43" t="str">
        <x:v>Cada centro de coleta</x:v>
      </x:c>
      <x:c r="D43" s="43" t="str">
        <x:v>2 pessoas em Pinheiros/Jabaquara/Paraisópolis/Brooklin; 3 em Embu</x:v>
      </x:c>
      <x:c r="E43" s="43" t="str">
        <x:v>Calendário seg–sex 08–17 + sábado 08–12</x:v>
      </x:c>
      <x:c r="F43" s="43" t="str">
        <x:v>op-min/semana</x:v>
      </x:c>
      <x:c r="G43" s="48"/>
      <x:c r="H43" s="48"/>
      <x:c r="I43" s="48"/>
      <x:c r="J43" s="48"/>
      <x:c r="K43" s="43" t="str">
        <x:v>Base Geral de Parâmetros</x:v>
      </x:c>
      <x:c r="L43" s="43" t="str">
        <x:v>Alta</x:v>
      </x:c>
      <x:c r="M43" s="43" t="str">
        <x:v>Validar</x:v>
      </x:c>
      <x:c r="N43" s="43" t="str">
        <x:v>Validar regras de prioridade e tarefas não mapeadas</x:v>
      </x:c>
    </x:row>
    <x:row r="44">
      <x:c r="A44" s="43" t="str">
        <x:v>OPV-041</x:v>
      </x:c>
      <x:c r="B44" s="43" t="str">
        <x:v>Eficiências independentes</x:v>
      </x:c>
      <x:c r="C44" s="43" t="str">
        <x:v>Transporte, CC e Hub</x:v>
      </x:c>
      <x:c r="D44" s="43" t="str">
        <x:v>Disponibilidade dos três grupos</x:v>
      </x:c>
      <x:c r="E44" s="43" t="str">
        <x:v>Aplicar uma única vez os minutos de calendário de cada grupo</x:v>
      </x:c>
      <x:c r="F44" s="43" t="str">
        <x:v>%</x:v>
      </x:c>
      <x:c r="G44" s="48" t="n">
        <x:v>100</x:v>
      </x:c>
      <x:c r="H44" s="48" t="n">
        <x:v>100</x:v>
      </x:c>
      <x:c r="I44" s="48"/>
      <x:c r="J44" s="48"/>
      <x:c r="K44" s="43" t="str">
        <x:v>Base Geral de Parâmetros</x:v>
      </x:c>
      <x:c r="L44" s="43" t="str">
        <x:v>Alta</x:v>
      </x:c>
      <x:c r="M44" s="43" t="str">
        <x:v>Validar</x:v>
      </x:c>
      <x:c r="N44" s="43" t="str">
        <x:v>Baseline oficial = 100% nos três grupos</x:v>
      </x:c>
    </x:row>
    <x:row r="45">
      <x:c r="A45" s="43" t="str">
        <x:v>OPV-042</x:v>
      </x:c>
      <x:c r="B45" s="43" t="str">
        <x:v>LT_gatilho da coleta</x:v>
      </x:c>
      <x:c r="C45" s="43" t="str">
        <x:v>Centros externos</x:v>
      </x:c>
      <x:c r="D45" s="43" t="str">
        <x:v>Estoque, responsável, fila de pedidos e caminhão</x:v>
      </x:c>
      <x:c r="E45" s="43" t="str">
        <x:v>Da primeira constatação do gatilho em E0 até a chegada do caminhão ao CC em E6</x:v>
      </x:c>
      <x:c r="F45" s="43" t="str">
        <x:v>h ou dias</x:v>
      </x:c>
      <x:c r="G45" s="48"/>
      <x:c r="H45" s="48"/>
      <x:c r="I45" s="48"/>
      <x:c r="J45" s="48"/>
      <x:c r="K45" s="43" t="str">
        <x:v>Medição prospectiva</x:v>
      </x:c>
      <x:c r="L45" s="43" t="str">
        <x:v>Baixa</x:v>
      </x:c>
      <x:c r="M45" s="43" t="str">
        <x:v>Pendente</x:v>
      </x:c>
      <x:c r="N45" s="43" t="str">
        <x:v>Classificar E0 como observado, calculado ou estimado visualmente; não bloqueia o RCCP</x:v>
      </x:c>
    </x:row>
    <x:row r="46">
      <x:c r="A46" s="43" t="str">
        <x:v>OPV-043</x:v>
      </x:c>
      <x:c r="B46" s="43" t="str">
        <x:v>Deslocamento observado da coleta</x:v>
      </x:c>
      <x:c r="C46" s="43" t="str">
        <x:v>Rotas Hub → Centros externos</x:v>
      </x:c>
      <x:c r="D46" s="43" t="str">
        <x:v>Caminhão e motorista</x:v>
      </x:c>
      <x:c r="E46" s="43" t="str">
        <x:v>Da saída para o CC em E5 até a chegada ao CC em E6</x:v>
      </x:c>
      <x:c r="F46" s="43" t="str">
        <x:v>min/viagem</x:v>
      </x:c>
      <x:c r="G46" s="48"/>
      <x:c r="H46" s="48"/>
      <x:c r="I46" s="48"/>
      <x:c r="J46" s="48"/>
      <x:c r="K46" s="43" t="str">
        <x:v>Medição prospectiva/GPS</x:v>
      </x:c>
      <x:c r="L46" s="43" t="str">
        <x:v>Baixa</x:v>
      </x:c>
      <x:c r="M46" s="43" t="str">
        <x:v>Pendente</x:v>
      </x:c>
      <x:c r="N46" s="43" t="str">
        <x:v>Pode substituir o tempo médio da matriz por rota quando houver amostra suficiente; não inclui fila anterior</x:v>
      </x:c>
    </x:row>
    <x:row r="47">
      <x:c r="A47" s="43" t="str">
        <x:v>OPV-046</x:v>
      </x:c>
      <x:c r="B47" s="43" t="str">
        <x:v>Aplicação da triagem às entregas diretas</x:v>
      </x:c>
      <x:c r="C47" s="43" t="str">
        <x:v>Hub Santo Amaro</x:v>
      </x:c>
      <x:c r="D47" s="43" t="str">
        <x:v>Equipe compartilhada</x:v>
      </x:c>
      <x:c r="E47" s="43" t="str">
        <x:v>Verificar se a visita direta passa pela triagem das cargas vindas dos CCs</x:v>
      </x:c>
      <x:c r="F47" s="43" t="str">
        <x:v>min/visita direta</x:v>
      </x:c>
      <x:c r="G47" s="48" t="n">
        <x:v>0</x:v>
      </x:c>
      <x:c r="H47" s="48" t="n">
        <x:v>0</x:v>
      </x:c>
      <x:c r="I47" s="48"/>
      <x:c r="J47" s="48"/>
      <x:c r="K47" s="43" t="str">
        <x:v>Conversa de projeto</x:v>
      </x:c>
      <x:c r="L47" s="43" t="str">
        <x:v>Alta</x:v>
      </x:c>
      <x:c r="M47" s="43" t="str">
        <x:v>Validado</x:v>
      </x:c>
      <x:c r="N47" s="43" t="str">
        <x:v>Confirmado: não passa; a visita direta consome somente o ciclo local de 4 min</x:v>
      </x:c>
    </x:row>
    <x:row r="48">
      <x:c r="A48" s="43" t="str">
        <x:v>OPV-044</x:v>
      </x:c>
      <x:c r="B48" s="43" t="str">
        <x:v>Base/fuso do timestamp</x:v>
      </x:c>
      <x:c r="C48" s="43" t="str">
        <x:v>Todos os centros</x:v>
      </x:c>
      <x:c r="D48" s="43" t="str">
        <x:v>Sistema de registro</x:v>
      </x:c>
      <x:c r="E48" s="43" t="str">
        <x:v>Interpretar os horários conforme registrados na mesma base/fuso</x:v>
      </x:c>
      <x:c r="F48" s="43" t="str">
        <x:v>regra</x:v>
      </x:c>
      <x:c r="G48" s="48" t="str">
        <x:v>Mesma base/fuso</x:v>
      </x:c>
      <x:c r="H48" s="48" t="str">
        <x:v>Mesma base/fuso</x:v>
      </x:c>
      <x:c r="I48" s="48"/>
      <x:c r="J48" s="48"/>
      <x:c r="K48" s="43" t="str">
        <x:v>Conversa de projeto</x:v>
      </x:c>
      <x:c r="L48" s="43" t="str">
        <x:v>Alta</x:v>
      </x:c>
      <x:c r="M48" s="43" t="str">
        <x:v>Validado</x:v>
      </x:c>
      <x:c r="N48" s="43" t="str">
        <x:v>Sem conversão de horário na preparação do perfil</x:v>
      </x:c>
    </x:row>
    <x:row r="49">
      <x:c r="A49" s="43" t="str">
        <x:v>OPV-045</x:v>
      </x:c>
      <x:c r="B49" s="43" t="str">
        <x:v>Pessoas na triagem de cargas vindas dos CCs</x:v>
      </x:c>
      <x:c r="C49" s="43" t="str">
        <x:v>Hub Santo Amaro</x:v>
      </x:c>
      <x:c r="D49" s="43" t="str">
        <x:v>Controle ativo</x:v>
      </x:c>
      <x:c r="E49" s="43" t="str">
        <x:v>Quantidade de pessoas ocupadas</x:v>
      </x:c>
      <x:c r="F49" s="43" t="str">
        <x:v>pessoa/carga</x:v>
      </x:c>
      <x:c r="G49" s="48" t="n">
        <x:v>1</x:v>
      </x:c>
      <x:c r="H49" s="48" t="n">
        <x:v>1</x:v>
      </x:c>
      <x:c r="I49" s="48"/>
      <x:c r="J49" s="48"/>
      <x:c r="K49" s="43" t="str">
        <x:v>Solicitação do usuário — 12/08/2026</x:v>
      </x:c>
      <x:c r="L49" s="43" t="str">
        <x:v>Alta</x:v>
      </x:c>
      <x:c r="M49" s="43" t="str">
        <x:v>Validado</x:v>
      </x:c>
      <x:c r="N49" s="43" t="str">
        <x:v>Referência aplicada quando o tempo informado é maior que zero</x:v>
      </x:c>
    </x:row>
  </x:sheetData>
  <x:mergeCells>
    <x:mergeCell ref="A1:N1"/>
    <x:mergeCell ref="A2:N2"/>
  </x:mergeCells>
  <x:dataValidations count="2">
    <x:dataValidation type="list" sqref="L4:L49">
      <x:formula1>"Alta,Média,Baixa"</x:formula1>
    </x:dataValidation>
    <x:dataValidation type="list" sqref="M4:M49">
      <x:formula1>"Pendente,Validar,Validado,Substituído"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2" hidden="0" customWidth="1"/>
    <x:col min="4" max="4" width="22" hidden="0" customWidth="1"/>
    <x:col min="5" max="5" width="20" hidden="0" customWidth="1"/>
    <x:col min="6" max="6" width="18" hidden="0" customWidth="1"/>
    <x:col min="7" max="7" width="22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8" hidden="0" customWidth="1"/>
    <x:col min="26" max="26" width="14" hidden="0" customWidth="1"/>
    <x:col min="27" max="27" width="22" hidden="0" customWidth="1"/>
    <x:col min="28" max="28" width="24" hidden="0" customWidth="1"/>
    <x:col min="29" max="29" width="26" hidden="0" customWidth="1"/>
    <x:col min="30" max="30" width="22" hidden="0" customWidth="1"/>
    <x:col min="31" max="31" width="36" hidden="0" customWidth="1"/>
    <x:col min="32" max="32" width="16" hidden="0" customWidth="1"/>
    <x:col min="33" max="33" width="16" hidden="0" customWidth="1"/>
    <x:col min="34" max="34" width="18" hidden="0" customWidth="1"/>
    <x:col min="35" max="35" width="21" hidden="0" customWidth="1"/>
    <x:col min="36" max="36" width="21" hidden="0" customWidth="1"/>
    <x:col min="37" max="37" width="16" hidden="0" customWidth="1"/>
    <x:col min="38" max="38" width="18" hidden="0" customWidth="1"/>
    <x:col min="39" max="39" width="17" hidden="0" customWidth="1"/>
    <x:col min="40" max="40" width="17" hidden="0" customWidth="1"/>
    <x:col min="41" max="41" width="19" hidden="0" customWidth="1"/>
    <x:col min="42" max="42" width="27" hidden="0" customWidth="1"/>
    <x:col min="43" max="43" width="20" hidden="0" customWidth="1"/>
    <x:col min="44" max="44" width="20" hidden="0" customWidth="1"/>
    <x:col min="45" max="45" width="20" hidden="0" customWidth="1"/>
    <x:col min="46" max="46" width="22" hidden="0" customWidth="1"/>
  </x:cols>
  <x:sheetData>
    <x:row r="1" ht="30" customHeight="1">
      <x:c r="A1" s="4" t="str">
        <x:v>Medição do Lead Time de Coleta — Gatilho, Fila e Caminhão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</x:row>
    <x:row r="2" ht="28" customHeight="1">
      <x:c r="A2" s="8" t="str">
        <x:v>Instrumento opcional com uma linha por request_id. Separa LT_gatilho, LT_pedido e Deslocamento; fila e sequência calibram o SIMUL8 e não são somadas ao ciclo RCCP.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R2" s="8"/>
      <x:c r="AS2" s="8"/>
      <x:c r="AT2" s="8"/>
    </x:row>
    <x:row r="4" ht="30" customHeight="1">
      <x:c r="A4" s="14" t="str">
        <x:v>Fase</x:v>
      </x:c>
      <x:c r="B4" s="14" t="str">
        <x:v>Execução</x:v>
      </x:c>
      <x:c r="C4" s="14" t="str">
        <x:v>Critério mínimo</x:v>
      </x:c>
      <x:c r="D4" s="14" t="str">
        <x:v>Uso no modelo</x:v>
      </x:c>
    </x:row>
    <x:row r="5">
      <x:c r="A5" s="43" t="str">
        <x:v>Recuperação retrospectiva</x:v>
      </x:c>
      <x:c r="B5" s="43" t="str">
        <x:v>Conciliar mensagens, agenda, GPS, portão, CTR e entrada no Hub pelo mesmo request_id/trip_id.</x:v>
      </x:c>
      <x:c r="C5" s="43" t="str">
        <x:v>Classificar cada horário como medido, recuperado ou inferido; classificar E0 como observado, calculado ou estimado visualmente.</x:v>
      </x:c>
      <x:c r="D5" s="43" t="str">
        <x:v>Pode estimar LT_pedido; LT_gatilho somente com E0 e sua qualidade identificados; Deslocamento requer E5 e E6.</x:v>
      </x:c>
    </x:row>
    <x:row r="6">
      <x:c r="A6" s="43" t="str">
        <x:v>Piloto do instrumento</x:v>
      </x:c>
      <x:c r="B6" s="43" t="str">
        <x:v>Registrar todos os pedidos por 2 semanas ou até 20 solicitações, o que ocorrer por último.</x:v>
      </x:c>
      <x:c r="C6" s="43" t="str">
        <x:v>IDs reconciliam CC, caminhão e Hub; definições E0–E12 são compreendidas igualmente.</x:v>
      </x:c>
      <x:c r="D6" s="43" t="str">
        <x:v>Ajustar formulário; não escolher distribuição definitiva.</x:v>
      </x:c>
    </x:row>
    <x:row r="7">
      <x:c r="A7" s="43" t="str">
        <x:v>Leitura preliminar da rede</x:v>
      </x:c>
      <x:c r="B7" s="43" t="str">
        <x:v>Continuar até cumprir simultaneamente pelo menos 4 semanas consecutivas, 60 solicitações concluídas e 8 solicitações por centro.</x:v>
      </x:c>
      <x:c r="C7" s="43" t="str">
        <x:v>Cobrir dias úteis, sábados e faixas horárias; todos os três limites são obrigatórios.</x:v>
      </x:c>
      <x:c r="D7" s="43" t="str">
        <x:v>Publicar somente resultado agrupado da rede e sinalizar baixa confiança por centro.</x:v>
      </x:c>
    </x:row>
    <x:row r="8">
      <x:c r="A8" s="43" t="str">
        <x:v>Calibração por centro</x:v>
      </x:c>
      <x:c r="B8" s="43" t="str">
        <x:v>Censo consecutivo por no mínimo 8 semanas e até atingir a amostra-alvo; nos centros menos frequentes, prever cerca de 13–14 semanas.</x:v>
      </x:c>
      <x:c r="C8" s="43" t="str">
        <x:v>Meta de 30 solicitações concluídas por centro; ideal de 50 para interpretar o p90 com menor instabilidade.</x:v>
      </x:c>
      <x:c r="D8" s="43" t="str">
        <x:v>RCCP pode usar o Deslocamento médio por rota; LT_pedido mede resposta, LT_gatilho protege estoque e o SIMUL8 ajusta fila e variabilidade.</x:v>
      </x:c>
    </x:row>
    <x:row r="9">
      <x:c r="A9" s="43" t="str">
        <x:v>Aceitação</x:v>
      </x:c>
      <x:c r="B9" s="43" t="str">
        <x:v>Validar ordem temporal, fila, localização, estoque e balanço por solicitação; revisar manualmente a sobreposição de IDs distintos no mesmo CC.</x:v>
      </x:c>
      <x:c r="C9" s="43" t="str">
        <x:v>E1/E6 completos para LT_pedido; E0/E6 e qualidade de E0 para LT_gatilho; ≥95% com estado/localização/fila; nenhum pedido duplicado pendente.</x:v>
      </x:c>
      <x:c r="D9" s="43" t="str">
        <x:v>Calibrar a dinâmica somente após qualidade suficiente; espera por caminhão ocupado não é somada ao ciclo RCCP.</x:v>
      </x:c>
    </x:row>
    <x:row r="10" ht="30" customHeight="1">
      <x:c r="A10" s="14" t="str">
        <x:v>request_id</x:v>
      </x:c>
      <x:c r="B10" s="14" t="str">
        <x:v>Centro</x:v>
      </x:c>
      <x:c r="C10" s="14" t="str">
        <x:v>trip_id</x:v>
      </x:c>
      <x:c r="D10" s="14" t="str">
        <x:v>Caminhão/motorista</x:v>
      </x:c>
      <x:c r="E10" s="14" t="str">
        <x:v>Fuso</x:v>
      </x:c>
      <x:c r="F10" s="14" t="str">
        <x:v>Fonte principal</x:v>
      </x:c>
      <x:c r="G10" s="14" t="str">
        <x:v>Qualidade/origem de E0</x:v>
      </x:c>
      <x:c r="H10" s="14" t="str">
        <x:v>E0 Gatilho constatado</x:v>
      </x:c>
      <x:c r="I10" s="14" t="str">
        <x:v>E1 Solicitação enviada</x:v>
      </x:c>
      <x:c r="J10" s="14" t="str">
        <x:v>E2 Solicitação reconhecida</x:v>
      </x:c>
      <x:c r="K10" s="14" t="str">
        <x:v>E3 Prioridade definida</x:v>
      </x:c>
      <x:c r="L10" s="14" t="str">
        <x:v>E4 Caminhão disponível</x:v>
      </x:c>
      <x:c r="M10" s="14" t="str">
        <x:v>E5 Saída para o CC</x:v>
      </x:c>
      <x:c r="N10" s="14" t="str">
        <x:v>E6 Chegada ao CC</x:v>
      </x:c>
      <x:c r="O10" s="14" t="str">
        <x:v>E7 Início do carregamento</x:v>
      </x:c>
      <x:c r="P10" s="14" t="str">
        <x:v>E8 Fim do carregamento</x:v>
      </x:c>
      <x:c r="Q10" s="14" t="str">
        <x:v>E9 Saída do CC</x:v>
      </x:c>
      <x:c r="R10" s="14" t="str">
        <x:v>E10 Chegada ao Hub</x:v>
      </x:c>
      <x:c r="S10" s="14" t="str">
        <x:v>E11 Início da descarga</x:v>
      </x:c>
      <x:c r="T10" s="14" t="str">
        <x:v>E12 Fim da descarga</x:v>
      </x:c>
      <x:c r="U10" s="14" t="str">
        <x:v>Estoque em E0 (m³)</x:v>
      </x:c>
      <x:c r="V10" s="14" t="str">
        <x:v>Estoque em E6 (m³)</x:v>
      </x:c>
      <x:c r="W10" s="14" t="str">
        <x:v>Volume retirado (m³)</x:v>
      </x:c>
      <x:c r="X10" s="14" t="str">
        <x:v>Massa retirada (kg)</x:v>
      </x:c>
      <x:c r="Y10" s="14" t="str">
        <x:v>Estoque remanescente (m³)</x:v>
      </x:c>
      <x:c r="Z10" s="14" t="str">
        <x:v>Pedidos à frente</x:v>
      </x:c>
      <x:c r="AA10" s="14" t="str">
        <x:v>Estado do caminhão em E1</x:v>
      </x:c>
      <x:c r="AB10" s="14" t="str">
        <x:v>Local do caminhão em E1</x:v>
      </x:c>
      <x:c r="AC10" s="14" t="str">
        <x:v>Regra/motivo de prioridade</x:v>
      </x:c>
      <x:c r="AD10" s="14" t="str">
        <x:v>Exceção</x:v>
      </x:c>
      <x:c r="AE10" s="14" t="str">
        <x:v>Evidência/observação</x:v>
      </x:c>
      <x:c r="AF10" s="14" t="str">
        <x:v>E1−E0 (min)</x:v>
      </x:c>
      <x:c r="AG10" s="14" t="str">
        <x:v>E5−E1 pedido→partida (min)</x:v>
      </x:c>
      <x:c r="AH10" s="14" t="str">
        <x:v>E6−E5 (min)</x:v>
      </x:c>
      <x:c r="AI10" s="14" t="str">
        <x:v>E6−E0 LT_gatilho (min)</x:v>
      </x:c>
      <x:c r="AJ10" s="14" t="str">
        <x:v>E6−E1 LT_pedido (min)</x:v>
      </x:c>
      <x:c r="AK10" s="14" t="str">
        <x:v>E7−E6 (min)</x:v>
      </x:c>
      <x:c r="AL10" s="14" t="str">
        <x:v>E8−E7 carregamento (min)</x:v>
      </x:c>
      <x:c r="AM10" s="14" t="str">
        <x:v>E10−E9 retorno (min)</x:v>
      </x:c>
      <x:c r="AN10" s="14" t="str">
        <x:v>E12−E11 descarga (min)</x:v>
      </x:c>
      <x:c r="AO10" s="14" t="str">
        <x:v>Crescimento do estoque (m³)</x:v>
      </x:c>
      <x:c r="AP10" s="14" t="str">
        <x:v>Qualidade/validade LT_gatilho</x:v>
      </x:c>
      <x:c r="AQ10" s="14" t="str">
        <x:v>Sequência E0–E12</x:v>
      </x:c>
      <x:c r="AR10" s="14" t="str">
        <x:v>Resíduo do balanço (m³)</x:v>
      </x:c>
      <x:c r="AS10" s="14" t="str">
        <x:v>Cobertura operacional</x:v>
      </x:c>
      <x:c r="AT10" s="14" t="str">
        <x:v>Alerta de integridade</x:v>
      </x:c>
    </x:row>
    <x:row r="11">
      <x:c r="A11" s="43"/>
      <x:c r="B11" s="43"/>
      <x:c r="C11" s="43"/>
      <x:c r="D11" s="43"/>
      <x:c r="E11" s="43"/>
      <x:c r="F11" s="43"/>
      <x:c r="G11" s="43"/>
      <x:c r="H11" s="120"/>
      <x:c r="I11" s="120"/>
      <x:c r="J11" s="120"/>
      <x:c r="K11" s="120"/>
      <x:c r="L11" s="120"/>
      <x:c r="M11" s="120"/>
      <x:c r="N11" s="120"/>
      <x:c r="O11" s="120"/>
      <x:c r="P11" s="120"/>
      <x:c r="Q11" s="120"/>
      <x:c r="R11" s="120"/>
      <x:c r="S11" s="120"/>
      <x:c r="T11" s="120"/>
      <x:c r="U11" s="48"/>
      <x:c r="V11" s="48"/>
      <x:c r="W11" s="48"/>
      <x:c r="X11" s="48"/>
      <x:c r="Y11" s="48"/>
      <x:c r="Z11" s="49"/>
      <x:c r="AA11" s="43"/>
      <x:c r="AB11" s="43"/>
      <x:c r="AC11" s="43"/>
      <x:c r="AD11" s="43"/>
      <x:c r="AE11" s="43"/>
      <x:c r="AF11" s="87" t="str">
        <x:f>IF(OR(H11="",I11="",I11&lt;H11),"",(I11-H11)*1440)</x:f>
      </x:c>
      <x:c r="AG11" s="87" t="str">
        <x:f>IF(OR(I11="",M11="",M11&lt;I11),"",(M11-I11)*1440)</x:f>
      </x:c>
      <x:c r="AH11" s="87" t="str">
        <x:f>IF(OR(M11="",N11="",N11&lt;M11),"",(N11-M11)*1440)</x:f>
      </x:c>
      <x:c r="AI11" s="87" t="str">
        <x:f>IF(OR(H11="",N11="",N11&lt;H11),"",(N11-H11)*1440)</x:f>
      </x:c>
      <x:c r="AJ11" s="87" t="str">
        <x:f>IF(OR(I11="",N11="",N11&lt;I11),"",(N11-I11)*1440)</x:f>
      </x:c>
      <x:c r="AK11" s="87" t="str">
        <x:f>IF(OR(N11="",O11="",O11&lt;N11),"",(O11-N11)*1440)</x:f>
      </x:c>
      <x:c r="AL11" s="87" t="str">
        <x:f>IF(OR(O11="",P11="",P11&lt;O11),"",(P11-O11)*1440)</x:f>
      </x:c>
      <x:c r="AM11" s="87" t="str">
        <x:f>IF(OR(Q11="",R11="",R11&lt;Q11),"",(R11-Q11)*1440)</x:f>
      </x:c>
      <x:c r="AN11" s="87" t="str">
        <x:f>IF(OR(S11="",T11="",T11&lt;S11),"",(T11-S11)*1440)</x:f>
      </x:c>
      <x:c r="AO11" s="87" t="str">
        <x:f>IF(OR(U11="",V11=""),"",V11-U11)</x:f>
      </x:c>
      <x:c r="AP11" s="63" t="str">
        <x:f>IF(A11="","",IF(OR(B11="",H11="",N11=""),"Incompleto",IF(N11&lt;H11,"Revisar",IF(OR(G11="",G11="Não observado"),"Qualidade E0 ausente",IF(OR(G11="Sensor",G11="Marcação física"),"Válido — E0 observado",IF(G11="Cálculo","Válido — E0 calculado","Válido — E0 estimado"))))))</x:f>
      </x:c>
      <x:c r="AQ11" s="63" t="str">
        <x:f>IF(A11="","",IF(COUNTA(H11:T11)&lt;13,"Incompleta",IF(OR(I11&lt;H11,J11&lt;I11,K11&lt;J11,L11&lt;K11,M11&lt;L11,N11&lt;M11,O11&lt;N11,P11&lt;O11,Q11&lt;P11,R11&lt;Q11,S11&lt;R11,T11&lt;S11),"Revisar","Completa")))</x:f>
      </x:c>
      <x:c r="AR11" s="87" t="str">
        <x:f>IF(OR(V11="",W11="",Y11=""),"",Y11-(V11-W11))</x:f>
      </x:c>
      <x:c r="AS11" s="63" t="str">
        <x:f>IF(A11="","",IF(AND(E11&lt;&gt;"",F11&lt;&gt;"",G11&lt;&gt;"",Z11&lt;&gt;"",AA11&lt;&gt;"",AB11&lt;&gt;"",AC11&lt;&gt;""),"Completa","Incompleta"))</x:f>
      </x:c>
      <x:c r="AT11" s="63" t="str">
        <x:f>IF(A11="","",IF(COUNTIF($A$11:$A$410,A11)&gt;1,"ID duplicado",IF(AND(AR11&lt;&gt;"",ABS(AR11)&gt;0.01),"Revisar balanço",IF(AND(W11&lt;&gt;"",V11&lt;&gt;"",W11&gt;V11),"Retirada &gt; estoque",IF(AND(U11&lt;&gt;"",U11&lt;'Cenário Base'!$D$8*'Cenário Base'!$D$74),"E0 abaixo do gatilho",IF(AND(V11&lt;&gt;"",V11&gt;XLOOKUP(B11,$A$414:$A$418,$B$414:$B$418)),"Excedeu capacidade","Sem alerta"))))))</x:f>
      </x:c>
    </x:row>
    <x:row r="12">
      <x:c r="A12" s="43"/>
      <x:c r="B12" s="43"/>
      <x:c r="C12" s="43"/>
      <x:c r="D12" s="43"/>
      <x:c r="E12" s="43"/>
      <x:c r="F12" s="43"/>
      <x:c r="G12" s="43"/>
      <x:c r="H12" s="120"/>
      <x:c r="I12" s="120"/>
      <x:c r="J12" s="120"/>
      <x:c r="K12" s="120"/>
      <x:c r="L12" s="120"/>
      <x:c r="M12" s="120"/>
      <x:c r="N12" s="120"/>
      <x:c r="O12" s="120"/>
      <x:c r="P12" s="120"/>
      <x:c r="Q12" s="120"/>
      <x:c r="R12" s="120"/>
      <x:c r="S12" s="120"/>
      <x:c r="T12" s="120"/>
      <x:c r="U12" s="48"/>
      <x:c r="V12" s="48"/>
      <x:c r="W12" s="48"/>
      <x:c r="X12" s="48"/>
      <x:c r="Y12" s="48"/>
      <x:c r="Z12" s="49"/>
      <x:c r="AA12" s="43"/>
      <x:c r="AB12" s="43"/>
      <x:c r="AC12" s="43"/>
      <x:c r="AD12" s="43"/>
      <x:c r="AE12" s="43"/>
      <x:c r="AF12" s="87" t="str">
        <x:f>IF(OR(H12="",I12="",I12&lt;H12),"",(I12-H12)*1440)</x:f>
      </x:c>
      <x:c r="AG12" s="87" t="str">
        <x:f>IF(OR(I12="",M12="",M12&lt;I12),"",(M12-I12)*1440)</x:f>
      </x:c>
      <x:c r="AH12" s="87" t="str">
        <x:f>IF(OR(M12="",N12="",N12&lt;M12),"",(N12-M12)*1440)</x:f>
      </x:c>
      <x:c r="AI12" s="87" t="str">
        <x:f>IF(OR(H12="",N12="",N12&lt;H12),"",(N12-H12)*1440)</x:f>
      </x:c>
      <x:c r="AJ12" s="87" t="str">
        <x:f>IF(OR(I12="",N12="",N12&lt;I12),"",(N12-I12)*1440)</x:f>
      </x:c>
      <x:c r="AK12" s="87" t="str">
        <x:f>IF(OR(N12="",O12="",O12&lt;N12),"",(O12-N12)*1440)</x:f>
      </x:c>
      <x:c r="AL12" s="87" t="str">
        <x:f>IF(OR(O12="",P12="",P12&lt;O12),"",(P12-O12)*1440)</x:f>
      </x:c>
      <x:c r="AM12" s="87" t="str">
        <x:f>IF(OR(Q12="",R12="",R12&lt;Q12),"",(R12-Q12)*1440)</x:f>
      </x:c>
      <x:c r="AN12" s="87" t="str">
        <x:f>IF(OR(S12="",T12="",T12&lt;S12),"",(T12-S12)*1440)</x:f>
      </x:c>
      <x:c r="AO12" s="87" t="str">
        <x:f>IF(OR(U12="",V12=""),"",V12-U12)</x:f>
      </x:c>
      <x:c r="AP12" s="63" t="str">
        <x:f>IF(A12="","",IF(OR(B12="",H12="",N12=""),"Incompleto",IF(N12&lt;H12,"Revisar",IF(OR(G12="",G12="Não observado"),"Qualidade E0 ausente",IF(OR(G12="Sensor",G12="Marcação física"),"Válido — E0 observado",IF(G12="Cálculo","Válido — E0 calculado","Válido — E0 estimado"))))))</x:f>
      </x:c>
      <x:c r="AQ12" s="63" t="str">
        <x:f>IF(A12="","",IF(COUNTA(H12:T12)&lt;13,"Incompleta",IF(OR(I12&lt;H12,J12&lt;I12,K12&lt;J12,L12&lt;K12,M12&lt;L12,N12&lt;M12,O12&lt;N12,P12&lt;O12,Q12&lt;P12,R12&lt;Q12,S12&lt;R12,T12&lt;S12),"Revisar","Completa")))</x:f>
      </x:c>
      <x:c r="AR12" s="87" t="str">
        <x:f>IF(OR(V12="",W12="",Y12=""),"",Y12-(V12-W12))</x:f>
      </x:c>
      <x:c r="AS12" s="63" t="str">
        <x:f>IF(A12="","",IF(AND(E12&lt;&gt;"",F12&lt;&gt;"",G12&lt;&gt;"",Z12&lt;&gt;"",AA12&lt;&gt;"",AB12&lt;&gt;"",AC12&lt;&gt;""),"Completa","Incompleta"))</x:f>
      </x:c>
      <x:c r="AT12" s="63" t="str">
        <x:f>IF(A12="","",IF(COUNTIF($A$11:$A$410,A12)&gt;1,"ID duplicado",IF(AND(AR12&lt;&gt;"",ABS(AR12)&gt;0.01),"Revisar balanço",IF(AND(W12&lt;&gt;"",V12&lt;&gt;"",W12&gt;V12),"Retirada &gt; estoque",IF(AND(U12&lt;&gt;"",U12&lt;'Cenário Base'!$D$8*'Cenário Base'!$D$74),"E0 abaixo do gatilho",IF(AND(V12&lt;&gt;"",V12&gt;XLOOKUP(B12,$A$414:$A$418,$B$414:$B$418)),"Excedeu capacidade","Sem alerta"))))))</x:f>
      </x:c>
    </x:row>
    <x:row r="13">
      <x:c r="A13" s="43"/>
      <x:c r="B13" s="43"/>
      <x:c r="C13" s="43"/>
      <x:c r="D13" s="43"/>
      <x:c r="E13" s="43"/>
      <x:c r="F13" s="43"/>
      <x:c r="G13" s="43"/>
      <x:c r="H13" s="120"/>
      <x:c r="I13" s="120"/>
      <x:c r="J13" s="120"/>
      <x:c r="K13" s="120"/>
      <x:c r="L13" s="120"/>
      <x:c r="M13" s="120"/>
      <x:c r="N13" s="120"/>
      <x:c r="O13" s="120"/>
      <x:c r="P13" s="120"/>
      <x:c r="Q13" s="120"/>
      <x:c r="R13" s="120"/>
      <x:c r="S13" s="120"/>
      <x:c r="T13" s="120"/>
      <x:c r="U13" s="48"/>
      <x:c r="V13" s="48"/>
      <x:c r="W13" s="48"/>
      <x:c r="X13" s="48"/>
      <x:c r="Y13" s="48"/>
      <x:c r="Z13" s="49"/>
      <x:c r="AA13" s="43"/>
      <x:c r="AB13" s="43"/>
      <x:c r="AC13" s="43"/>
      <x:c r="AD13" s="43"/>
      <x:c r="AE13" s="43"/>
      <x:c r="AF13" s="87" t="str">
        <x:f>IF(OR(H13="",I13="",I13&lt;H13),"",(I13-H13)*1440)</x:f>
      </x:c>
      <x:c r="AG13" s="87" t="str">
        <x:f>IF(OR(I13="",M13="",M13&lt;I13),"",(M13-I13)*1440)</x:f>
      </x:c>
      <x:c r="AH13" s="87" t="str">
        <x:f>IF(OR(M13="",N13="",N13&lt;M13),"",(N13-M13)*1440)</x:f>
      </x:c>
      <x:c r="AI13" s="87" t="str">
        <x:f>IF(OR(H13="",N13="",N13&lt;H13),"",(N13-H13)*1440)</x:f>
      </x:c>
      <x:c r="AJ13" s="87" t="str">
        <x:f>IF(OR(I13="",N13="",N13&lt;I13),"",(N13-I13)*1440)</x:f>
      </x:c>
      <x:c r="AK13" s="87" t="str">
        <x:f>IF(OR(N13="",O13="",O13&lt;N13),"",(O13-N13)*1440)</x:f>
      </x:c>
      <x:c r="AL13" s="87" t="str">
        <x:f>IF(OR(O13="",P13="",P13&lt;O13),"",(P13-O13)*1440)</x:f>
      </x:c>
      <x:c r="AM13" s="87" t="str">
        <x:f>IF(OR(Q13="",R13="",R13&lt;Q13),"",(R13-Q13)*1440)</x:f>
      </x:c>
      <x:c r="AN13" s="87" t="str">
        <x:f>IF(OR(S13="",T13="",T13&lt;S13),"",(T13-S13)*1440)</x:f>
      </x:c>
      <x:c r="AO13" s="87" t="str">
        <x:f>IF(OR(U13="",V13=""),"",V13-U13)</x:f>
      </x:c>
      <x:c r="AP13" s="63" t="str">
        <x:f>IF(A13="","",IF(OR(B13="",H13="",N13=""),"Incompleto",IF(N13&lt;H13,"Revisar",IF(OR(G13="",G13="Não observado"),"Qualidade E0 ausente",IF(OR(G13="Sensor",G13="Marcação física"),"Válido — E0 observado",IF(G13="Cálculo","Válido — E0 calculado","Válido — E0 estimado"))))))</x:f>
      </x:c>
      <x:c r="AQ13" s="63" t="str">
        <x:f>IF(A13="","",IF(COUNTA(H13:T13)&lt;13,"Incompleta",IF(OR(I13&lt;H13,J13&lt;I13,K13&lt;J13,L13&lt;K13,M13&lt;L13,N13&lt;M13,O13&lt;N13,P13&lt;O13,Q13&lt;P13,R13&lt;Q13,S13&lt;R13,T13&lt;S13),"Revisar","Completa")))</x:f>
      </x:c>
      <x:c r="AR13" s="87" t="str">
        <x:f>IF(OR(V13="",W13="",Y13=""),"",Y13-(V13-W13))</x:f>
      </x:c>
      <x:c r="AS13" s="63" t="str">
        <x:f>IF(A13="","",IF(AND(E13&lt;&gt;"",F13&lt;&gt;"",G13&lt;&gt;"",Z13&lt;&gt;"",AA13&lt;&gt;"",AB13&lt;&gt;"",AC13&lt;&gt;""),"Completa","Incompleta"))</x:f>
      </x:c>
      <x:c r="AT13" s="63" t="str">
        <x:f>IF(A13="","",IF(COUNTIF($A$11:$A$410,A13)&gt;1,"ID duplicado",IF(AND(AR13&lt;&gt;"",ABS(AR13)&gt;0.01),"Revisar balanço",IF(AND(W13&lt;&gt;"",V13&lt;&gt;"",W13&gt;V13),"Retirada &gt; estoque",IF(AND(U13&lt;&gt;"",U13&lt;'Cenário Base'!$D$8*'Cenário Base'!$D$74),"E0 abaixo do gatilho",IF(AND(V13&lt;&gt;"",V13&gt;XLOOKUP(B13,$A$414:$A$418,$B$414:$B$418)),"Excedeu capacidade","Sem alerta"))))))</x:f>
      </x:c>
    </x:row>
    <x:row r="14">
      <x:c r="A14" s="43"/>
      <x:c r="B14" s="43"/>
      <x:c r="C14" s="43"/>
      <x:c r="D14" s="43"/>
      <x:c r="E14" s="43"/>
      <x:c r="F14" s="43"/>
      <x:c r="G14" s="43"/>
      <x:c r="H14" s="120"/>
      <x:c r="I14" s="120"/>
      <x:c r="J14" s="120"/>
      <x:c r="K14" s="120"/>
      <x:c r="L14" s="120"/>
      <x:c r="M14" s="120"/>
      <x:c r="N14" s="120"/>
      <x:c r="O14" s="120"/>
      <x:c r="P14" s="120"/>
      <x:c r="Q14" s="120"/>
      <x:c r="R14" s="120"/>
      <x:c r="S14" s="120"/>
      <x:c r="T14" s="120"/>
      <x:c r="U14" s="48"/>
      <x:c r="V14" s="48"/>
      <x:c r="W14" s="48"/>
      <x:c r="X14" s="48"/>
      <x:c r="Y14" s="48"/>
      <x:c r="Z14" s="49"/>
      <x:c r="AA14" s="43"/>
      <x:c r="AB14" s="43"/>
      <x:c r="AC14" s="43"/>
      <x:c r="AD14" s="43"/>
      <x:c r="AE14" s="43"/>
      <x:c r="AF14" s="87" t="str">
        <x:f>IF(OR(H14="",I14="",I14&lt;H14),"",(I14-H14)*1440)</x:f>
      </x:c>
      <x:c r="AG14" s="87" t="str">
        <x:f>IF(OR(I14="",M14="",M14&lt;I14),"",(M14-I14)*1440)</x:f>
      </x:c>
      <x:c r="AH14" s="87" t="str">
        <x:f>IF(OR(M14="",N14="",N14&lt;M14),"",(N14-M14)*1440)</x:f>
      </x:c>
      <x:c r="AI14" s="87" t="str">
        <x:f>IF(OR(H14="",N14="",N14&lt;H14),"",(N14-H14)*1440)</x:f>
      </x:c>
      <x:c r="AJ14" s="87" t="str">
        <x:f>IF(OR(I14="",N14="",N14&lt;I14),"",(N14-I14)*1440)</x:f>
      </x:c>
      <x:c r="AK14" s="87" t="str">
        <x:f>IF(OR(N14="",O14="",O14&lt;N14),"",(O14-N14)*1440)</x:f>
      </x:c>
      <x:c r="AL14" s="87" t="str">
        <x:f>IF(OR(O14="",P14="",P14&lt;O14),"",(P14-O14)*1440)</x:f>
      </x:c>
      <x:c r="AM14" s="87" t="str">
        <x:f>IF(OR(Q14="",R14="",R14&lt;Q14),"",(R14-Q14)*1440)</x:f>
      </x:c>
      <x:c r="AN14" s="87" t="str">
        <x:f>IF(OR(S14="",T14="",T14&lt;S14),"",(T14-S14)*1440)</x:f>
      </x:c>
      <x:c r="AO14" s="87" t="str">
        <x:f>IF(OR(U14="",V14=""),"",V14-U14)</x:f>
      </x:c>
      <x:c r="AP14" s="63" t="str">
        <x:f>IF(A14="","",IF(OR(B14="",H14="",N14=""),"Incompleto",IF(N14&lt;H14,"Revisar",IF(OR(G14="",G14="Não observado"),"Qualidade E0 ausente",IF(OR(G14="Sensor",G14="Marcação física"),"Válido — E0 observado",IF(G14="Cálculo","Válido — E0 calculado","Válido — E0 estimado"))))))</x:f>
      </x:c>
      <x:c r="AQ14" s="63" t="str">
        <x:f>IF(A14="","",IF(COUNTA(H14:T14)&lt;13,"Incompleta",IF(OR(I14&lt;H14,J14&lt;I14,K14&lt;J14,L14&lt;K14,M14&lt;L14,N14&lt;M14,O14&lt;N14,P14&lt;O14,Q14&lt;P14,R14&lt;Q14,S14&lt;R14,T14&lt;S14),"Revisar","Completa")))</x:f>
      </x:c>
      <x:c r="AR14" s="87" t="str">
        <x:f>IF(OR(V14="",W14="",Y14=""),"",Y14-(V14-W14))</x:f>
      </x:c>
      <x:c r="AS14" s="63" t="str">
        <x:f>IF(A14="","",IF(AND(E14&lt;&gt;"",F14&lt;&gt;"",G14&lt;&gt;"",Z14&lt;&gt;"",AA14&lt;&gt;"",AB14&lt;&gt;"",AC14&lt;&gt;""),"Completa","Incompleta"))</x:f>
      </x:c>
      <x:c r="AT14" s="63" t="str">
        <x:f>IF(A14="","",IF(COUNTIF($A$11:$A$410,A14)&gt;1,"ID duplicado",IF(AND(AR14&lt;&gt;"",ABS(AR14)&gt;0.01),"Revisar balanço",IF(AND(W14&lt;&gt;"",V14&lt;&gt;"",W14&gt;V14),"Retirada &gt; estoque",IF(AND(U14&lt;&gt;"",U14&lt;'Cenário Base'!$D$8*'Cenário Base'!$D$74),"E0 abaixo do gatilho",IF(AND(V14&lt;&gt;"",V14&gt;XLOOKUP(B14,$A$414:$A$418,$B$414:$B$418)),"Excedeu capacidade","Sem alerta"))))))</x:f>
      </x:c>
    </x:row>
    <x:row r="15">
      <x:c r="A15" s="43"/>
      <x:c r="B15" s="43"/>
      <x:c r="C15" s="43"/>
      <x:c r="D15" s="43"/>
      <x:c r="E15" s="43"/>
      <x:c r="F15" s="43"/>
      <x:c r="G15" s="43"/>
      <x:c r="H15" s="120"/>
      <x:c r="I15" s="120"/>
      <x:c r="J15" s="120"/>
      <x:c r="K15" s="120"/>
      <x:c r="L15" s="120"/>
      <x:c r="M15" s="120"/>
      <x:c r="N15" s="120"/>
      <x:c r="O15" s="120"/>
      <x:c r="P15" s="120"/>
      <x:c r="Q15" s="120"/>
      <x:c r="R15" s="120"/>
      <x:c r="S15" s="120"/>
      <x:c r="T15" s="120"/>
      <x:c r="U15" s="48"/>
      <x:c r="V15" s="48"/>
      <x:c r="W15" s="48"/>
      <x:c r="X15" s="48"/>
      <x:c r="Y15" s="48"/>
      <x:c r="Z15" s="49"/>
      <x:c r="AA15" s="43"/>
      <x:c r="AB15" s="43"/>
      <x:c r="AC15" s="43"/>
      <x:c r="AD15" s="43"/>
      <x:c r="AE15" s="43"/>
      <x:c r="AF15" s="87" t="str">
        <x:f>IF(OR(H15="",I15="",I15&lt;H15),"",(I15-H15)*1440)</x:f>
      </x:c>
      <x:c r="AG15" s="87" t="str">
        <x:f>IF(OR(I15="",M15="",M15&lt;I15),"",(M15-I15)*1440)</x:f>
      </x:c>
      <x:c r="AH15" s="87" t="str">
        <x:f>IF(OR(M15="",N15="",N15&lt;M15),"",(N15-M15)*1440)</x:f>
      </x:c>
      <x:c r="AI15" s="87" t="str">
        <x:f>IF(OR(H15="",N15="",N15&lt;H15),"",(N15-H15)*1440)</x:f>
      </x:c>
      <x:c r="AJ15" s="87" t="str">
        <x:f>IF(OR(I15="",N15="",N15&lt;I15),"",(N15-I15)*1440)</x:f>
      </x:c>
      <x:c r="AK15" s="87" t="str">
        <x:f>IF(OR(N15="",O15="",O15&lt;N15),"",(O15-N15)*1440)</x:f>
      </x:c>
      <x:c r="AL15" s="87" t="str">
        <x:f>IF(OR(O15="",P15="",P15&lt;O15),"",(P15-O15)*1440)</x:f>
      </x:c>
      <x:c r="AM15" s="87" t="str">
        <x:f>IF(OR(Q15="",R15="",R15&lt;Q15),"",(R15-Q15)*1440)</x:f>
      </x:c>
      <x:c r="AN15" s="87" t="str">
        <x:f>IF(OR(S15="",T15="",T15&lt;S15),"",(T15-S15)*1440)</x:f>
      </x:c>
      <x:c r="AO15" s="87" t="str">
        <x:f>IF(OR(U15="",V15=""),"",V15-U15)</x:f>
      </x:c>
      <x:c r="AP15" s="63" t="str">
        <x:f>IF(A15="","",IF(OR(B15="",H15="",N15=""),"Incompleto",IF(N15&lt;H15,"Revisar",IF(OR(G15="",G15="Não observado"),"Qualidade E0 ausente",IF(OR(G15="Sensor",G15="Marcação física"),"Válido — E0 observado",IF(G15="Cálculo","Válido — E0 calculado","Válido — E0 estimado"))))))</x:f>
      </x:c>
      <x:c r="AQ15" s="63" t="str">
        <x:f>IF(A15="","",IF(COUNTA(H15:T15)&lt;13,"Incompleta",IF(OR(I15&lt;H15,J15&lt;I15,K15&lt;J15,L15&lt;K15,M15&lt;L15,N15&lt;M15,O15&lt;N15,P15&lt;O15,Q15&lt;P15,R15&lt;Q15,S15&lt;R15,T15&lt;S15),"Revisar","Completa")))</x:f>
      </x:c>
      <x:c r="AR15" s="87" t="str">
        <x:f>IF(OR(V15="",W15="",Y15=""),"",Y15-(V15-W15))</x:f>
      </x:c>
      <x:c r="AS15" s="63" t="str">
        <x:f>IF(A15="","",IF(AND(E15&lt;&gt;"",F15&lt;&gt;"",G15&lt;&gt;"",Z15&lt;&gt;"",AA15&lt;&gt;"",AB15&lt;&gt;"",AC15&lt;&gt;""),"Completa","Incompleta"))</x:f>
      </x:c>
      <x:c r="AT15" s="63" t="str">
        <x:f>IF(A15="","",IF(COUNTIF($A$11:$A$410,A15)&gt;1,"ID duplicado",IF(AND(AR15&lt;&gt;"",ABS(AR15)&gt;0.01),"Revisar balanço",IF(AND(W15&lt;&gt;"",V15&lt;&gt;"",W15&gt;V15),"Retirada &gt; estoque",IF(AND(U15&lt;&gt;"",U15&lt;'Cenário Base'!$D$8*'Cenário Base'!$D$74),"E0 abaixo do gatilho",IF(AND(V15&lt;&gt;"",V15&gt;XLOOKUP(B15,$A$414:$A$418,$B$414:$B$418)),"Excedeu capacidade","Sem alerta"))))))</x:f>
      </x:c>
    </x:row>
    <x:row r="16">
      <x:c r="A16" s="43"/>
      <x:c r="B16" s="43"/>
      <x:c r="C16" s="43"/>
      <x:c r="D16" s="43"/>
      <x:c r="E16" s="43"/>
      <x:c r="F16" s="43"/>
      <x:c r="G16" s="43"/>
      <x:c r="H16" s="120"/>
      <x:c r="I16" s="120"/>
      <x:c r="J16" s="120"/>
      <x:c r="K16" s="120"/>
      <x:c r="L16" s="120"/>
      <x:c r="M16" s="120"/>
      <x:c r="N16" s="120"/>
      <x:c r="O16" s="120"/>
      <x:c r="P16" s="120"/>
      <x:c r="Q16" s="120"/>
      <x:c r="R16" s="120"/>
      <x:c r="S16" s="120"/>
      <x:c r="T16" s="120"/>
      <x:c r="U16" s="48"/>
      <x:c r="V16" s="48"/>
      <x:c r="W16" s="48"/>
      <x:c r="X16" s="48"/>
      <x:c r="Y16" s="48"/>
      <x:c r="Z16" s="49"/>
      <x:c r="AA16" s="43"/>
      <x:c r="AB16" s="43"/>
      <x:c r="AC16" s="43"/>
      <x:c r="AD16" s="43"/>
      <x:c r="AE16" s="43"/>
      <x:c r="AF16" s="87" t="str">
        <x:f>IF(OR(H16="",I16="",I16&lt;H16),"",(I16-H16)*1440)</x:f>
      </x:c>
      <x:c r="AG16" s="87" t="str">
        <x:f>IF(OR(I16="",M16="",M16&lt;I16),"",(M16-I16)*1440)</x:f>
      </x:c>
      <x:c r="AH16" s="87" t="str">
        <x:f>IF(OR(M16="",N16="",N16&lt;M16),"",(N16-M16)*1440)</x:f>
      </x:c>
      <x:c r="AI16" s="87" t="str">
        <x:f>IF(OR(H16="",N16="",N16&lt;H16),"",(N16-H16)*1440)</x:f>
      </x:c>
      <x:c r="AJ16" s="87" t="str">
        <x:f>IF(OR(I16="",N16="",N16&lt;I16),"",(N16-I16)*1440)</x:f>
      </x:c>
      <x:c r="AK16" s="87" t="str">
        <x:f>IF(OR(N16="",O16="",O16&lt;N16),"",(O16-N16)*1440)</x:f>
      </x:c>
      <x:c r="AL16" s="87" t="str">
        <x:f>IF(OR(O16="",P16="",P16&lt;O16),"",(P16-O16)*1440)</x:f>
      </x:c>
      <x:c r="AM16" s="87" t="str">
        <x:f>IF(OR(Q16="",R16="",R16&lt;Q16),"",(R16-Q16)*1440)</x:f>
      </x:c>
      <x:c r="AN16" s="87" t="str">
        <x:f>IF(OR(S16="",T16="",T16&lt;S16),"",(T16-S16)*1440)</x:f>
      </x:c>
      <x:c r="AO16" s="87" t="str">
        <x:f>IF(OR(U16="",V16=""),"",V16-U16)</x:f>
      </x:c>
      <x:c r="AP16" s="63" t="str">
        <x:f>IF(A16="","",IF(OR(B16="",H16="",N16=""),"Incompleto",IF(N16&lt;H16,"Revisar",IF(OR(G16="",G16="Não observado"),"Qualidade E0 ausente",IF(OR(G16="Sensor",G16="Marcação física"),"Válido — E0 observado",IF(G16="Cálculo","Válido — E0 calculado","Válido — E0 estimado"))))))</x:f>
      </x:c>
      <x:c r="AQ16" s="63" t="str">
        <x:f>IF(A16="","",IF(COUNTA(H16:T16)&lt;13,"Incompleta",IF(OR(I16&lt;H16,J16&lt;I16,K16&lt;J16,L16&lt;K16,M16&lt;L16,N16&lt;M16,O16&lt;N16,P16&lt;O16,Q16&lt;P16,R16&lt;Q16,S16&lt;R16,T16&lt;S16),"Revisar","Completa")))</x:f>
      </x:c>
      <x:c r="AR16" s="87" t="str">
        <x:f>IF(OR(V16="",W16="",Y16=""),"",Y16-(V16-W16))</x:f>
      </x:c>
      <x:c r="AS16" s="63" t="str">
        <x:f>IF(A16="","",IF(AND(E16&lt;&gt;"",F16&lt;&gt;"",G16&lt;&gt;"",Z16&lt;&gt;"",AA16&lt;&gt;"",AB16&lt;&gt;"",AC16&lt;&gt;""),"Completa","Incompleta"))</x:f>
      </x:c>
      <x:c r="AT16" s="63" t="str">
        <x:f>IF(A16="","",IF(COUNTIF($A$11:$A$410,A16)&gt;1,"ID duplicado",IF(AND(AR16&lt;&gt;"",ABS(AR16)&gt;0.01),"Revisar balanço",IF(AND(W16&lt;&gt;"",V16&lt;&gt;"",W16&gt;V16),"Retirada &gt; estoque",IF(AND(U16&lt;&gt;"",U16&lt;'Cenário Base'!$D$8*'Cenário Base'!$D$74),"E0 abaixo do gatilho",IF(AND(V16&lt;&gt;"",V16&gt;XLOOKUP(B16,$A$414:$A$418,$B$414:$B$418)),"Excedeu capacidade","Sem alerta"))))))</x:f>
      </x:c>
    </x:row>
    <x:row r="17">
      <x:c r="A17" s="43"/>
      <x:c r="B17" s="43"/>
      <x:c r="C17" s="43"/>
      <x:c r="D17" s="43"/>
      <x:c r="E17" s="43"/>
      <x:c r="F17" s="43"/>
      <x:c r="G17" s="43"/>
      <x:c r="H17" s="120"/>
      <x:c r="I17" s="120"/>
      <x:c r="J17" s="120"/>
      <x:c r="K17" s="120"/>
      <x:c r="L17" s="120"/>
      <x:c r="M17" s="120"/>
      <x:c r="N17" s="120"/>
      <x:c r="O17" s="120"/>
      <x:c r="P17" s="120"/>
      <x:c r="Q17" s="120"/>
      <x:c r="R17" s="120"/>
      <x:c r="S17" s="120"/>
      <x:c r="T17" s="120"/>
      <x:c r="U17" s="48"/>
      <x:c r="V17" s="48"/>
      <x:c r="W17" s="48"/>
      <x:c r="X17" s="48"/>
      <x:c r="Y17" s="48"/>
      <x:c r="Z17" s="49"/>
      <x:c r="AA17" s="43"/>
      <x:c r="AB17" s="43"/>
      <x:c r="AC17" s="43"/>
      <x:c r="AD17" s="43"/>
      <x:c r="AE17" s="43"/>
      <x:c r="AF17" s="87" t="str">
        <x:f>IF(OR(H17="",I17="",I17&lt;H17),"",(I17-H17)*1440)</x:f>
      </x:c>
      <x:c r="AG17" s="87" t="str">
        <x:f>IF(OR(I17="",M17="",M17&lt;I17),"",(M17-I17)*1440)</x:f>
      </x:c>
      <x:c r="AH17" s="87" t="str">
        <x:f>IF(OR(M17="",N17="",N17&lt;M17),"",(N17-M17)*1440)</x:f>
      </x:c>
      <x:c r="AI17" s="87" t="str">
        <x:f>IF(OR(H17="",N17="",N17&lt;H17),"",(N17-H17)*1440)</x:f>
      </x:c>
      <x:c r="AJ17" s="87" t="str">
        <x:f>IF(OR(I17="",N17="",N17&lt;I17),"",(N17-I17)*1440)</x:f>
      </x:c>
      <x:c r="AK17" s="87" t="str">
        <x:f>IF(OR(N17="",O17="",O17&lt;N17),"",(O17-N17)*1440)</x:f>
      </x:c>
      <x:c r="AL17" s="87" t="str">
        <x:f>IF(OR(O17="",P17="",P17&lt;O17),"",(P17-O17)*1440)</x:f>
      </x:c>
      <x:c r="AM17" s="87" t="str">
        <x:f>IF(OR(Q17="",R17="",R17&lt;Q17),"",(R17-Q17)*1440)</x:f>
      </x:c>
      <x:c r="AN17" s="87" t="str">
        <x:f>IF(OR(S17="",T17="",T17&lt;S17),"",(T17-S17)*1440)</x:f>
      </x:c>
      <x:c r="AO17" s="87" t="str">
        <x:f>IF(OR(U17="",V17=""),"",V17-U17)</x:f>
      </x:c>
      <x:c r="AP17" s="63" t="str">
        <x:f>IF(A17="","",IF(OR(B17="",H17="",N17=""),"Incompleto",IF(N17&lt;H17,"Revisar",IF(OR(G17="",G17="Não observado"),"Qualidade E0 ausente",IF(OR(G17="Sensor",G17="Marcação física"),"Válido — E0 observado",IF(G17="Cálculo","Válido — E0 calculado","Válido — E0 estimado"))))))</x:f>
      </x:c>
      <x:c r="AQ17" s="63" t="str">
        <x:f>IF(A17="","",IF(COUNTA(H17:T17)&lt;13,"Incompleta",IF(OR(I17&lt;H17,J17&lt;I17,K17&lt;J17,L17&lt;K17,M17&lt;L17,N17&lt;M17,O17&lt;N17,P17&lt;O17,Q17&lt;P17,R17&lt;Q17,S17&lt;R17,T17&lt;S17),"Revisar","Completa")))</x:f>
      </x:c>
      <x:c r="AR17" s="87" t="str">
        <x:f>IF(OR(V17="",W17="",Y17=""),"",Y17-(V17-W17))</x:f>
      </x:c>
      <x:c r="AS17" s="63" t="str">
        <x:f>IF(A17="","",IF(AND(E17&lt;&gt;"",F17&lt;&gt;"",G17&lt;&gt;"",Z17&lt;&gt;"",AA17&lt;&gt;"",AB17&lt;&gt;"",AC17&lt;&gt;""),"Completa","Incompleta"))</x:f>
      </x:c>
      <x:c r="AT17" s="63" t="str">
        <x:f>IF(A17="","",IF(COUNTIF($A$11:$A$410,A17)&gt;1,"ID duplicado",IF(AND(AR17&lt;&gt;"",ABS(AR17)&gt;0.01),"Revisar balanço",IF(AND(W17&lt;&gt;"",V17&lt;&gt;"",W17&gt;V17),"Retirada &gt; estoque",IF(AND(U17&lt;&gt;"",U17&lt;'Cenário Base'!$D$8*'Cenário Base'!$D$74),"E0 abaixo do gatilho",IF(AND(V17&lt;&gt;"",V17&gt;XLOOKUP(B17,$A$414:$A$418,$B$414:$B$418)),"Excedeu capacidade","Sem alerta"))))))</x:f>
      </x:c>
    </x:row>
    <x:row r="18">
      <x:c r="A18" s="43"/>
      <x:c r="B18" s="43"/>
      <x:c r="C18" s="43"/>
      <x:c r="D18" s="43"/>
      <x:c r="E18" s="43"/>
      <x:c r="F18" s="43"/>
      <x:c r="G18" s="43"/>
      <x:c r="H18" s="120"/>
      <x:c r="I18" s="120"/>
      <x:c r="J18" s="120"/>
      <x:c r="K18" s="120"/>
      <x:c r="L18" s="120"/>
      <x:c r="M18" s="120"/>
      <x:c r="N18" s="120"/>
      <x:c r="O18" s="120"/>
      <x:c r="P18" s="120"/>
      <x:c r="Q18" s="120"/>
      <x:c r="R18" s="120"/>
      <x:c r="S18" s="120"/>
      <x:c r="T18" s="120"/>
      <x:c r="U18" s="48"/>
      <x:c r="V18" s="48"/>
      <x:c r="W18" s="48"/>
      <x:c r="X18" s="48"/>
      <x:c r="Y18" s="48"/>
      <x:c r="Z18" s="49"/>
      <x:c r="AA18" s="43"/>
      <x:c r="AB18" s="43"/>
      <x:c r="AC18" s="43"/>
      <x:c r="AD18" s="43"/>
      <x:c r="AE18" s="43"/>
      <x:c r="AF18" s="87" t="str">
        <x:f>IF(OR(H18="",I18="",I18&lt;H18),"",(I18-H18)*1440)</x:f>
      </x:c>
      <x:c r="AG18" s="87" t="str">
        <x:f>IF(OR(I18="",M18="",M18&lt;I18),"",(M18-I18)*1440)</x:f>
      </x:c>
      <x:c r="AH18" s="87" t="str">
        <x:f>IF(OR(M18="",N18="",N18&lt;M18),"",(N18-M18)*1440)</x:f>
      </x:c>
      <x:c r="AI18" s="87" t="str">
        <x:f>IF(OR(H18="",N18="",N18&lt;H18),"",(N18-H18)*1440)</x:f>
      </x:c>
      <x:c r="AJ18" s="87" t="str">
        <x:f>IF(OR(I18="",N18="",N18&lt;I18),"",(N18-I18)*1440)</x:f>
      </x:c>
      <x:c r="AK18" s="87" t="str">
        <x:f>IF(OR(N18="",O18="",O18&lt;N18),"",(O18-N18)*1440)</x:f>
      </x:c>
      <x:c r="AL18" s="87" t="str">
        <x:f>IF(OR(O18="",P18="",P18&lt;O18),"",(P18-O18)*1440)</x:f>
      </x:c>
      <x:c r="AM18" s="87" t="str">
        <x:f>IF(OR(Q18="",R18="",R18&lt;Q18),"",(R18-Q18)*1440)</x:f>
      </x:c>
      <x:c r="AN18" s="87" t="str">
        <x:f>IF(OR(S18="",T18="",T18&lt;S18),"",(T18-S18)*1440)</x:f>
      </x:c>
      <x:c r="AO18" s="87" t="str">
        <x:f>IF(OR(U18="",V18=""),"",V18-U18)</x:f>
      </x:c>
      <x:c r="AP18" s="63" t="str">
        <x:f>IF(A18="","",IF(OR(B18="",H18="",N18=""),"Incompleto",IF(N18&lt;H18,"Revisar",IF(OR(G18="",G18="Não observado"),"Qualidade E0 ausente",IF(OR(G18="Sensor",G18="Marcação física"),"Válido — E0 observado",IF(G18="Cálculo","Válido — E0 calculado","Válido — E0 estimado"))))))</x:f>
      </x:c>
      <x:c r="AQ18" s="63" t="str">
        <x:f>IF(A18="","",IF(COUNTA(H18:T18)&lt;13,"Incompleta",IF(OR(I18&lt;H18,J18&lt;I18,K18&lt;J18,L18&lt;K18,M18&lt;L18,N18&lt;M18,O18&lt;N18,P18&lt;O18,Q18&lt;P18,R18&lt;Q18,S18&lt;R18,T18&lt;S18),"Revisar","Completa")))</x:f>
      </x:c>
      <x:c r="AR18" s="87" t="str">
        <x:f>IF(OR(V18="",W18="",Y18=""),"",Y18-(V18-W18))</x:f>
      </x:c>
      <x:c r="AS18" s="63" t="str">
        <x:f>IF(A18="","",IF(AND(E18&lt;&gt;"",F18&lt;&gt;"",G18&lt;&gt;"",Z18&lt;&gt;"",AA18&lt;&gt;"",AB18&lt;&gt;"",AC18&lt;&gt;""),"Completa","Incompleta"))</x:f>
      </x:c>
      <x:c r="AT18" s="63" t="str">
        <x:f>IF(A18="","",IF(COUNTIF($A$11:$A$410,A18)&gt;1,"ID duplicado",IF(AND(AR18&lt;&gt;"",ABS(AR18)&gt;0.01),"Revisar balanço",IF(AND(W18&lt;&gt;"",V18&lt;&gt;"",W18&gt;V18),"Retirada &gt; estoque",IF(AND(U18&lt;&gt;"",U18&lt;'Cenário Base'!$D$8*'Cenário Base'!$D$74),"E0 abaixo do gatilho",IF(AND(V18&lt;&gt;"",V18&gt;XLOOKUP(B18,$A$414:$A$418,$B$414:$B$418)),"Excedeu capacidade","Sem alerta"))))))</x:f>
      </x:c>
    </x:row>
    <x:row r="19">
      <x:c r="A19" s="43"/>
      <x:c r="B19" s="43"/>
      <x:c r="C19" s="43"/>
      <x:c r="D19" s="43"/>
      <x:c r="E19" s="43"/>
      <x:c r="F19" s="43"/>
      <x:c r="G19" s="43"/>
      <x:c r="H19" s="120"/>
      <x:c r="I19" s="120"/>
      <x:c r="J19" s="120"/>
      <x:c r="K19" s="120"/>
      <x:c r="L19" s="120"/>
      <x:c r="M19" s="120"/>
      <x:c r="N19" s="120"/>
      <x:c r="O19" s="120"/>
      <x:c r="P19" s="120"/>
      <x:c r="Q19" s="120"/>
      <x:c r="R19" s="120"/>
      <x:c r="S19" s="120"/>
      <x:c r="T19" s="120"/>
      <x:c r="U19" s="48"/>
      <x:c r="V19" s="48"/>
      <x:c r="W19" s="48"/>
      <x:c r="X19" s="48"/>
      <x:c r="Y19" s="48"/>
      <x:c r="Z19" s="49"/>
      <x:c r="AA19" s="43"/>
      <x:c r="AB19" s="43"/>
      <x:c r="AC19" s="43"/>
      <x:c r="AD19" s="43"/>
      <x:c r="AE19" s="43"/>
      <x:c r="AF19" s="87" t="str">
        <x:f>IF(OR(H19="",I19="",I19&lt;H19),"",(I19-H19)*1440)</x:f>
      </x:c>
      <x:c r="AG19" s="87" t="str">
        <x:f>IF(OR(I19="",M19="",M19&lt;I19),"",(M19-I19)*1440)</x:f>
      </x:c>
      <x:c r="AH19" s="87" t="str">
        <x:f>IF(OR(M19="",N19="",N19&lt;M19),"",(N19-M19)*1440)</x:f>
      </x:c>
      <x:c r="AI19" s="87" t="str">
        <x:f>IF(OR(H19="",N19="",N19&lt;H19),"",(N19-H19)*1440)</x:f>
      </x:c>
      <x:c r="AJ19" s="87" t="str">
        <x:f>IF(OR(I19="",N19="",N19&lt;I19),"",(N19-I19)*1440)</x:f>
      </x:c>
      <x:c r="AK19" s="87" t="str">
        <x:f>IF(OR(N19="",O19="",O19&lt;N19),"",(O19-N19)*1440)</x:f>
      </x:c>
      <x:c r="AL19" s="87" t="str">
        <x:f>IF(OR(O19="",P19="",P19&lt;O19),"",(P19-O19)*1440)</x:f>
      </x:c>
      <x:c r="AM19" s="87" t="str">
        <x:f>IF(OR(Q19="",R19="",R19&lt;Q19),"",(R19-Q19)*1440)</x:f>
      </x:c>
      <x:c r="AN19" s="87" t="str">
        <x:f>IF(OR(S19="",T19="",T19&lt;S19),"",(T19-S19)*1440)</x:f>
      </x:c>
      <x:c r="AO19" s="87" t="str">
        <x:f>IF(OR(U19="",V19=""),"",V19-U19)</x:f>
      </x:c>
      <x:c r="AP19" s="63" t="str">
        <x:f>IF(A19="","",IF(OR(B19="",H19="",N19=""),"Incompleto",IF(N19&lt;H19,"Revisar",IF(OR(G19="",G19="Não observado"),"Qualidade E0 ausente",IF(OR(G19="Sensor",G19="Marcação física"),"Válido — E0 observado",IF(G19="Cálculo","Válido — E0 calculado","Válido — E0 estimado"))))))</x:f>
      </x:c>
      <x:c r="AQ19" s="63" t="str">
        <x:f>IF(A19="","",IF(COUNTA(H19:T19)&lt;13,"Incompleta",IF(OR(I19&lt;H19,J19&lt;I19,K19&lt;J19,L19&lt;K19,M19&lt;L19,N19&lt;M19,O19&lt;N19,P19&lt;O19,Q19&lt;P19,R19&lt;Q19,S19&lt;R19,T19&lt;S19),"Revisar","Completa")))</x:f>
      </x:c>
      <x:c r="AR19" s="87" t="str">
        <x:f>IF(OR(V19="",W19="",Y19=""),"",Y19-(V19-W19))</x:f>
      </x:c>
      <x:c r="AS19" s="63" t="str">
        <x:f>IF(A19="","",IF(AND(E19&lt;&gt;"",F19&lt;&gt;"",G19&lt;&gt;"",Z19&lt;&gt;"",AA19&lt;&gt;"",AB19&lt;&gt;"",AC19&lt;&gt;""),"Completa","Incompleta"))</x:f>
      </x:c>
      <x:c r="AT19" s="63" t="str">
        <x:f>IF(A19="","",IF(COUNTIF($A$11:$A$410,A19)&gt;1,"ID duplicado",IF(AND(AR19&lt;&gt;"",ABS(AR19)&gt;0.01),"Revisar balanço",IF(AND(W19&lt;&gt;"",V19&lt;&gt;"",W19&gt;V19),"Retirada &gt; estoque",IF(AND(U19&lt;&gt;"",U19&lt;'Cenário Base'!$D$8*'Cenário Base'!$D$74),"E0 abaixo do gatilho",IF(AND(V19&lt;&gt;"",V19&gt;XLOOKUP(B19,$A$414:$A$418,$B$414:$B$418)),"Excedeu capacidade","Sem alerta"))))))</x:f>
      </x:c>
    </x:row>
    <x:row r="20">
      <x:c r="A20" s="43"/>
      <x:c r="B20" s="43"/>
      <x:c r="C20" s="43"/>
      <x:c r="D20" s="43"/>
      <x:c r="E20" s="43"/>
      <x:c r="F20" s="43"/>
      <x:c r="G20" s="43"/>
      <x:c r="H20" s="120"/>
      <x:c r="I20" s="120"/>
      <x:c r="J20" s="120"/>
      <x:c r="K20" s="120"/>
      <x:c r="L20" s="120"/>
      <x:c r="M20" s="120"/>
      <x:c r="N20" s="120"/>
      <x:c r="O20" s="120"/>
      <x:c r="P20" s="120"/>
      <x:c r="Q20" s="120"/>
      <x:c r="R20" s="120"/>
      <x:c r="S20" s="120"/>
      <x:c r="T20" s="120"/>
      <x:c r="U20" s="48"/>
      <x:c r="V20" s="48"/>
      <x:c r="W20" s="48"/>
      <x:c r="X20" s="48"/>
      <x:c r="Y20" s="48"/>
      <x:c r="Z20" s="49"/>
      <x:c r="AA20" s="43"/>
      <x:c r="AB20" s="43"/>
      <x:c r="AC20" s="43"/>
      <x:c r="AD20" s="43"/>
      <x:c r="AE20" s="43"/>
      <x:c r="AF20" s="87" t="str">
        <x:f>IF(OR(H20="",I20="",I20&lt;H20),"",(I20-H20)*1440)</x:f>
      </x:c>
      <x:c r="AG20" s="87" t="str">
        <x:f>IF(OR(I20="",M20="",M20&lt;I20),"",(M20-I20)*1440)</x:f>
      </x:c>
      <x:c r="AH20" s="87" t="str">
        <x:f>IF(OR(M20="",N20="",N20&lt;M20),"",(N20-M20)*1440)</x:f>
      </x:c>
      <x:c r="AI20" s="87" t="str">
        <x:f>IF(OR(H20="",N20="",N20&lt;H20),"",(N20-H20)*1440)</x:f>
      </x:c>
      <x:c r="AJ20" s="87" t="str">
        <x:f>IF(OR(I20="",N20="",N20&lt;I20),"",(N20-I20)*1440)</x:f>
      </x:c>
      <x:c r="AK20" s="87" t="str">
        <x:f>IF(OR(N20="",O20="",O20&lt;N20),"",(O20-N20)*1440)</x:f>
      </x:c>
      <x:c r="AL20" s="87" t="str">
        <x:f>IF(OR(O20="",P20="",P20&lt;O20),"",(P20-O20)*1440)</x:f>
      </x:c>
      <x:c r="AM20" s="87" t="str">
        <x:f>IF(OR(Q20="",R20="",R20&lt;Q20),"",(R20-Q20)*1440)</x:f>
      </x:c>
      <x:c r="AN20" s="87" t="str">
        <x:f>IF(OR(S20="",T20="",T20&lt;S20),"",(T20-S20)*1440)</x:f>
      </x:c>
      <x:c r="AO20" s="87" t="str">
        <x:f>IF(OR(U20="",V20=""),"",V20-U20)</x:f>
      </x:c>
      <x:c r="AP20" s="63" t="str">
        <x:f>IF(A20="","",IF(OR(B20="",H20="",N20=""),"Incompleto",IF(N20&lt;H20,"Revisar",IF(OR(G20="",G20="Não observado"),"Qualidade E0 ausente",IF(OR(G20="Sensor",G20="Marcação física"),"Válido — E0 observado",IF(G20="Cálculo","Válido — E0 calculado","Válido — E0 estimado"))))))</x:f>
      </x:c>
      <x:c r="AQ20" s="63" t="str">
        <x:f>IF(A20="","",IF(COUNTA(H20:T20)&lt;13,"Incompleta",IF(OR(I20&lt;H20,J20&lt;I20,K20&lt;J20,L20&lt;K20,M20&lt;L20,N20&lt;M20,O20&lt;N20,P20&lt;O20,Q20&lt;P20,R20&lt;Q20,S20&lt;R20,T20&lt;S20),"Revisar","Completa")))</x:f>
      </x:c>
      <x:c r="AR20" s="87" t="str">
        <x:f>IF(OR(V20="",W20="",Y20=""),"",Y20-(V20-W20))</x:f>
      </x:c>
      <x:c r="AS20" s="63" t="str">
        <x:f>IF(A20="","",IF(AND(E20&lt;&gt;"",F20&lt;&gt;"",G20&lt;&gt;"",Z20&lt;&gt;"",AA20&lt;&gt;"",AB20&lt;&gt;"",AC20&lt;&gt;""),"Completa","Incompleta"))</x:f>
      </x:c>
      <x:c r="AT20" s="63" t="str">
        <x:f>IF(A20="","",IF(COUNTIF($A$11:$A$410,A20)&gt;1,"ID duplicado",IF(AND(AR20&lt;&gt;"",ABS(AR20)&gt;0.01),"Revisar balanço",IF(AND(W20&lt;&gt;"",V20&lt;&gt;"",W20&gt;V20),"Retirada &gt; estoque",IF(AND(U20&lt;&gt;"",U20&lt;'Cenário Base'!$D$8*'Cenário Base'!$D$74),"E0 abaixo do gatilho",IF(AND(V20&lt;&gt;"",V20&gt;XLOOKUP(B20,$A$414:$A$418,$B$414:$B$418)),"Excedeu capacidade","Sem alerta"))))))</x:f>
      </x:c>
    </x:row>
    <x:row r="21">
      <x:c r="A21" s="43"/>
      <x:c r="B21" s="43"/>
      <x:c r="C21" s="43"/>
      <x:c r="D21" s="43"/>
      <x:c r="E21" s="43"/>
      <x:c r="F21" s="43"/>
      <x:c r="G21" s="43"/>
      <x:c r="H21" s="120"/>
      <x:c r="I21" s="120"/>
      <x:c r="J21" s="120"/>
      <x:c r="K21" s="120"/>
      <x:c r="L21" s="120"/>
      <x:c r="M21" s="120"/>
      <x:c r="N21" s="120"/>
      <x:c r="O21" s="120"/>
      <x:c r="P21" s="120"/>
      <x:c r="Q21" s="120"/>
      <x:c r="R21" s="120"/>
      <x:c r="S21" s="120"/>
      <x:c r="T21" s="120"/>
      <x:c r="U21" s="48"/>
      <x:c r="V21" s="48"/>
      <x:c r="W21" s="48"/>
      <x:c r="X21" s="48"/>
      <x:c r="Y21" s="48"/>
      <x:c r="Z21" s="49"/>
      <x:c r="AA21" s="43"/>
      <x:c r="AB21" s="43"/>
      <x:c r="AC21" s="43"/>
      <x:c r="AD21" s="43"/>
      <x:c r="AE21" s="43"/>
      <x:c r="AF21" s="87" t="str">
        <x:f>IF(OR(H21="",I21="",I21&lt;H21),"",(I21-H21)*1440)</x:f>
      </x:c>
      <x:c r="AG21" s="87" t="str">
        <x:f>IF(OR(I21="",M21="",M21&lt;I21),"",(M21-I21)*1440)</x:f>
      </x:c>
      <x:c r="AH21" s="87" t="str">
        <x:f>IF(OR(M21="",N21="",N21&lt;M21),"",(N21-M21)*1440)</x:f>
      </x:c>
      <x:c r="AI21" s="87" t="str">
        <x:f>IF(OR(H21="",N21="",N21&lt;H21),"",(N21-H21)*1440)</x:f>
      </x:c>
      <x:c r="AJ21" s="87" t="str">
        <x:f>IF(OR(I21="",N21="",N21&lt;I21),"",(N21-I21)*1440)</x:f>
      </x:c>
      <x:c r="AK21" s="87" t="str">
        <x:f>IF(OR(N21="",O21="",O21&lt;N21),"",(O21-N21)*1440)</x:f>
      </x:c>
      <x:c r="AL21" s="87" t="str">
        <x:f>IF(OR(O21="",P21="",P21&lt;O21),"",(P21-O21)*1440)</x:f>
      </x:c>
      <x:c r="AM21" s="87" t="str">
        <x:f>IF(OR(Q21="",R21="",R21&lt;Q21),"",(R21-Q21)*1440)</x:f>
      </x:c>
      <x:c r="AN21" s="87" t="str">
        <x:f>IF(OR(S21="",T21="",T21&lt;S21),"",(T21-S21)*1440)</x:f>
      </x:c>
      <x:c r="AO21" s="87" t="str">
        <x:f>IF(OR(U21="",V21=""),"",V21-U21)</x:f>
      </x:c>
      <x:c r="AP21" s="63" t="str">
        <x:f>IF(A21="","",IF(OR(B21="",H21="",N21=""),"Incompleto",IF(N21&lt;H21,"Revisar",IF(OR(G21="",G21="Não observado"),"Qualidade E0 ausente",IF(OR(G21="Sensor",G21="Marcação física"),"Válido — E0 observado",IF(G21="Cálculo","Válido — E0 calculado","Válido — E0 estimado"))))))</x:f>
      </x:c>
      <x:c r="AQ21" s="63" t="str">
        <x:f>IF(A21="","",IF(COUNTA(H21:T21)&lt;13,"Incompleta",IF(OR(I21&lt;H21,J21&lt;I21,K21&lt;J21,L21&lt;K21,M21&lt;L21,N21&lt;M21,O21&lt;N21,P21&lt;O21,Q21&lt;P21,R21&lt;Q21,S21&lt;R21,T21&lt;S21),"Revisar","Completa")))</x:f>
      </x:c>
      <x:c r="AR21" s="87" t="str">
        <x:f>IF(OR(V21="",W21="",Y21=""),"",Y21-(V21-W21))</x:f>
      </x:c>
      <x:c r="AS21" s="63" t="str">
        <x:f>IF(A21="","",IF(AND(E21&lt;&gt;"",F21&lt;&gt;"",G21&lt;&gt;"",Z21&lt;&gt;"",AA21&lt;&gt;"",AB21&lt;&gt;"",AC21&lt;&gt;""),"Completa","Incompleta"))</x:f>
      </x:c>
      <x:c r="AT21" s="63" t="str">
        <x:f>IF(A21="","",IF(COUNTIF($A$11:$A$410,A21)&gt;1,"ID duplicado",IF(AND(AR21&lt;&gt;"",ABS(AR21)&gt;0.01),"Revisar balanço",IF(AND(W21&lt;&gt;"",V21&lt;&gt;"",W21&gt;V21),"Retirada &gt; estoque",IF(AND(U21&lt;&gt;"",U21&lt;'Cenário Base'!$D$8*'Cenário Base'!$D$74),"E0 abaixo do gatilho",IF(AND(V21&lt;&gt;"",V21&gt;XLOOKUP(B21,$A$414:$A$418,$B$414:$B$418)),"Excedeu capacidade","Sem alerta"))))))</x:f>
      </x:c>
    </x:row>
    <x:row r="22">
      <x:c r="A22" s="43"/>
      <x:c r="B22" s="43"/>
      <x:c r="C22" s="43"/>
      <x:c r="D22" s="43"/>
      <x:c r="E22" s="43"/>
      <x:c r="F22" s="43"/>
      <x:c r="G22" s="43"/>
      <x:c r="H22" s="120"/>
      <x:c r="I22" s="120"/>
      <x:c r="J22" s="120"/>
      <x:c r="K22" s="120"/>
      <x:c r="L22" s="120"/>
      <x:c r="M22" s="120"/>
      <x:c r="N22" s="120"/>
      <x:c r="O22" s="120"/>
      <x:c r="P22" s="120"/>
      <x:c r="Q22" s="120"/>
      <x:c r="R22" s="120"/>
      <x:c r="S22" s="120"/>
      <x:c r="T22" s="120"/>
      <x:c r="U22" s="48"/>
      <x:c r="V22" s="48"/>
      <x:c r="W22" s="48"/>
      <x:c r="X22" s="48"/>
      <x:c r="Y22" s="48"/>
      <x:c r="Z22" s="49"/>
      <x:c r="AA22" s="43"/>
      <x:c r="AB22" s="43"/>
      <x:c r="AC22" s="43"/>
      <x:c r="AD22" s="43"/>
      <x:c r="AE22" s="43"/>
      <x:c r="AF22" s="87" t="str">
        <x:f>IF(OR(H22="",I22="",I22&lt;H22),"",(I22-H22)*1440)</x:f>
      </x:c>
      <x:c r="AG22" s="87" t="str">
        <x:f>IF(OR(I22="",M22="",M22&lt;I22),"",(M22-I22)*1440)</x:f>
      </x:c>
      <x:c r="AH22" s="87" t="str">
        <x:f>IF(OR(M22="",N22="",N22&lt;M22),"",(N22-M22)*1440)</x:f>
      </x:c>
      <x:c r="AI22" s="87" t="str">
        <x:f>IF(OR(H22="",N22="",N22&lt;H22),"",(N22-H22)*1440)</x:f>
      </x:c>
      <x:c r="AJ22" s="87" t="str">
        <x:f>IF(OR(I22="",N22="",N22&lt;I22),"",(N22-I22)*1440)</x:f>
      </x:c>
      <x:c r="AK22" s="87" t="str">
        <x:f>IF(OR(N22="",O22="",O22&lt;N22),"",(O22-N22)*1440)</x:f>
      </x:c>
      <x:c r="AL22" s="87" t="str">
        <x:f>IF(OR(O22="",P22="",P22&lt;O22),"",(P22-O22)*1440)</x:f>
      </x:c>
      <x:c r="AM22" s="87" t="str">
        <x:f>IF(OR(Q22="",R22="",R22&lt;Q22),"",(R22-Q22)*1440)</x:f>
      </x:c>
      <x:c r="AN22" s="87" t="str">
        <x:f>IF(OR(S22="",T22="",T22&lt;S22),"",(T22-S22)*1440)</x:f>
      </x:c>
      <x:c r="AO22" s="87" t="str">
        <x:f>IF(OR(U22="",V22=""),"",V22-U22)</x:f>
      </x:c>
      <x:c r="AP22" s="63" t="str">
        <x:f>IF(A22="","",IF(OR(B22="",H22="",N22=""),"Incompleto",IF(N22&lt;H22,"Revisar",IF(OR(G22="",G22="Não observado"),"Qualidade E0 ausente",IF(OR(G22="Sensor",G22="Marcação física"),"Válido — E0 observado",IF(G22="Cálculo","Válido — E0 calculado","Válido — E0 estimado"))))))</x:f>
      </x:c>
      <x:c r="AQ22" s="63" t="str">
        <x:f>IF(A22="","",IF(COUNTA(H22:T22)&lt;13,"Incompleta",IF(OR(I22&lt;H22,J22&lt;I22,K22&lt;J22,L22&lt;K22,M22&lt;L22,N22&lt;M22,O22&lt;N22,P22&lt;O22,Q22&lt;P22,R22&lt;Q22,S22&lt;R22,T22&lt;S22),"Revisar","Completa")))</x:f>
      </x:c>
      <x:c r="AR22" s="87" t="str">
        <x:f>IF(OR(V22="",W22="",Y22=""),"",Y22-(V22-W22))</x:f>
      </x:c>
      <x:c r="AS22" s="63" t="str">
        <x:f>IF(A22="","",IF(AND(E22&lt;&gt;"",F22&lt;&gt;"",G22&lt;&gt;"",Z22&lt;&gt;"",AA22&lt;&gt;"",AB22&lt;&gt;"",AC22&lt;&gt;""),"Completa","Incompleta"))</x:f>
      </x:c>
      <x:c r="AT22" s="63" t="str">
        <x:f>IF(A22="","",IF(COUNTIF($A$11:$A$410,A22)&gt;1,"ID duplicado",IF(AND(AR22&lt;&gt;"",ABS(AR22)&gt;0.01),"Revisar balanço",IF(AND(W22&lt;&gt;"",V22&lt;&gt;"",W22&gt;V22),"Retirada &gt; estoque",IF(AND(U22&lt;&gt;"",U22&lt;'Cenário Base'!$D$8*'Cenário Base'!$D$74),"E0 abaixo do gatilho",IF(AND(V22&lt;&gt;"",V22&gt;XLOOKUP(B22,$A$414:$A$418,$B$414:$B$418)),"Excedeu capacidade","Sem alerta"))))))</x:f>
      </x:c>
    </x:row>
    <x:row r="23">
      <x:c r="A23" s="43"/>
      <x:c r="B23" s="43"/>
      <x:c r="C23" s="43"/>
      <x:c r="D23" s="43"/>
      <x:c r="E23" s="43"/>
      <x:c r="F23" s="43"/>
      <x:c r="G23" s="43"/>
      <x:c r="H23" s="120"/>
      <x:c r="I23" s="120"/>
      <x:c r="J23" s="120"/>
      <x:c r="K23" s="120"/>
      <x:c r="L23" s="120"/>
      <x:c r="M23" s="120"/>
      <x:c r="N23" s="120"/>
      <x:c r="O23" s="120"/>
      <x:c r="P23" s="120"/>
      <x:c r="Q23" s="120"/>
      <x:c r="R23" s="120"/>
      <x:c r="S23" s="120"/>
      <x:c r="T23" s="120"/>
      <x:c r="U23" s="48"/>
      <x:c r="V23" s="48"/>
      <x:c r="W23" s="48"/>
      <x:c r="X23" s="48"/>
      <x:c r="Y23" s="48"/>
      <x:c r="Z23" s="49"/>
      <x:c r="AA23" s="43"/>
      <x:c r="AB23" s="43"/>
      <x:c r="AC23" s="43"/>
      <x:c r="AD23" s="43"/>
      <x:c r="AE23" s="43"/>
      <x:c r="AF23" s="87" t="str">
        <x:f>IF(OR(H23="",I23="",I23&lt;H23),"",(I23-H23)*1440)</x:f>
      </x:c>
      <x:c r="AG23" s="87" t="str">
        <x:f>IF(OR(I23="",M23="",M23&lt;I23),"",(M23-I23)*1440)</x:f>
      </x:c>
      <x:c r="AH23" s="87" t="str">
        <x:f>IF(OR(M23="",N23="",N23&lt;M23),"",(N23-M23)*1440)</x:f>
      </x:c>
      <x:c r="AI23" s="87" t="str">
        <x:f>IF(OR(H23="",N23="",N23&lt;H23),"",(N23-H23)*1440)</x:f>
      </x:c>
      <x:c r="AJ23" s="87" t="str">
        <x:f>IF(OR(I23="",N23="",N23&lt;I23),"",(N23-I23)*1440)</x:f>
      </x:c>
      <x:c r="AK23" s="87" t="str">
        <x:f>IF(OR(N23="",O23="",O23&lt;N23),"",(O23-N23)*1440)</x:f>
      </x:c>
      <x:c r="AL23" s="87" t="str">
        <x:f>IF(OR(O23="",P23="",P23&lt;O23),"",(P23-O23)*1440)</x:f>
      </x:c>
      <x:c r="AM23" s="87" t="str">
        <x:f>IF(OR(Q23="",R23="",R23&lt;Q23),"",(R23-Q23)*1440)</x:f>
      </x:c>
      <x:c r="AN23" s="87" t="str">
        <x:f>IF(OR(S23="",T23="",T23&lt;S23),"",(T23-S23)*1440)</x:f>
      </x:c>
      <x:c r="AO23" s="87" t="str">
        <x:f>IF(OR(U23="",V23=""),"",V23-U23)</x:f>
      </x:c>
      <x:c r="AP23" s="63" t="str">
        <x:f>IF(A23="","",IF(OR(B23="",H23="",N23=""),"Incompleto",IF(N23&lt;H23,"Revisar",IF(OR(G23="",G23="Não observado"),"Qualidade E0 ausente",IF(OR(G23="Sensor",G23="Marcação física"),"Válido — E0 observado",IF(G23="Cálculo","Válido — E0 calculado","Válido — E0 estimado"))))))</x:f>
      </x:c>
      <x:c r="AQ23" s="63" t="str">
        <x:f>IF(A23="","",IF(COUNTA(H23:T23)&lt;13,"Incompleta",IF(OR(I23&lt;H23,J23&lt;I23,K23&lt;J23,L23&lt;K23,M23&lt;L23,N23&lt;M23,O23&lt;N23,P23&lt;O23,Q23&lt;P23,R23&lt;Q23,S23&lt;R23,T23&lt;S23),"Revisar","Completa")))</x:f>
      </x:c>
      <x:c r="AR23" s="87" t="str">
        <x:f>IF(OR(V23="",W23="",Y23=""),"",Y23-(V23-W23))</x:f>
      </x:c>
      <x:c r="AS23" s="63" t="str">
        <x:f>IF(A23="","",IF(AND(E23&lt;&gt;"",F23&lt;&gt;"",G23&lt;&gt;"",Z23&lt;&gt;"",AA23&lt;&gt;"",AB23&lt;&gt;"",AC23&lt;&gt;""),"Completa","Incompleta"))</x:f>
      </x:c>
      <x:c r="AT23" s="63" t="str">
        <x:f>IF(A23="","",IF(COUNTIF($A$11:$A$410,A23)&gt;1,"ID duplicado",IF(AND(AR23&lt;&gt;"",ABS(AR23)&gt;0.01),"Revisar balanço",IF(AND(W23&lt;&gt;"",V23&lt;&gt;"",W23&gt;V23),"Retirada &gt; estoque",IF(AND(U23&lt;&gt;"",U23&lt;'Cenário Base'!$D$8*'Cenário Base'!$D$74),"E0 abaixo do gatilho",IF(AND(V23&lt;&gt;"",V23&gt;XLOOKUP(B23,$A$414:$A$418,$B$414:$B$418)),"Excedeu capacidade","Sem alerta"))))))</x:f>
      </x:c>
    </x:row>
    <x:row r="24">
      <x:c r="A24" s="43"/>
      <x:c r="B24" s="43"/>
      <x:c r="C24" s="43"/>
      <x:c r="D24" s="43"/>
      <x:c r="E24" s="43"/>
      <x:c r="F24" s="43"/>
      <x:c r="G24" s="43"/>
      <x:c r="H24" s="120"/>
      <x:c r="I24" s="120"/>
      <x:c r="J24" s="120"/>
      <x:c r="K24" s="120"/>
      <x:c r="L24" s="120"/>
      <x:c r="M24" s="120"/>
      <x:c r="N24" s="120"/>
      <x:c r="O24" s="120"/>
      <x:c r="P24" s="120"/>
      <x:c r="Q24" s="120"/>
      <x:c r="R24" s="120"/>
      <x:c r="S24" s="120"/>
      <x:c r="T24" s="120"/>
      <x:c r="U24" s="48"/>
      <x:c r="V24" s="48"/>
      <x:c r="W24" s="48"/>
      <x:c r="X24" s="48"/>
      <x:c r="Y24" s="48"/>
      <x:c r="Z24" s="49"/>
      <x:c r="AA24" s="43"/>
      <x:c r="AB24" s="43"/>
      <x:c r="AC24" s="43"/>
      <x:c r="AD24" s="43"/>
      <x:c r="AE24" s="43"/>
      <x:c r="AF24" s="87" t="str">
        <x:f>IF(OR(H24="",I24="",I24&lt;H24),"",(I24-H24)*1440)</x:f>
      </x:c>
      <x:c r="AG24" s="87" t="str">
        <x:f>IF(OR(I24="",M24="",M24&lt;I24),"",(M24-I24)*1440)</x:f>
      </x:c>
      <x:c r="AH24" s="87" t="str">
        <x:f>IF(OR(M24="",N24="",N24&lt;M24),"",(N24-M24)*1440)</x:f>
      </x:c>
      <x:c r="AI24" s="87" t="str">
        <x:f>IF(OR(H24="",N24="",N24&lt;H24),"",(N24-H24)*1440)</x:f>
      </x:c>
      <x:c r="AJ24" s="87" t="str">
        <x:f>IF(OR(I24="",N24="",N24&lt;I24),"",(N24-I24)*1440)</x:f>
      </x:c>
      <x:c r="AK24" s="87" t="str">
        <x:f>IF(OR(N24="",O24="",O24&lt;N24),"",(O24-N24)*1440)</x:f>
      </x:c>
      <x:c r="AL24" s="87" t="str">
        <x:f>IF(OR(O24="",P24="",P24&lt;O24),"",(P24-O24)*1440)</x:f>
      </x:c>
      <x:c r="AM24" s="87" t="str">
        <x:f>IF(OR(Q24="",R24="",R24&lt;Q24),"",(R24-Q24)*1440)</x:f>
      </x:c>
      <x:c r="AN24" s="87" t="str">
        <x:f>IF(OR(S24="",T24="",T24&lt;S24),"",(T24-S24)*1440)</x:f>
      </x:c>
      <x:c r="AO24" s="87" t="str">
        <x:f>IF(OR(U24="",V24=""),"",V24-U24)</x:f>
      </x:c>
      <x:c r="AP24" s="63" t="str">
        <x:f>IF(A24="","",IF(OR(B24="",H24="",N24=""),"Incompleto",IF(N24&lt;H24,"Revisar",IF(OR(G24="",G24="Não observado"),"Qualidade E0 ausente",IF(OR(G24="Sensor",G24="Marcação física"),"Válido — E0 observado",IF(G24="Cálculo","Válido — E0 calculado","Válido — E0 estimado"))))))</x:f>
      </x:c>
      <x:c r="AQ24" s="63" t="str">
        <x:f>IF(A24="","",IF(COUNTA(H24:T24)&lt;13,"Incompleta",IF(OR(I24&lt;H24,J24&lt;I24,K24&lt;J24,L24&lt;K24,M24&lt;L24,N24&lt;M24,O24&lt;N24,P24&lt;O24,Q24&lt;P24,R24&lt;Q24,S24&lt;R24,T24&lt;S24),"Revisar","Completa")))</x:f>
      </x:c>
      <x:c r="AR24" s="87" t="str">
        <x:f>IF(OR(V24="",W24="",Y24=""),"",Y24-(V24-W24))</x:f>
      </x:c>
      <x:c r="AS24" s="63" t="str">
        <x:f>IF(A24="","",IF(AND(E24&lt;&gt;"",F24&lt;&gt;"",G24&lt;&gt;"",Z24&lt;&gt;"",AA24&lt;&gt;"",AB24&lt;&gt;"",AC24&lt;&gt;""),"Completa","Incompleta"))</x:f>
      </x:c>
      <x:c r="AT24" s="63" t="str">
        <x:f>IF(A24="","",IF(COUNTIF($A$11:$A$410,A24)&gt;1,"ID duplicado",IF(AND(AR24&lt;&gt;"",ABS(AR24)&gt;0.01),"Revisar balanço",IF(AND(W24&lt;&gt;"",V24&lt;&gt;"",W24&gt;V24),"Retirada &gt; estoque",IF(AND(U24&lt;&gt;"",U24&lt;'Cenário Base'!$D$8*'Cenário Base'!$D$74),"E0 abaixo do gatilho",IF(AND(V24&lt;&gt;"",V24&gt;XLOOKUP(B24,$A$414:$A$418,$B$414:$B$418)),"Excedeu capacidade","Sem alerta"))))))</x:f>
      </x:c>
    </x:row>
    <x:row r="25">
      <x:c r="A25" s="43"/>
      <x:c r="B25" s="43"/>
      <x:c r="C25" s="43"/>
      <x:c r="D25" s="43"/>
      <x:c r="E25" s="43"/>
      <x:c r="F25" s="43"/>
      <x:c r="G25" s="43"/>
      <x:c r="H25" s="120"/>
      <x:c r="I25" s="120"/>
      <x:c r="J25" s="120"/>
      <x:c r="K25" s="120"/>
      <x:c r="L25" s="120"/>
      <x:c r="M25" s="120"/>
      <x:c r="N25" s="120"/>
      <x:c r="O25" s="120"/>
      <x:c r="P25" s="120"/>
      <x:c r="Q25" s="120"/>
      <x:c r="R25" s="120"/>
      <x:c r="S25" s="120"/>
      <x:c r="T25" s="120"/>
      <x:c r="U25" s="48"/>
      <x:c r="V25" s="48"/>
      <x:c r="W25" s="48"/>
      <x:c r="X25" s="48"/>
      <x:c r="Y25" s="48"/>
      <x:c r="Z25" s="49"/>
      <x:c r="AA25" s="43"/>
      <x:c r="AB25" s="43"/>
      <x:c r="AC25" s="43"/>
      <x:c r="AD25" s="43"/>
      <x:c r="AE25" s="43"/>
      <x:c r="AF25" s="87" t="str">
        <x:f>IF(OR(H25="",I25="",I25&lt;H25),"",(I25-H25)*1440)</x:f>
      </x:c>
      <x:c r="AG25" s="87" t="str">
        <x:f>IF(OR(I25="",M25="",M25&lt;I25),"",(M25-I25)*1440)</x:f>
      </x:c>
      <x:c r="AH25" s="87" t="str">
        <x:f>IF(OR(M25="",N25="",N25&lt;M25),"",(N25-M25)*1440)</x:f>
      </x:c>
      <x:c r="AI25" s="87" t="str">
        <x:f>IF(OR(H25="",N25="",N25&lt;H25),"",(N25-H25)*1440)</x:f>
      </x:c>
      <x:c r="AJ25" s="87" t="str">
        <x:f>IF(OR(I25="",N25="",N25&lt;I25),"",(N25-I25)*1440)</x:f>
      </x:c>
      <x:c r="AK25" s="87" t="str">
        <x:f>IF(OR(N25="",O25="",O25&lt;N25),"",(O25-N25)*1440)</x:f>
      </x:c>
      <x:c r="AL25" s="87" t="str">
        <x:f>IF(OR(O25="",P25="",P25&lt;O25),"",(P25-O25)*1440)</x:f>
      </x:c>
      <x:c r="AM25" s="87" t="str">
        <x:f>IF(OR(Q25="",R25="",R25&lt;Q25),"",(R25-Q25)*1440)</x:f>
      </x:c>
      <x:c r="AN25" s="87" t="str">
        <x:f>IF(OR(S25="",T25="",T25&lt;S25),"",(T25-S25)*1440)</x:f>
      </x:c>
      <x:c r="AO25" s="87" t="str">
        <x:f>IF(OR(U25="",V25=""),"",V25-U25)</x:f>
      </x:c>
      <x:c r="AP25" s="63" t="str">
        <x:f>IF(A25="","",IF(OR(B25="",H25="",N25=""),"Incompleto",IF(N25&lt;H25,"Revisar",IF(OR(G25="",G25="Não observado"),"Qualidade E0 ausente",IF(OR(G25="Sensor",G25="Marcação física"),"Válido — E0 observado",IF(G25="Cálculo","Válido — E0 calculado","Válido — E0 estimado"))))))</x:f>
      </x:c>
      <x:c r="AQ25" s="63" t="str">
        <x:f>IF(A25="","",IF(COUNTA(H25:T25)&lt;13,"Incompleta",IF(OR(I25&lt;H25,J25&lt;I25,K25&lt;J25,L25&lt;K25,M25&lt;L25,N25&lt;M25,O25&lt;N25,P25&lt;O25,Q25&lt;P25,R25&lt;Q25,S25&lt;R25,T25&lt;S25),"Revisar","Completa")))</x:f>
      </x:c>
      <x:c r="AR25" s="87" t="str">
        <x:f>IF(OR(V25="",W25="",Y25=""),"",Y25-(V25-W25))</x:f>
      </x:c>
      <x:c r="AS25" s="63" t="str">
        <x:f>IF(A25="","",IF(AND(E25&lt;&gt;"",F25&lt;&gt;"",G25&lt;&gt;"",Z25&lt;&gt;"",AA25&lt;&gt;"",AB25&lt;&gt;"",AC25&lt;&gt;""),"Completa","Incompleta"))</x:f>
      </x:c>
      <x:c r="AT25" s="63" t="str">
        <x:f>IF(A25="","",IF(COUNTIF($A$11:$A$410,A25)&gt;1,"ID duplicado",IF(AND(AR25&lt;&gt;"",ABS(AR25)&gt;0.01),"Revisar balanço",IF(AND(W25&lt;&gt;"",V25&lt;&gt;"",W25&gt;V25),"Retirada &gt; estoque",IF(AND(U25&lt;&gt;"",U25&lt;'Cenário Base'!$D$8*'Cenário Base'!$D$74),"E0 abaixo do gatilho",IF(AND(V25&lt;&gt;"",V25&gt;XLOOKUP(B25,$A$414:$A$418,$B$414:$B$418)),"Excedeu capacidade","Sem alerta"))))))</x:f>
      </x:c>
    </x:row>
    <x:row r="26">
      <x:c r="A26" s="43"/>
      <x:c r="B26" s="43"/>
      <x:c r="C26" s="43"/>
      <x:c r="D26" s="43"/>
      <x:c r="E26" s="43"/>
      <x:c r="F26" s="43"/>
      <x:c r="G26" s="43"/>
      <x:c r="H26" s="120"/>
      <x:c r="I26" s="120"/>
      <x:c r="J26" s="120"/>
      <x:c r="K26" s="120"/>
      <x:c r="L26" s="120"/>
      <x:c r="M26" s="120"/>
      <x:c r="N26" s="120"/>
      <x:c r="O26" s="120"/>
      <x:c r="P26" s="120"/>
      <x:c r="Q26" s="120"/>
      <x:c r="R26" s="120"/>
      <x:c r="S26" s="120"/>
      <x:c r="T26" s="120"/>
      <x:c r="U26" s="48"/>
      <x:c r="V26" s="48"/>
      <x:c r="W26" s="48"/>
      <x:c r="X26" s="48"/>
      <x:c r="Y26" s="48"/>
      <x:c r="Z26" s="49"/>
      <x:c r="AA26" s="43"/>
      <x:c r="AB26" s="43"/>
      <x:c r="AC26" s="43"/>
      <x:c r="AD26" s="43"/>
      <x:c r="AE26" s="43"/>
      <x:c r="AF26" s="87" t="str">
        <x:f>IF(OR(H26="",I26="",I26&lt;H26),"",(I26-H26)*1440)</x:f>
      </x:c>
      <x:c r="AG26" s="87" t="str">
        <x:f>IF(OR(I26="",M26="",M26&lt;I26),"",(M26-I26)*1440)</x:f>
      </x:c>
      <x:c r="AH26" s="87" t="str">
        <x:f>IF(OR(M26="",N26="",N26&lt;M26),"",(N26-M26)*1440)</x:f>
      </x:c>
      <x:c r="AI26" s="87" t="str">
        <x:f>IF(OR(H26="",N26="",N26&lt;H26),"",(N26-H26)*1440)</x:f>
      </x:c>
      <x:c r="AJ26" s="87" t="str">
        <x:f>IF(OR(I26="",N26="",N26&lt;I26),"",(N26-I26)*1440)</x:f>
      </x:c>
      <x:c r="AK26" s="87" t="str">
        <x:f>IF(OR(N26="",O26="",O26&lt;N26),"",(O26-N26)*1440)</x:f>
      </x:c>
      <x:c r="AL26" s="87" t="str">
        <x:f>IF(OR(O26="",P26="",P26&lt;O26),"",(P26-O26)*1440)</x:f>
      </x:c>
      <x:c r="AM26" s="87" t="str">
        <x:f>IF(OR(Q26="",R26="",R26&lt;Q26),"",(R26-Q26)*1440)</x:f>
      </x:c>
      <x:c r="AN26" s="87" t="str">
        <x:f>IF(OR(S26="",T26="",T26&lt;S26),"",(T26-S26)*1440)</x:f>
      </x:c>
      <x:c r="AO26" s="87" t="str">
        <x:f>IF(OR(U26="",V26=""),"",V26-U26)</x:f>
      </x:c>
      <x:c r="AP26" s="63" t="str">
        <x:f>IF(A26="","",IF(OR(B26="",H26="",N26=""),"Incompleto",IF(N26&lt;H26,"Revisar",IF(OR(G26="",G26="Não observado"),"Qualidade E0 ausente",IF(OR(G26="Sensor",G26="Marcação física"),"Válido — E0 observado",IF(G26="Cálculo","Válido — E0 calculado","Válido — E0 estimado"))))))</x:f>
      </x:c>
      <x:c r="AQ26" s="63" t="str">
        <x:f>IF(A26="","",IF(COUNTA(H26:T26)&lt;13,"Incompleta",IF(OR(I26&lt;H26,J26&lt;I26,K26&lt;J26,L26&lt;K26,M26&lt;L26,N26&lt;M26,O26&lt;N26,P26&lt;O26,Q26&lt;P26,R26&lt;Q26,S26&lt;R26,T26&lt;S26),"Revisar","Completa")))</x:f>
      </x:c>
      <x:c r="AR26" s="87" t="str">
        <x:f>IF(OR(V26="",W26="",Y26=""),"",Y26-(V26-W26))</x:f>
      </x:c>
      <x:c r="AS26" s="63" t="str">
        <x:f>IF(A26="","",IF(AND(E26&lt;&gt;"",F26&lt;&gt;"",G26&lt;&gt;"",Z26&lt;&gt;"",AA26&lt;&gt;"",AB26&lt;&gt;"",AC26&lt;&gt;""),"Completa","Incompleta"))</x:f>
      </x:c>
      <x:c r="AT26" s="63" t="str">
        <x:f>IF(A26="","",IF(COUNTIF($A$11:$A$410,A26)&gt;1,"ID duplicado",IF(AND(AR26&lt;&gt;"",ABS(AR26)&gt;0.01),"Revisar balanço",IF(AND(W26&lt;&gt;"",V26&lt;&gt;"",W26&gt;V26),"Retirada &gt; estoque",IF(AND(U26&lt;&gt;"",U26&lt;'Cenário Base'!$D$8*'Cenário Base'!$D$74),"E0 abaixo do gatilho",IF(AND(V26&lt;&gt;"",V26&gt;XLOOKUP(B26,$A$414:$A$418,$B$414:$B$418)),"Excedeu capacidade","Sem alerta"))))))</x:f>
      </x:c>
    </x:row>
    <x:row r="27">
      <x:c r="A27" s="43"/>
      <x:c r="B27" s="43"/>
      <x:c r="C27" s="43"/>
      <x:c r="D27" s="43"/>
      <x:c r="E27" s="43"/>
      <x:c r="F27" s="43"/>
      <x:c r="G27" s="43"/>
      <x:c r="H27" s="120"/>
      <x:c r="I27" s="120"/>
      <x:c r="J27" s="120"/>
      <x:c r="K27" s="120"/>
      <x:c r="L27" s="120"/>
      <x:c r="M27" s="120"/>
      <x:c r="N27" s="120"/>
      <x:c r="O27" s="120"/>
      <x:c r="P27" s="120"/>
      <x:c r="Q27" s="120"/>
      <x:c r="R27" s="120"/>
      <x:c r="S27" s="120"/>
      <x:c r="T27" s="120"/>
      <x:c r="U27" s="48"/>
      <x:c r="V27" s="48"/>
      <x:c r="W27" s="48"/>
      <x:c r="X27" s="48"/>
      <x:c r="Y27" s="48"/>
      <x:c r="Z27" s="49"/>
      <x:c r="AA27" s="43"/>
      <x:c r="AB27" s="43"/>
      <x:c r="AC27" s="43"/>
      <x:c r="AD27" s="43"/>
      <x:c r="AE27" s="43"/>
      <x:c r="AF27" s="87" t="str">
        <x:f>IF(OR(H27="",I27="",I27&lt;H27),"",(I27-H27)*1440)</x:f>
      </x:c>
      <x:c r="AG27" s="87" t="str">
        <x:f>IF(OR(I27="",M27="",M27&lt;I27),"",(M27-I27)*1440)</x:f>
      </x:c>
      <x:c r="AH27" s="87" t="str">
        <x:f>IF(OR(M27="",N27="",N27&lt;M27),"",(N27-M27)*1440)</x:f>
      </x:c>
      <x:c r="AI27" s="87" t="str">
        <x:f>IF(OR(H27="",N27="",N27&lt;H27),"",(N27-H27)*1440)</x:f>
      </x:c>
      <x:c r="AJ27" s="87" t="str">
        <x:f>IF(OR(I27="",N27="",N27&lt;I27),"",(N27-I27)*1440)</x:f>
      </x:c>
      <x:c r="AK27" s="87" t="str">
        <x:f>IF(OR(N27="",O27="",O27&lt;N27),"",(O27-N27)*1440)</x:f>
      </x:c>
      <x:c r="AL27" s="87" t="str">
        <x:f>IF(OR(O27="",P27="",P27&lt;O27),"",(P27-O27)*1440)</x:f>
      </x:c>
      <x:c r="AM27" s="87" t="str">
        <x:f>IF(OR(Q27="",R27="",R27&lt;Q27),"",(R27-Q27)*1440)</x:f>
      </x:c>
      <x:c r="AN27" s="87" t="str">
        <x:f>IF(OR(S27="",T27="",T27&lt;S27),"",(T27-S27)*1440)</x:f>
      </x:c>
      <x:c r="AO27" s="87" t="str">
        <x:f>IF(OR(U27="",V27=""),"",V27-U27)</x:f>
      </x:c>
      <x:c r="AP27" s="63" t="str">
        <x:f>IF(A27="","",IF(OR(B27="",H27="",N27=""),"Incompleto",IF(N27&lt;H27,"Revisar",IF(OR(G27="",G27="Não observado"),"Qualidade E0 ausente",IF(OR(G27="Sensor",G27="Marcação física"),"Válido — E0 observado",IF(G27="Cálculo","Válido — E0 calculado","Válido — E0 estimado"))))))</x:f>
      </x:c>
      <x:c r="AQ27" s="63" t="str">
        <x:f>IF(A27="","",IF(COUNTA(H27:T27)&lt;13,"Incompleta",IF(OR(I27&lt;H27,J27&lt;I27,K27&lt;J27,L27&lt;K27,M27&lt;L27,N27&lt;M27,O27&lt;N27,P27&lt;O27,Q27&lt;P27,R27&lt;Q27,S27&lt;R27,T27&lt;S27),"Revisar","Completa")))</x:f>
      </x:c>
      <x:c r="AR27" s="87" t="str">
        <x:f>IF(OR(V27="",W27="",Y27=""),"",Y27-(V27-W27))</x:f>
      </x:c>
      <x:c r="AS27" s="63" t="str">
        <x:f>IF(A27="","",IF(AND(E27&lt;&gt;"",F27&lt;&gt;"",G27&lt;&gt;"",Z27&lt;&gt;"",AA27&lt;&gt;"",AB27&lt;&gt;"",AC27&lt;&gt;""),"Completa","Incompleta"))</x:f>
      </x:c>
      <x:c r="AT27" s="63" t="str">
        <x:f>IF(A27="","",IF(COUNTIF($A$11:$A$410,A27)&gt;1,"ID duplicado",IF(AND(AR27&lt;&gt;"",ABS(AR27)&gt;0.01),"Revisar balanço",IF(AND(W27&lt;&gt;"",V27&lt;&gt;"",W27&gt;V27),"Retirada &gt; estoque",IF(AND(U27&lt;&gt;"",U27&lt;'Cenário Base'!$D$8*'Cenário Base'!$D$74),"E0 abaixo do gatilho",IF(AND(V27&lt;&gt;"",V27&gt;XLOOKUP(B27,$A$414:$A$418,$B$414:$B$418)),"Excedeu capacidade","Sem alerta"))))))</x:f>
      </x:c>
    </x:row>
    <x:row r="28">
      <x:c r="A28" s="43"/>
      <x:c r="B28" s="43"/>
      <x:c r="C28" s="43"/>
      <x:c r="D28" s="43"/>
      <x:c r="E28" s="43"/>
      <x:c r="F28" s="43"/>
      <x:c r="G28" s="43"/>
      <x:c r="H28" s="120"/>
      <x:c r="I28" s="120"/>
      <x:c r="J28" s="120"/>
      <x:c r="K28" s="120"/>
      <x:c r="L28" s="120"/>
      <x:c r="M28" s="120"/>
      <x:c r="N28" s="120"/>
      <x:c r="O28" s="120"/>
      <x:c r="P28" s="120"/>
      <x:c r="Q28" s="120"/>
      <x:c r="R28" s="120"/>
      <x:c r="S28" s="120"/>
      <x:c r="T28" s="120"/>
      <x:c r="U28" s="48"/>
      <x:c r="V28" s="48"/>
      <x:c r="W28" s="48"/>
      <x:c r="X28" s="48"/>
      <x:c r="Y28" s="48"/>
      <x:c r="Z28" s="49"/>
      <x:c r="AA28" s="43"/>
      <x:c r="AB28" s="43"/>
      <x:c r="AC28" s="43"/>
      <x:c r="AD28" s="43"/>
      <x:c r="AE28" s="43"/>
      <x:c r="AF28" s="87" t="str">
        <x:f>IF(OR(H28="",I28="",I28&lt;H28),"",(I28-H28)*1440)</x:f>
      </x:c>
      <x:c r="AG28" s="87" t="str">
        <x:f>IF(OR(I28="",M28="",M28&lt;I28),"",(M28-I28)*1440)</x:f>
      </x:c>
      <x:c r="AH28" s="87" t="str">
        <x:f>IF(OR(M28="",N28="",N28&lt;M28),"",(N28-M28)*1440)</x:f>
      </x:c>
      <x:c r="AI28" s="87" t="str">
        <x:f>IF(OR(H28="",N28="",N28&lt;H28),"",(N28-H28)*1440)</x:f>
      </x:c>
      <x:c r="AJ28" s="87" t="str">
        <x:f>IF(OR(I28="",N28="",N28&lt;I28),"",(N28-I28)*1440)</x:f>
      </x:c>
      <x:c r="AK28" s="87" t="str">
        <x:f>IF(OR(N28="",O28="",O28&lt;N28),"",(O28-N28)*1440)</x:f>
      </x:c>
      <x:c r="AL28" s="87" t="str">
        <x:f>IF(OR(O28="",P28="",P28&lt;O28),"",(P28-O28)*1440)</x:f>
      </x:c>
      <x:c r="AM28" s="87" t="str">
        <x:f>IF(OR(Q28="",R28="",R28&lt;Q28),"",(R28-Q28)*1440)</x:f>
      </x:c>
      <x:c r="AN28" s="87" t="str">
        <x:f>IF(OR(S28="",T28="",T28&lt;S28),"",(T28-S28)*1440)</x:f>
      </x:c>
      <x:c r="AO28" s="87" t="str">
        <x:f>IF(OR(U28="",V28=""),"",V28-U28)</x:f>
      </x:c>
      <x:c r="AP28" s="63" t="str">
        <x:f>IF(A28="","",IF(OR(B28="",H28="",N28=""),"Incompleto",IF(N28&lt;H28,"Revisar",IF(OR(G28="",G28="Não observado"),"Qualidade E0 ausente",IF(OR(G28="Sensor",G28="Marcação física"),"Válido — E0 observado",IF(G28="Cálculo","Válido — E0 calculado","Válido — E0 estimado"))))))</x:f>
      </x:c>
      <x:c r="AQ28" s="63" t="str">
        <x:f>IF(A28="","",IF(COUNTA(H28:T28)&lt;13,"Incompleta",IF(OR(I28&lt;H28,J28&lt;I28,K28&lt;J28,L28&lt;K28,M28&lt;L28,N28&lt;M28,O28&lt;N28,P28&lt;O28,Q28&lt;P28,R28&lt;Q28,S28&lt;R28,T28&lt;S28),"Revisar","Completa")))</x:f>
      </x:c>
      <x:c r="AR28" s="87" t="str">
        <x:f>IF(OR(V28="",W28="",Y28=""),"",Y28-(V28-W28))</x:f>
      </x:c>
      <x:c r="AS28" s="63" t="str">
        <x:f>IF(A28="","",IF(AND(E28&lt;&gt;"",F28&lt;&gt;"",G28&lt;&gt;"",Z28&lt;&gt;"",AA28&lt;&gt;"",AB28&lt;&gt;"",AC28&lt;&gt;""),"Completa","Incompleta"))</x:f>
      </x:c>
      <x:c r="AT28" s="63" t="str">
        <x:f>IF(A28="","",IF(COUNTIF($A$11:$A$410,A28)&gt;1,"ID duplicado",IF(AND(AR28&lt;&gt;"",ABS(AR28)&gt;0.01),"Revisar balanço",IF(AND(W28&lt;&gt;"",V28&lt;&gt;"",W28&gt;V28),"Retirada &gt; estoque",IF(AND(U28&lt;&gt;"",U28&lt;'Cenário Base'!$D$8*'Cenário Base'!$D$74),"E0 abaixo do gatilho",IF(AND(V28&lt;&gt;"",V28&gt;XLOOKUP(B28,$A$414:$A$418,$B$414:$B$418)),"Excedeu capacidade","Sem alerta"))))))</x:f>
      </x:c>
    </x:row>
    <x:row r="29">
      <x:c r="A29" s="43"/>
      <x:c r="B29" s="43"/>
      <x:c r="C29" s="43"/>
      <x:c r="D29" s="43"/>
      <x:c r="E29" s="43"/>
      <x:c r="F29" s="43"/>
      <x:c r="G29" s="43"/>
      <x:c r="H29" s="120"/>
      <x:c r="I29" s="120"/>
      <x:c r="J29" s="120"/>
      <x:c r="K29" s="120"/>
      <x:c r="L29" s="120"/>
      <x:c r="M29" s="120"/>
      <x:c r="N29" s="120"/>
      <x:c r="O29" s="120"/>
      <x:c r="P29" s="120"/>
      <x:c r="Q29" s="120"/>
      <x:c r="R29" s="120"/>
      <x:c r="S29" s="120"/>
      <x:c r="T29" s="120"/>
      <x:c r="U29" s="48"/>
      <x:c r="V29" s="48"/>
      <x:c r="W29" s="48"/>
      <x:c r="X29" s="48"/>
      <x:c r="Y29" s="48"/>
      <x:c r="Z29" s="49"/>
      <x:c r="AA29" s="43"/>
      <x:c r="AB29" s="43"/>
      <x:c r="AC29" s="43"/>
      <x:c r="AD29" s="43"/>
      <x:c r="AE29" s="43"/>
      <x:c r="AF29" s="87" t="str">
        <x:f>IF(OR(H29="",I29="",I29&lt;H29),"",(I29-H29)*1440)</x:f>
      </x:c>
      <x:c r="AG29" s="87" t="str">
        <x:f>IF(OR(I29="",M29="",M29&lt;I29),"",(M29-I29)*1440)</x:f>
      </x:c>
      <x:c r="AH29" s="87" t="str">
        <x:f>IF(OR(M29="",N29="",N29&lt;M29),"",(N29-M29)*1440)</x:f>
      </x:c>
      <x:c r="AI29" s="87" t="str">
        <x:f>IF(OR(H29="",N29="",N29&lt;H29),"",(N29-H29)*1440)</x:f>
      </x:c>
      <x:c r="AJ29" s="87" t="str">
        <x:f>IF(OR(I29="",N29="",N29&lt;I29),"",(N29-I29)*1440)</x:f>
      </x:c>
      <x:c r="AK29" s="87" t="str">
        <x:f>IF(OR(N29="",O29="",O29&lt;N29),"",(O29-N29)*1440)</x:f>
      </x:c>
      <x:c r="AL29" s="87" t="str">
        <x:f>IF(OR(O29="",P29="",P29&lt;O29),"",(P29-O29)*1440)</x:f>
      </x:c>
      <x:c r="AM29" s="87" t="str">
        <x:f>IF(OR(Q29="",R29="",R29&lt;Q29),"",(R29-Q29)*1440)</x:f>
      </x:c>
      <x:c r="AN29" s="87" t="str">
        <x:f>IF(OR(S29="",T29="",T29&lt;S29),"",(T29-S29)*1440)</x:f>
      </x:c>
      <x:c r="AO29" s="87" t="str">
        <x:f>IF(OR(U29="",V29=""),"",V29-U29)</x:f>
      </x:c>
      <x:c r="AP29" s="63" t="str">
        <x:f>IF(A29="","",IF(OR(B29="",H29="",N29=""),"Incompleto",IF(N29&lt;H29,"Revisar",IF(OR(G29="",G29="Não observado"),"Qualidade E0 ausente",IF(OR(G29="Sensor",G29="Marcação física"),"Válido — E0 observado",IF(G29="Cálculo","Válido — E0 calculado","Válido — E0 estimado"))))))</x:f>
      </x:c>
      <x:c r="AQ29" s="63" t="str">
        <x:f>IF(A29="","",IF(COUNTA(H29:T29)&lt;13,"Incompleta",IF(OR(I29&lt;H29,J29&lt;I29,K29&lt;J29,L29&lt;K29,M29&lt;L29,N29&lt;M29,O29&lt;N29,P29&lt;O29,Q29&lt;P29,R29&lt;Q29,S29&lt;R29,T29&lt;S29),"Revisar","Completa")))</x:f>
      </x:c>
      <x:c r="AR29" s="87" t="str">
        <x:f>IF(OR(V29="",W29="",Y29=""),"",Y29-(V29-W29))</x:f>
      </x:c>
      <x:c r="AS29" s="63" t="str">
        <x:f>IF(A29="","",IF(AND(E29&lt;&gt;"",F29&lt;&gt;"",G29&lt;&gt;"",Z29&lt;&gt;"",AA29&lt;&gt;"",AB29&lt;&gt;"",AC29&lt;&gt;""),"Completa","Incompleta"))</x:f>
      </x:c>
      <x:c r="AT29" s="63" t="str">
        <x:f>IF(A29="","",IF(COUNTIF($A$11:$A$410,A29)&gt;1,"ID duplicado",IF(AND(AR29&lt;&gt;"",ABS(AR29)&gt;0.01),"Revisar balanço",IF(AND(W29&lt;&gt;"",V29&lt;&gt;"",W29&gt;V29),"Retirada &gt; estoque",IF(AND(U29&lt;&gt;"",U29&lt;'Cenário Base'!$D$8*'Cenário Base'!$D$74),"E0 abaixo do gatilho",IF(AND(V29&lt;&gt;"",V29&gt;XLOOKUP(B29,$A$414:$A$418,$B$414:$B$418)),"Excedeu capacidade","Sem alerta"))))))</x:f>
      </x:c>
    </x:row>
    <x:row r="30">
      <x:c r="A30" s="43"/>
      <x:c r="B30" s="43"/>
      <x:c r="C30" s="43"/>
      <x:c r="D30" s="43"/>
      <x:c r="E30" s="43"/>
      <x:c r="F30" s="43"/>
      <x:c r="G30" s="43"/>
      <x:c r="H30" s="120"/>
      <x:c r="I30" s="120"/>
      <x:c r="J30" s="120"/>
      <x:c r="K30" s="120"/>
      <x:c r="L30" s="120"/>
      <x:c r="M30" s="120"/>
      <x:c r="N30" s="120"/>
      <x:c r="O30" s="120"/>
      <x:c r="P30" s="120"/>
      <x:c r="Q30" s="120"/>
      <x:c r="R30" s="120"/>
      <x:c r="S30" s="120"/>
      <x:c r="T30" s="120"/>
      <x:c r="U30" s="48"/>
      <x:c r="V30" s="48"/>
      <x:c r="W30" s="48"/>
      <x:c r="X30" s="48"/>
      <x:c r="Y30" s="48"/>
      <x:c r="Z30" s="49"/>
      <x:c r="AA30" s="43"/>
      <x:c r="AB30" s="43"/>
      <x:c r="AC30" s="43"/>
      <x:c r="AD30" s="43"/>
      <x:c r="AE30" s="43"/>
      <x:c r="AF30" s="87" t="str">
        <x:f>IF(OR(H30="",I30="",I30&lt;H30),"",(I30-H30)*1440)</x:f>
      </x:c>
      <x:c r="AG30" s="87" t="str">
        <x:f>IF(OR(I30="",M30="",M30&lt;I30),"",(M30-I30)*1440)</x:f>
      </x:c>
      <x:c r="AH30" s="87" t="str">
        <x:f>IF(OR(M30="",N30="",N30&lt;M30),"",(N30-M30)*1440)</x:f>
      </x:c>
      <x:c r="AI30" s="87" t="str">
        <x:f>IF(OR(H30="",N30="",N30&lt;H30),"",(N30-H30)*1440)</x:f>
      </x:c>
      <x:c r="AJ30" s="87" t="str">
        <x:f>IF(OR(I30="",N30="",N30&lt;I30),"",(N30-I30)*1440)</x:f>
      </x:c>
      <x:c r="AK30" s="87" t="str">
        <x:f>IF(OR(N30="",O30="",O30&lt;N30),"",(O30-N30)*1440)</x:f>
      </x:c>
      <x:c r="AL30" s="87" t="str">
        <x:f>IF(OR(O30="",P30="",P30&lt;O30),"",(P30-O30)*1440)</x:f>
      </x:c>
      <x:c r="AM30" s="87" t="str">
        <x:f>IF(OR(Q30="",R30="",R30&lt;Q30),"",(R30-Q30)*1440)</x:f>
      </x:c>
      <x:c r="AN30" s="87" t="str">
        <x:f>IF(OR(S30="",T30="",T30&lt;S30),"",(T30-S30)*1440)</x:f>
      </x:c>
      <x:c r="AO30" s="87" t="str">
        <x:f>IF(OR(U30="",V30=""),"",V30-U30)</x:f>
      </x:c>
      <x:c r="AP30" s="63" t="str">
        <x:f>IF(A30="","",IF(OR(B30="",H30="",N30=""),"Incompleto",IF(N30&lt;H30,"Revisar",IF(OR(G30="",G30="Não observado"),"Qualidade E0 ausente",IF(OR(G30="Sensor",G30="Marcação física"),"Válido — E0 observado",IF(G30="Cálculo","Válido — E0 calculado","Válido — E0 estimado"))))))</x:f>
      </x:c>
      <x:c r="AQ30" s="63" t="str">
        <x:f>IF(A30="","",IF(COUNTA(H30:T30)&lt;13,"Incompleta",IF(OR(I30&lt;H30,J30&lt;I30,K30&lt;J30,L30&lt;K30,M30&lt;L30,N30&lt;M30,O30&lt;N30,P30&lt;O30,Q30&lt;P30,R30&lt;Q30,S30&lt;R30,T30&lt;S30),"Revisar","Completa")))</x:f>
      </x:c>
      <x:c r="AR30" s="87" t="str">
        <x:f>IF(OR(V30="",W30="",Y30=""),"",Y30-(V30-W30))</x:f>
      </x:c>
      <x:c r="AS30" s="63" t="str">
        <x:f>IF(A30="","",IF(AND(E30&lt;&gt;"",F30&lt;&gt;"",G30&lt;&gt;"",Z30&lt;&gt;"",AA30&lt;&gt;"",AB30&lt;&gt;"",AC30&lt;&gt;""),"Completa","Incompleta"))</x:f>
      </x:c>
      <x:c r="AT30" s="63" t="str">
        <x:f>IF(A30="","",IF(COUNTIF($A$11:$A$410,A30)&gt;1,"ID duplicado",IF(AND(AR30&lt;&gt;"",ABS(AR30)&gt;0.01),"Revisar balanço",IF(AND(W30&lt;&gt;"",V30&lt;&gt;"",W30&gt;V30),"Retirada &gt; estoque",IF(AND(U30&lt;&gt;"",U30&lt;'Cenário Base'!$D$8*'Cenário Base'!$D$74),"E0 abaixo do gatilho",IF(AND(V30&lt;&gt;"",V30&gt;XLOOKUP(B30,$A$414:$A$418,$B$414:$B$418)),"Excedeu capacidade","Sem alerta"))))))</x:f>
      </x:c>
    </x:row>
    <x:row r="31">
      <x:c r="A31" s="43"/>
      <x:c r="B31" s="43"/>
      <x:c r="C31" s="43"/>
      <x:c r="D31" s="43"/>
      <x:c r="E31" s="43"/>
      <x:c r="F31" s="43"/>
      <x:c r="G31" s="43"/>
      <x:c r="H31" s="120"/>
      <x:c r="I31" s="120"/>
      <x:c r="J31" s="120"/>
      <x:c r="K31" s="120"/>
      <x:c r="L31" s="120"/>
      <x:c r="M31" s="120"/>
      <x:c r="N31" s="120"/>
      <x:c r="O31" s="120"/>
      <x:c r="P31" s="120"/>
      <x:c r="Q31" s="120"/>
      <x:c r="R31" s="120"/>
      <x:c r="S31" s="120"/>
      <x:c r="T31" s="120"/>
      <x:c r="U31" s="48"/>
      <x:c r="V31" s="48"/>
      <x:c r="W31" s="48"/>
      <x:c r="X31" s="48"/>
      <x:c r="Y31" s="48"/>
      <x:c r="Z31" s="49"/>
      <x:c r="AA31" s="43"/>
      <x:c r="AB31" s="43"/>
      <x:c r="AC31" s="43"/>
      <x:c r="AD31" s="43"/>
      <x:c r="AE31" s="43"/>
      <x:c r="AF31" s="87" t="str">
        <x:f>IF(OR(H31="",I31="",I31&lt;H31),"",(I31-H31)*1440)</x:f>
      </x:c>
      <x:c r="AG31" s="87" t="str">
        <x:f>IF(OR(I31="",M31="",M31&lt;I31),"",(M31-I31)*1440)</x:f>
      </x:c>
      <x:c r="AH31" s="87" t="str">
        <x:f>IF(OR(M31="",N31="",N31&lt;M31),"",(N31-M31)*1440)</x:f>
      </x:c>
      <x:c r="AI31" s="87" t="str">
        <x:f>IF(OR(H31="",N31="",N31&lt;H31),"",(N31-H31)*1440)</x:f>
      </x:c>
      <x:c r="AJ31" s="87" t="str">
        <x:f>IF(OR(I31="",N31="",N31&lt;I31),"",(N31-I31)*1440)</x:f>
      </x:c>
      <x:c r="AK31" s="87" t="str">
        <x:f>IF(OR(N31="",O31="",O31&lt;N31),"",(O31-N31)*1440)</x:f>
      </x:c>
      <x:c r="AL31" s="87" t="str">
        <x:f>IF(OR(O31="",P31="",P31&lt;O31),"",(P31-O31)*1440)</x:f>
      </x:c>
      <x:c r="AM31" s="87" t="str">
        <x:f>IF(OR(Q31="",R31="",R31&lt;Q31),"",(R31-Q31)*1440)</x:f>
      </x:c>
      <x:c r="AN31" s="87" t="str">
        <x:f>IF(OR(S31="",T31="",T31&lt;S31),"",(T31-S31)*1440)</x:f>
      </x:c>
      <x:c r="AO31" s="87" t="str">
        <x:f>IF(OR(U31="",V31=""),"",V31-U31)</x:f>
      </x:c>
      <x:c r="AP31" s="63" t="str">
        <x:f>IF(A31="","",IF(OR(B31="",H31="",N31=""),"Incompleto",IF(N31&lt;H31,"Revisar",IF(OR(G31="",G31="Não observado"),"Qualidade E0 ausente",IF(OR(G31="Sensor",G31="Marcação física"),"Válido — E0 observado",IF(G31="Cálculo","Válido — E0 calculado","Válido — E0 estimado"))))))</x:f>
      </x:c>
      <x:c r="AQ31" s="63" t="str">
        <x:f>IF(A31="","",IF(COUNTA(H31:T31)&lt;13,"Incompleta",IF(OR(I31&lt;H31,J31&lt;I31,K31&lt;J31,L31&lt;K31,M31&lt;L31,N31&lt;M31,O31&lt;N31,P31&lt;O31,Q31&lt;P31,R31&lt;Q31,S31&lt;R31,T31&lt;S31),"Revisar","Completa")))</x:f>
      </x:c>
      <x:c r="AR31" s="87" t="str">
        <x:f>IF(OR(V31="",W31="",Y31=""),"",Y31-(V31-W31))</x:f>
      </x:c>
      <x:c r="AS31" s="63" t="str">
        <x:f>IF(A31="","",IF(AND(E31&lt;&gt;"",F31&lt;&gt;"",G31&lt;&gt;"",Z31&lt;&gt;"",AA31&lt;&gt;"",AB31&lt;&gt;"",AC31&lt;&gt;""),"Completa","Incompleta"))</x:f>
      </x:c>
      <x:c r="AT31" s="63" t="str">
        <x:f>IF(A31="","",IF(COUNTIF($A$11:$A$410,A31)&gt;1,"ID duplicado",IF(AND(AR31&lt;&gt;"",ABS(AR31)&gt;0.01),"Revisar balanço",IF(AND(W31&lt;&gt;"",V31&lt;&gt;"",W31&gt;V31),"Retirada &gt; estoque",IF(AND(U31&lt;&gt;"",U31&lt;'Cenário Base'!$D$8*'Cenário Base'!$D$74),"E0 abaixo do gatilho",IF(AND(V31&lt;&gt;"",V31&gt;XLOOKUP(B31,$A$414:$A$418,$B$414:$B$418)),"Excedeu capacidade","Sem alerta"))))))</x:f>
      </x:c>
    </x:row>
    <x:row r="32">
      <x:c r="A32" s="43"/>
      <x:c r="B32" s="43"/>
      <x:c r="C32" s="43"/>
      <x:c r="D32" s="43"/>
      <x:c r="E32" s="43"/>
      <x:c r="F32" s="43"/>
      <x:c r="G32" s="43"/>
      <x:c r="H32" s="120"/>
      <x:c r="I32" s="120"/>
      <x:c r="J32" s="120"/>
      <x:c r="K32" s="120"/>
      <x:c r="L32" s="120"/>
      <x:c r="M32" s="120"/>
      <x:c r="N32" s="120"/>
      <x:c r="O32" s="120"/>
      <x:c r="P32" s="120"/>
      <x:c r="Q32" s="120"/>
      <x:c r="R32" s="120"/>
      <x:c r="S32" s="120"/>
      <x:c r="T32" s="120"/>
      <x:c r="U32" s="48"/>
      <x:c r="V32" s="48"/>
      <x:c r="W32" s="48"/>
      <x:c r="X32" s="48"/>
      <x:c r="Y32" s="48"/>
      <x:c r="Z32" s="49"/>
      <x:c r="AA32" s="43"/>
      <x:c r="AB32" s="43"/>
      <x:c r="AC32" s="43"/>
      <x:c r="AD32" s="43"/>
      <x:c r="AE32" s="43"/>
      <x:c r="AF32" s="87" t="str">
        <x:f>IF(OR(H32="",I32="",I32&lt;H32),"",(I32-H32)*1440)</x:f>
      </x:c>
      <x:c r="AG32" s="87" t="str">
        <x:f>IF(OR(I32="",M32="",M32&lt;I32),"",(M32-I32)*1440)</x:f>
      </x:c>
      <x:c r="AH32" s="87" t="str">
        <x:f>IF(OR(M32="",N32="",N32&lt;M32),"",(N32-M32)*1440)</x:f>
      </x:c>
      <x:c r="AI32" s="87" t="str">
        <x:f>IF(OR(H32="",N32="",N32&lt;H32),"",(N32-H32)*1440)</x:f>
      </x:c>
      <x:c r="AJ32" s="87" t="str">
        <x:f>IF(OR(I32="",N32="",N32&lt;I32),"",(N32-I32)*1440)</x:f>
      </x:c>
      <x:c r="AK32" s="87" t="str">
        <x:f>IF(OR(N32="",O32="",O32&lt;N32),"",(O32-N32)*1440)</x:f>
      </x:c>
      <x:c r="AL32" s="87" t="str">
        <x:f>IF(OR(O32="",P32="",P32&lt;O32),"",(P32-O32)*1440)</x:f>
      </x:c>
      <x:c r="AM32" s="87" t="str">
        <x:f>IF(OR(Q32="",R32="",R32&lt;Q32),"",(R32-Q32)*1440)</x:f>
      </x:c>
      <x:c r="AN32" s="87" t="str">
        <x:f>IF(OR(S32="",T32="",T32&lt;S32),"",(T32-S32)*1440)</x:f>
      </x:c>
      <x:c r="AO32" s="87" t="str">
        <x:f>IF(OR(U32="",V32=""),"",V32-U32)</x:f>
      </x:c>
      <x:c r="AP32" s="63" t="str">
        <x:f>IF(A32="","",IF(OR(B32="",H32="",N32=""),"Incompleto",IF(N32&lt;H32,"Revisar",IF(OR(G32="",G32="Não observado"),"Qualidade E0 ausente",IF(OR(G32="Sensor",G32="Marcação física"),"Válido — E0 observado",IF(G32="Cálculo","Válido — E0 calculado","Válido — E0 estimado"))))))</x:f>
      </x:c>
      <x:c r="AQ32" s="63" t="str">
        <x:f>IF(A32="","",IF(COUNTA(H32:T32)&lt;13,"Incompleta",IF(OR(I32&lt;H32,J32&lt;I32,K32&lt;J32,L32&lt;K32,M32&lt;L32,N32&lt;M32,O32&lt;N32,P32&lt;O32,Q32&lt;P32,R32&lt;Q32,S32&lt;R32,T32&lt;S32),"Revisar","Completa")))</x:f>
      </x:c>
      <x:c r="AR32" s="87" t="str">
        <x:f>IF(OR(V32="",W32="",Y32=""),"",Y32-(V32-W32))</x:f>
      </x:c>
      <x:c r="AS32" s="63" t="str">
        <x:f>IF(A32="","",IF(AND(E32&lt;&gt;"",F32&lt;&gt;"",G32&lt;&gt;"",Z32&lt;&gt;"",AA32&lt;&gt;"",AB32&lt;&gt;"",AC32&lt;&gt;""),"Completa","Incompleta"))</x:f>
      </x:c>
      <x:c r="AT32" s="63" t="str">
        <x:f>IF(A32="","",IF(COUNTIF($A$11:$A$410,A32)&gt;1,"ID duplicado",IF(AND(AR32&lt;&gt;"",ABS(AR32)&gt;0.01),"Revisar balanço",IF(AND(W32&lt;&gt;"",V32&lt;&gt;"",W32&gt;V32),"Retirada &gt; estoque",IF(AND(U32&lt;&gt;"",U32&lt;'Cenário Base'!$D$8*'Cenário Base'!$D$74),"E0 abaixo do gatilho",IF(AND(V32&lt;&gt;"",V32&gt;XLOOKUP(B32,$A$414:$A$418,$B$414:$B$418)),"Excedeu capacidade","Sem alerta"))))))</x:f>
      </x:c>
    </x:row>
    <x:row r="33">
      <x:c r="A33" s="43"/>
      <x:c r="B33" s="43"/>
      <x:c r="C33" s="43"/>
      <x:c r="D33" s="43"/>
      <x:c r="E33" s="43"/>
      <x:c r="F33" s="43"/>
      <x:c r="G33" s="43"/>
      <x:c r="H33" s="120"/>
      <x:c r="I33" s="120"/>
      <x:c r="J33" s="120"/>
      <x:c r="K33" s="120"/>
      <x:c r="L33" s="120"/>
      <x:c r="M33" s="120"/>
      <x:c r="N33" s="120"/>
      <x:c r="O33" s="120"/>
      <x:c r="P33" s="120"/>
      <x:c r="Q33" s="120"/>
      <x:c r="R33" s="120"/>
      <x:c r="S33" s="120"/>
      <x:c r="T33" s="120"/>
      <x:c r="U33" s="48"/>
      <x:c r="V33" s="48"/>
      <x:c r="W33" s="48"/>
      <x:c r="X33" s="48"/>
      <x:c r="Y33" s="48"/>
      <x:c r="Z33" s="49"/>
      <x:c r="AA33" s="43"/>
      <x:c r="AB33" s="43"/>
      <x:c r="AC33" s="43"/>
      <x:c r="AD33" s="43"/>
      <x:c r="AE33" s="43"/>
      <x:c r="AF33" s="87" t="str">
        <x:f>IF(OR(H33="",I33="",I33&lt;H33),"",(I33-H33)*1440)</x:f>
      </x:c>
      <x:c r="AG33" s="87" t="str">
        <x:f>IF(OR(I33="",M33="",M33&lt;I33),"",(M33-I33)*1440)</x:f>
      </x:c>
      <x:c r="AH33" s="87" t="str">
        <x:f>IF(OR(M33="",N33="",N33&lt;M33),"",(N33-M33)*1440)</x:f>
      </x:c>
      <x:c r="AI33" s="87" t="str">
        <x:f>IF(OR(H33="",N33="",N33&lt;H33),"",(N33-H33)*1440)</x:f>
      </x:c>
      <x:c r="AJ33" s="87" t="str">
        <x:f>IF(OR(I33="",N33="",N33&lt;I33),"",(N33-I33)*1440)</x:f>
      </x:c>
      <x:c r="AK33" s="87" t="str">
        <x:f>IF(OR(N33="",O33="",O33&lt;N33),"",(O33-N33)*1440)</x:f>
      </x:c>
      <x:c r="AL33" s="87" t="str">
        <x:f>IF(OR(O33="",P33="",P33&lt;O33),"",(P33-O33)*1440)</x:f>
      </x:c>
      <x:c r="AM33" s="87" t="str">
        <x:f>IF(OR(Q33="",R33="",R33&lt;Q33),"",(R33-Q33)*1440)</x:f>
      </x:c>
      <x:c r="AN33" s="87" t="str">
        <x:f>IF(OR(S33="",T33="",T33&lt;S33),"",(T33-S33)*1440)</x:f>
      </x:c>
      <x:c r="AO33" s="87" t="str">
        <x:f>IF(OR(U33="",V33=""),"",V33-U33)</x:f>
      </x:c>
      <x:c r="AP33" s="63" t="str">
        <x:f>IF(A33="","",IF(OR(B33="",H33="",N33=""),"Incompleto",IF(N33&lt;H33,"Revisar",IF(OR(G33="",G33="Não observado"),"Qualidade E0 ausente",IF(OR(G33="Sensor",G33="Marcação física"),"Válido — E0 observado",IF(G33="Cálculo","Válido — E0 calculado","Válido — E0 estimado"))))))</x:f>
      </x:c>
      <x:c r="AQ33" s="63" t="str">
        <x:f>IF(A33="","",IF(COUNTA(H33:T33)&lt;13,"Incompleta",IF(OR(I33&lt;H33,J33&lt;I33,K33&lt;J33,L33&lt;K33,M33&lt;L33,N33&lt;M33,O33&lt;N33,P33&lt;O33,Q33&lt;P33,R33&lt;Q33,S33&lt;R33,T33&lt;S33),"Revisar","Completa")))</x:f>
      </x:c>
      <x:c r="AR33" s="87" t="str">
        <x:f>IF(OR(V33="",W33="",Y33=""),"",Y33-(V33-W33))</x:f>
      </x:c>
      <x:c r="AS33" s="63" t="str">
        <x:f>IF(A33="","",IF(AND(E33&lt;&gt;"",F33&lt;&gt;"",G33&lt;&gt;"",Z33&lt;&gt;"",AA33&lt;&gt;"",AB33&lt;&gt;"",AC33&lt;&gt;""),"Completa","Incompleta"))</x:f>
      </x:c>
      <x:c r="AT33" s="63" t="str">
        <x:f>IF(A33="","",IF(COUNTIF($A$11:$A$410,A33)&gt;1,"ID duplicado",IF(AND(AR33&lt;&gt;"",ABS(AR33)&gt;0.01),"Revisar balanço",IF(AND(W33&lt;&gt;"",V33&lt;&gt;"",W33&gt;V33),"Retirada &gt; estoque",IF(AND(U33&lt;&gt;"",U33&lt;'Cenário Base'!$D$8*'Cenário Base'!$D$74),"E0 abaixo do gatilho",IF(AND(V33&lt;&gt;"",V33&gt;XLOOKUP(B33,$A$414:$A$418,$B$414:$B$418)),"Excedeu capacidade","Sem alerta"))))))</x:f>
      </x:c>
    </x:row>
    <x:row r="34">
      <x:c r="A34" s="43"/>
      <x:c r="B34" s="43"/>
      <x:c r="C34" s="43"/>
      <x:c r="D34" s="43"/>
      <x:c r="E34" s="43"/>
      <x:c r="F34" s="43"/>
      <x:c r="G34" s="43"/>
      <x:c r="H34" s="120"/>
      <x:c r="I34" s="120"/>
      <x:c r="J34" s="120"/>
      <x:c r="K34" s="120"/>
      <x:c r="L34" s="120"/>
      <x:c r="M34" s="120"/>
      <x:c r="N34" s="120"/>
      <x:c r="O34" s="120"/>
      <x:c r="P34" s="120"/>
      <x:c r="Q34" s="120"/>
      <x:c r="R34" s="120"/>
      <x:c r="S34" s="120"/>
      <x:c r="T34" s="120"/>
      <x:c r="U34" s="48"/>
      <x:c r="V34" s="48"/>
      <x:c r="W34" s="48"/>
      <x:c r="X34" s="48"/>
      <x:c r="Y34" s="48"/>
      <x:c r="Z34" s="49"/>
      <x:c r="AA34" s="43"/>
      <x:c r="AB34" s="43"/>
      <x:c r="AC34" s="43"/>
      <x:c r="AD34" s="43"/>
      <x:c r="AE34" s="43"/>
      <x:c r="AF34" s="87" t="str">
        <x:f>IF(OR(H34="",I34="",I34&lt;H34),"",(I34-H34)*1440)</x:f>
      </x:c>
      <x:c r="AG34" s="87" t="str">
        <x:f>IF(OR(I34="",M34="",M34&lt;I34),"",(M34-I34)*1440)</x:f>
      </x:c>
      <x:c r="AH34" s="87" t="str">
        <x:f>IF(OR(M34="",N34="",N34&lt;M34),"",(N34-M34)*1440)</x:f>
      </x:c>
      <x:c r="AI34" s="87" t="str">
        <x:f>IF(OR(H34="",N34="",N34&lt;H34),"",(N34-H34)*1440)</x:f>
      </x:c>
      <x:c r="AJ34" s="87" t="str">
        <x:f>IF(OR(I34="",N34="",N34&lt;I34),"",(N34-I34)*1440)</x:f>
      </x:c>
      <x:c r="AK34" s="87" t="str">
        <x:f>IF(OR(N34="",O34="",O34&lt;N34),"",(O34-N34)*1440)</x:f>
      </x:c>
      <x:c r="AL34" s="87" t="str">
        <x:f>IF(OR(O34="",P34="",P34&lt;O34),"",(P34-O34)*1440)</x:f>
      </x:c>
      <x:c r="AM34" s="87" t="str">
        <x:f>IF(OR(Q34="",R34="",R34&lt;Q34),"",(R34-Q34)*1440)</x:f>
      </x:c>
      <x:c r="AN34" s="87" t="str">
        <x:f>IF(OR(S34="",T34="",T34&lt;S34),"",(T34-S34)*1440)</x:f>
      </x:c>
      <x:c r="AO34" s="87" t="str">
        <x:f>IF(OR(U34="",V34=""),"",V34-U34)</x:f>
      </x:c>
      <x:c r="AP34" s="63" t="str">
        <x:f>IF(A34="","",IF(OR(B34="",H34="",N34=""),"Incompleto",IF(N34&lt;H34,"Revisar",IF(OR(G34="",G34="Não observado"),"Qualidade E0 ausente",IF(OR(G34="Sensor",G34="Marcação física"),"Válido — E0 observado",IF(G34="Cálculo","Válido — E0 calculado","Válido — E0 estimado"))))))</x:f>
      </x:c>
      <x:c r="AQ34" s="63" t="str">
        <x:f>IF(A34="","",IF(COUNTA(H34:T34)&lt;13,"Incompleta",IF(OR(I34&lt;H34,J34&lt;I34,K34&lt;J34,L34&lt;K34,M34&lt;L34,N34&lt;M34,O34&lt;N34,P34&lt;O34,Q34&lt;P34,R34&lt;Q34,S34&lt;R34,T34&lt;S34),"Revisar","Completa")))</x:f>
      </x:c>
      <x:c r="AR34" s="87" t="str">
        <x:f>IF(OR(V34="",W34="",Y34=""),"",Y34-(V34-W34))</x:f>
      </x:c>
      <x:c r="AS34" s="63" t="str">
        <x:f>IF(A34="","",IF(AND(E34&lt;&gt;"",F34&lt;&gt;"",G34&lt;&gt;"",Z34&lt;&gt;"",AA34&lt;&gt;"",AB34&lt;&gt;"",AC34&lt;&gt;""),"Completa","Incompleta"))</x:f>
      </x:c>
      <x:c r="AT34" s="63" t="str">
        <x:f>IF(A34="","",IF(COUNTIF($A$11:$A$410,A34)&gt;1,"ID duplicado",IF(AND(AR34&lt;&gt;"",ABS(AR34)&gt;0.01),"Revisar balanço",IF(AND(W34&lt;&gt;"",V34&lt;&gt;"",W34&gt;V34),"Retirada &gt; estoque",IF(AND(U34&lt;&gt;"",U34&lt;'Cenário Base'!$D$8*'Cenário Base'!$D$74),"E0 abaixo do gatilho",IF(AND(V34&lt;&gt;"",V34&gt;XLOOKUP(B34,$A$414:$A$418,$B$414:$B$418)),"Excedeu capacidade","Sem alerta"))))))</x:f>
      </x:c>
    </x:row>
    <x:row r="35">
      <x:c r="A35" s="43"/>
      <x:c r="B35" s="43"/>
      <x:c r="C35" s="43"/>
      <x:c r="D35" s="43"/>
      <x:c r="E35" s="43"/>
      <x:c r="F35" s="43"/>
      <x:c r="G35" s="43"/>
      <x:c r="H35" s="120"/>
      <x:c r="I35" s="120"/>
      <x:c r="J35" s="120"/>
      <x:c r="K35" s="120"/>
      <x:c r="L35" s="120"/>
      <x:c r="M35" s="120"/>
      <x:c r="N35" s="120"/>
      <x:c r="O35" s="120"/>
      <x:c r="P35" s="120"/>
      <x:c r="Q35" s="120"/>
      <x:c r="R35" s="120"/>
      <x:c r="S35" s="120"/>
      <x:c r="T35" s="120"/>
      <x:c r="U35" s="48"/>
      <x:c r="V35" s="48"/>
      <x:c r="W35" s="48"/>
      <x:c r="X35" s="48"/>
      <x:c r="Y35" s="48"/>
      <x:c r="Z35" s="49"/>
      <x:c r="AA35" s="43"/>
      <x:c r="AB35" s="43"/>
      <x:c r="AC35" s="43"/>
      <x:c r="AD35" s="43"/>
      <x:c r="AE35" s="43"/>
      <x:c r="AF35" s="87" t="str">
        <x:f>IF(OR(H35="",I35="",I35&lt;H35),"",(I35-H35)*1440)</x:f>
      </x:c>
      <x:c r="AG35" s="87" t="str">
        <x:f>IF(OR(I35="",M35="",M35&lt;I35),"",(M35-I35)*1440)</x:f>
      </x:c>
      <x:c r="AH35" s="87" t="str">
        <x:f>IF(OR(M35="",N35="",N35&lt;M35),"",(N35-M35)*1440)</x:f>
      </x:c>
      <x:c r="AI35" s="87" t="str">
        <x:f>IF(OR(H35="",N35="",N35&lt;H35),"",(N35-H35)*1440)</x:f>
      </x:c>
      <x:c r="AJ35" s="87" t="str">
        <x:f>IF(OR(I35="",N35="",N35&lt;I35),"",(N35-I35)*1440)</x:f>
      </x:c>
      <x:c r="AK35" s="87" t="str">
        <x:f>IF(OR(N35="",O35="",O35&lt;N35),"",(O35-N35)*1440)</x:f>
      </x:c>
      <x:c r="AL35" s="87" t="str">
        <x:f>IF(OR(O35="",P35="",P35&lt;O35),"",(P35-O35)*1440)</x:f>
      </x:c>
      <x:c r="AM35" s="87" t="str">
        <x:f>IF(OR(Q35="",R35="",R35&lt;Q35),"",(R35-Q35)*1440)</x:f>
      </x:c>
      <x:c r="AN35" s="87" t="str">
        <x:f>IF(OR(S35="",T35="",T35&lt;S35),"",(T35-S35)*1440)</x:f>
      </x:c>
      <x:c r="AO35" s="87" t="str">
        <x:f>IF(OR(U35="",V35=""),"",V35-U35)</x:f>
      </x:c>
      <x:c r="AP35" s="63" t="str">
        <x:f>IF(A35="","",IF(OR(B35="",H35="",N35=""),"Incompleto",IF(N35&lt;H35,"Revisar",IF(OR(G35="",G35="Não observado"),"Qualidade E0 ausente",IF(OR(G35="Sensor",G35="Marcação física"),"Válido — E0 observado",IF(G35="Cálculo","Válido — E0 calculado","Válido — E0 estimado"))))))</x:f>
      </x:c>
      <x:c r="AQ35" s="63" t="str">
        <x:f>IF(A35="","",IF(COUNTA(H35:T35)&lt;13,"Incompleta",IF(OR(I35&lt;H35,J35&lt;I35,K35&lt;J35,L35&lt;K35,M35&lt;L35,N35&lt;M35,O35&lt;N35,P35&lt;O35,Q35&lt;P35,R35&lt;Q35,S35&lt;R35,T35&lt;S35),"Revisar","Completa")))</x:f>
      </x:c>
      <x:c r="AR35" s="87" t="str">
        <x:f>IF(OR(V35="",W35="",Y35=""),"",Y35-(V35-W35))</x:f>
      </x:c>
      <x:c r="AS35" s="63" t="str">
        <x:f>IF(A35="","",IF(AND(E35&lt;&gt;"",F35&lt;&gt;"",G35&lt;&gt;"",Z35&lt;&gt;"",AA35&lt;&gt;"",AB35&lt;&gt;"",AC35&lt;&gt;""),"Completa","Incompleta"))</x:f>
      </x:c>
      <x:c r="AT35" s="63" t="str">
        <x:f>IF(A35="","",IF(COUNTIF($A$11:$A$410,A35)&gt;1,"ID duplicado",IF(AND(AR35&lt;&gt;"",ABS(AR35)&gt;0.01),"Revisar balanço",IF(AND(W35&lt;&gt;"",V35&lt;&gt;"",W35&gt;V35),"Retirada &gt; estoque",IF(AND(U35&lt;&gt;"",U35&lt;'Cenário Base'!$D$8*'Cenário Base'!$D$74),"E0 abaixo do gatilho",IF(AND(V35&lt;&gt;"",V35&gt;XLOOKUP(B35,$A$414:$A$418,$B$414:$B$418)),"Excedeu capacidade","Sem alerta"))))))</x:f>
      </x:c>
    </x:row>
    <x:row r="36">
      <x:c r="A36" s="43"/>
      <x:c r="B36" s="43"/>
      <x:c r="C36" s="43"/>
      <x:c r="D36" s="43"/>
      <x:c r="E36" s="43"/>
      <x:c r="F36" s="43"/>
      <x:c r="G36" s="43"/>
      <x:c r="H36" s="120"/>
      <x:c r="I36" s="120"/>
      <x:c r="J36" s="120"/>
      <x:c r="K36" s="120"/>
      <x:c r="L36" s="120"/>
      <x:c r="M36" s="120"/>
      <x:c r="N36" s="120"/>
      <x:c r="O36" s="120"/>
      <x:c r="P36" s="120"/>
      <x:c r="Q36" s="120"/>
      <x:c r="R36" s="120"/>
      <x:c r="S36" s="120"/>
      <x:c r="T36" s="120"/>
      <x:c r="U36" s="48"/>
      <x:c r="V36" s="48"/>
      <x:c r="W36" s="48"/>
      <x:c r="X36" s="48"/>
      <x:c r="Y36" s="48"/>
      <x:c r="Z36" s="49"/>
      <x:c r="AA36" s="43"/>
      <x:c r="AB36" s="43"/>
      <x:c r="AC36" s="43"/>
      <x:c r="AD36" s="43"/>
      <x:c r="AE36" s="43"/>
      <x:c r="AF36" s="87" t="str">
        <x:f>IF(OR(H36="",I36="",I36&lt;H36),"",(I36-H36)*1440)</x:f>
      </x:c>
      <x:c r="AG36" s="87" t="str">
        <x:f>IF(OR(I36="",M36="",M36&lt;I36),"",(M36-I36)*1440)</x:f>
      </x:c>
      <x:c r="AH36" s="87" t="str">
        <x:f>IF(OR(M36="",N36="",N36&lt;M36),"",(N36-M36)*1440)</x:f>
      </x:c>
      <x:c r="AI36" s="87" t="str">
        <x:f>IF(OR(H36="",N36="",N36&lt;H36),"",(N36-H36)*1440)</x:f>
      </x:c>
      <x:c r="AJ36" s="87" t="str">
        <x:f>IF(OR(I36="",N36="",N36&lt;I36),"",(N36-I36)*1440)</x:f>
      </x:c>
      <x:c r="AK36" s="87" t="str">
        <x:f>IF(OR(N36="",O36="",O36&lt;N36),"",(O36-N36)*1440)</x:f>
      </x:c>
      <x:c r="AL36" s="87" t="str">
        <x:f>IF(OR(O36="",P36="",P36&lt;O36),"",(P36-O36)*1440)</x:f>
      </x:c>
      <x:c r="AM36" s="87" t="str">
        <x:f>IF(OR(Q36="",R36="",R36&lt;Q36),"",(R36-Q36)*1440)</x:f>
      </x:c>
      <x:c r="AN36" s="87" t="str">
        <x:f>IF(OR(S36="",T36="",T36&lt;S36),"",(T36-S36)*1440)</x:f>
      </x:c>
      <x:c r="AO36" s="87" t="str">
        <x:f>IF(OR(U36="",V36=""),"",V36-U36)</x:f>
      </x:c>
      <x:c r="AP36" s="63" t="str">
        <x:f>IF(A36="","",IF(OR(B36="",H36="",N36=""),"Incompleto",IF(N36&lt;H36,"Revisar",IF(OR(G36="",G36="Não observado"),"Qualidade E0 ausente",IF(OR(G36="Sensor",G36="Marcação física"),"Válido — E0 observado",IF(G36="Cálculo","Válido — E0 calculado","Válido — E0 estimado"))))))</x:f>
      </x:c>
      <x:c r="AQ36" s="63" t="str">
        <x:f>IF(A36="","",IF(COUNTA(H36:T36)&lt;13,"Incompleta",IF(OR(I36&lt;H36,J36&lt;I36,K36&lt;J36,L36&lt;K36,M36&lt;L36,N36&lt;M36,O36&lt;N36,P36&lt;O36,Q36&lt;P36,R36&lt;Q36,S36&lt;R36,T36&lt;S36),"Revisar","Completa")))</x:f>
      </x:c>
      <x:c r="AR36" s="87" t="str">
        <x:f>IF(OR(V36="",W36="",Y36=""),"",Y36-(V36-W36))</x:f>
      </x:c>
      <x:c r="AS36" s="63" t="str">
        <x:f>IF(A36="","",IF(AND(E36&lt;&gt;"",F36&lt;&gt;"",G36&lt;&gt;"",Z36&lt;&gt;"",AA36&lt;&gt;"",AB36&lt;&gt;"",AC36&lt;&gt;""),"Completa","Incompleta"))</x:f>
      </x:c>
      <x:c r="AT36" s="63" t="str">
        <x:f>IF(A36="","",IF(COUNTIF($A$11:$A$410,A36)&gt;1,"ID duplicado",IF(AND(AR36&lt;&gt;"",ABS(AR36)&gt;0.01),"Revisar balanço",IF(AND(W36&lt;&gt;"",V36&lt;&gt;"",W36&gt;V36),"Retirada &gt; estoque",IF(AND(U36&lt;&gt;"",U36&lt;'Cenário Base'!$D$8*'Cenário Base'!$D$74),"E0 abaixo do gatilho",IF(AND(V36&lt;&gt;"",V36&gt;XLOOKUP(B36,$A$414:$A$418,$B$414:$B$418)),"Excedeu capacidade","Sem alerta"))))))</x:f>
      </x:c>
    </x:row>
    <x:row r="37">
      <x:c r="A37" s="43"/>
      <x:c r="B37" s="43"/>
      <x:c r="C37" s="43"/>
      <x:c r="D37" s="43"/>
      <x:c r="E37" s="43"/>
      <x:c r="F37" s="43"/>
      <x:c r="G37" s="43"/>
      <x:c r="H37" s="120"/>
      <x:c r="I37" s="120"/>
      <x:c r="J37" s="120"/>
      <x:c r="K37" s="120"/>
      <x:c r="L37" s="120"/>
      <x:c r="M37" s="120"/>
      <x:c r="N37" s="120"/>
      <x:c r="O37" s="120"/>
      <x:c r="P37" s="120"/>
      <x:c r="Q37" s="120"/>
      <x:c r="R37" s="120"/>
      <x:c r="S37" s="120"/>
      <x:c r="T37" s="120"/>
      <x:c r="U37" s="48"/>
      <x:c r="V37" s="48"/>
      <x:c r="W37" s="48"/>
      <x:c r="X37" s="48"/>
      <x:c r="Y37" s="48"/>
      <x:c r="Z37" s="49"/>
      <x:c r="AA37" s="43"/>
      <x:c r="AB37" s="43"/>
      <x:c r="AC37" s="43"/>
      <x:c r="AD37" s="43"/>
      <x:c r="AE37" s="43"/>
      <x:c r="AF37" s="87" t="str">
        <x:f>IF(OR(H37="",I37="",I37&lt;H37),"",(I37-H37)*1440)</x:f>
      </x:c>
      <x:c r="AG37" s="87" t="str">
        <x:f>IF(OR(I37="",M37="",M37&lt;I37),"",(M37-I37)*1440)</x:f>
      </x:c>
      <x:c r="AH37" s="87" t="str">
        <x:f>IF(OR(M37="",N37="",N37&lt;M37),"",(N37-M37)*1440)</x:f>
      </x:c>
      <x:c r="AI37" s="87" t="str">
        <x:f>IF(OR(H37="",N37="",N37&lt;H37),"",(N37-H37)*1440)</x:f>
      </x:c>
      <x:c r="AJ37" s="87" t="str">
        <x:f>IF(OR(I37="",N37="",N37&lt;I37),"",(N37-I37)*1440)</x:f>
      </x:c>
      <x:c r="AK37" s="87" t="str">
        <x:f>IF(OR(N37="",O37="",O37&lt;N37),"",(O37-N37)*1440)</x:f>
      </x:c>
      <x:c r="AL37" s="87" t="str">
        <x:f>IF(OR(O37="",P37="",P37&lt;O37),"",(P37-O37)*1440)</x:f>
      </x:c>
      <x:c r="AM37" s="87" t="str">
        <x:f>IF(OR(Q37="",R37="",R37&lt;Q37),"",(R37-Q37)*1440)</x:f>
      </x:c>
      <x:c r="AN37" s="87" t="str">
        <x:f>IF(OR(S37="",T37="",T37&lt;S37),"",(T37-S37)*1440)</x:f>
      </x:c>
      <x:c r="AO37" s="87" t="str">
        <x:f>IF(OR(U37="",V37=""),"",V37-U37)</x:f>
      </x:c>
      <x:c r="AP37" s="63" t="str">
        <x:f>IF(A37="","",IF(OR(B37="",H37="",N37=""),"Incompleto",IF(N37&lt;H37,"Revisar",IF(OR(G37="",G37="Não observado"),"Qualidade E0 ausente",IF(OR(G37="Sensor",G37="Marcação física"),"Válido — E0 observado",IF(G37="Cálculo","Válido — E0 calculado","Válido — E0 estimado"))))))</x:f>
      </x:c>
      <x:c r="AQ37" s="63" t="str">
        <x:f>IF(A37="","",IF(COUNTA(H37:T37)&lt;13,"Incompleta",IF(OR(I37&lt;H37,J37&lt;I37,K37&lt;J37,L37&lt;K37,M37&lt;L37,N37&lt;M37,O37&lt;N37,P37&lt;O37,Q37&lt;P37,R37&lt;Q37,S37&lt;R37,T37&lt;S37),"Revisar","Completa")))</x:f>
      </x:c>
      <x:c r="AR37" s="87" t="str">
        <x:f>IF(OR(V37="",W37="",Y37=""),"",Y37-(V37-W37))</x:f>
      </x:c>
      <x:c r="AS37" s="63" t="str">
        <x:f>IF(A37="","",IF(AND(E37&lt;&gt;"",F37&lt;&gt;"",G37&lt;&gt;"",Z37&lt;&gt;"",AA37&lt;&gt;"",AB37&lt;&gt;"",AC37&lt;&gt;""),"Completa","Incompleta"))</x:f>
      </x:c>
      <x:c r="AT37" s="63" t="str">
        <x:f>IF(A37="","",IF(COUNTIF($A$11:$A$410,A37)&gt;1,"ID duplicado",IF(AND(AR37&lt;&gt;"",ABS(AR37)&gt;0.01),"Revisar balanço",IF(AND(W37&lt;&gt;"",V37&lt;&gt;"",W37&gt;V37),"Retirada &gt; estoque",IF(AND(U37&lt;&gt;"",U37&lt;'Cenário Base'!$D$8*'Cenário Base'!$D$74),"E0 abaixo do gatilho",IF(AND(V37&lt;&gt;"",V37&gt;XLOOKUP(B37,$A$414:$A$418,$B$414:$B$418)),"Excedeu capacidade","Sem alerta"))))))</x:f>
      </x:c>
    </x:row>
    <x:row r="38">
      <x:c r="A38" s="43"/>
      <x:c r="B38" s="43"/>
      <x:c r="C38" s="43"/>
      <x:c r="D38" s="43"/>
      <x:c r="E38" s="43"/>
      <x:c r="F38" s="43"/>
      <x:c r="G38" s="43"/>
      <x:c r="H38" s="120"/>
      <x:c r="I38" s="120"/>
      <x:c r="J38" s="120"/>
      <x:c r="K38" s="120"/>
      <x:c r="L38" s="120"/>
      <x:c r="M38" s="120"/>
      <x:c r="N38" s="120"/>
      <x:c r="O38" s="120"/>
      <x:c r="P38" s="120"/>
      <x:c r="Q38" s="120"/>
      <x:c r="R38" s="120"/>
      <x:c r="S38" s="120"/>
      <x:c r="T38" s="120"/>
      <x:c r="U38" s="48"/>
      <x:c r="V38" s="48"/>
      <x:c r="W38" s="48"/>
      <x:c r="X38" s="48"/>
      <x:c r="Y38" s="48"/>
      <x:c r="Z38" s="49"/>
      <x:c r="AA38" s="43"/>
      <x:c r="AB38" s="43"/>
      <x:c r="AC38" s="43"/>
      <x:c r="AD38" s="43"/>
      <x:c r="AE38" s="43"/>
      <x:c r="AF38" s="87" t="str">
        <x:f>IF(OR(H38="",I38="",I38&lt;H38),"",(I38-H38)*1440)</x:f>
      </x:c>
      <x:c r="AG38" s="87" t="str">
        <x:f>IF(OR(I38="",M38="",M38&lt;I38),"",(M38-I38)*1440)</x:f>
      </x:c>
      <x:c r="AH38" s="87" t="str">
        <x:f>IF(OR(M38="",N38="",N38&lt;M38),"",(N38-M38)*1440)</x:f>
      </x:c>
      <x:c r="AI38" s="87" t="str">
        <x:f>IF(OR(H38="",N38="",N38&lt;H38),"",(N38-H38)*1440)</x:f>
      </x:c>
      <x:c r="AJ38" s="87" t="str">
        <x:f>IF(OR(I38="",N38="",N38&lt;I38),"",(N38-I38)*1440)</x:f>
      </x:c>
      <x:c r="AK38" s="87" t="str">
        <x:f>IF(OR(N38="",O38="",O38&lt;N38),"",(O38-N38)*1440)</x:f>
      </x:c>
      <x:c r="AL38" s="87" t="str">
        <x:f>IF(OR(O38="",P38="",P38&lt;O38),"",(P38-O38)*1440)</x:f>
      </x:c>
      <x:c r="AM38" s="87" t="str">
        <x:f>IF(OR(Q38="",R38="",R38&lt;Q38),"",(R38-Q38)*1440)</x:f>
      </x:c>
      <x:c r="AN38" s="87" t="str">
        <x:f>IF(OR(S38="",T38="",T38&lt;S38),"",(T38-S38)*1440)</x:f>
      </x:c>
      <x:c r="AO38" s="87" t="str">
        <x:f>IF(OR(U38="",V38=""),"",V38-U38)</x:f>
      </x:c>
      <x:c r="AP38" s="63" t="str">
        <x:f>IF(A38="","",IF(OR(B38="",H38="",N38=""),"Incompleto",IF(N38&lt;H38,"Revisar",IF(OR(G38="",G38="Não observado"),"Qualidade E0 ausente",IF(OR(G38="Sensor",G38="Marcação física"),"Válido — E0 observado",IF(G38="Cálculo","Válido — E0 calculado","Válido — E0 estimado"))))))</x:f>
      </x:c>
      <x:c r="AQ38" s="63" t="str">
        <x:f>IF(A38="","",IF(COUNTA(H38:T38)&lt;13,"Incompleta",IF(OR(I38&lt;H38,J38&lt;I38,K38&lt;J38,L38&lt;K38,M38&lt;L38,N38&lt;M38,O38&lt;N38,P38&lt;O38,Q38&lt;P38,R38&lt;Q38,S38&lt;R38,T38&lt;S38),"Revisar","Completa")))</x:f>
      </x:c>
      <x:c r="AR38" s="87" t="str">
        <x:f>IF(OR(V38="",W38="",Y38=""),"",Y38-(V38-W38))</x:f>
      </x:c>
      <x:c r="AS38" s="63" t="str">
        <x:f>IF(A38="","",IF(AND(E38&lt;&gt;"",F38&lt;&gt;"",G38&lt;&gt;"",Z38&lt;&gt;"",AA38&lt;&gt;"",AB38&lt;&gt;"",AC38&lt;&gt;""),"Completa","Incompleta"))</x:f>
      </x:c>
      <x:c r="AT38" s="63" t="str">
        <x:f>IF(A38="","",IF(COUNTIF($A$11:$A$410,A38)&gt;1,"ID duplicado",IF(AND(AR38&lt;&gt;"",ABS(AR38)&gt;0.01),"Revisar balanço",IF(AND(W38&lt;&gt;"",V38&lt;&gt;"",W38&gt;V38),"Retirada &gt; estoque",IF(AND(U38&lt;&gt;"",U38&lt;'Cenário Base'!$D$8*'Cenário Base'!$D$74),"E0 abaixo do gatilho",IF(AND(V38&lt;&gt;"",V38&gt;XLOOKUP(B38,$A$414:$A$418,$B$414:$B$418)),"Excedeu capacidade","Sem alerta"))))))</x:f>
      </x:c>
    </x:row>
    <x:row r="39">
      <x:c r="A39" s="43"/>
      <x:c r="B39" s="43"/>
      <x:c r="C39" s="43"/>
      <x:c r="D39" s="43"/>
      <x:c r="E39" s="43"/>
      <x:c r="F39" s="43"/>
      <x:c r="G39" s="43"/>
      <x:c r="H39" s="120"/>
      <x:c r="I39" s="120"/>
      <x:c r="J39" s="120"/>
      <x:c r="K39" s="120"/>
      <x:c r="L39" s="120"/>
      <x:c r="M39" s="120"/>
      <x:c r="N39" s="120"/>
      <x:c r="O39" s="120"/>
      <x:c r="P39" s="120"/>
      <x:c r="Q39" s="120"/>
      <x:c r="R39" s="120"/>
      <x:c r="S39" s="120"/>
      <x:c r="T39" s="120"/>
      <x:c r="U39" s="48"/>
      <x:c r="V39" s="48"/>
      <x:c r="W39" s="48"/>
      <x:c r="X39" s="48"/>
      <x:c r="Y39" s="48"/>
      <x:c r="Z39" s="49"/>
      <x:c r="AA39" s="43"/>
      <x:c r="AB39" s="43"/>
      <x:c r="AC39" s="43"/>
      <x:c r="AD39" s="43"/>
      <x:c r="AE39" s="43"/>
      <x:c r="AF39" s="87" t="str">
        <x:f>IF(OR(H39="",I39="",I39&lt;H39),"",(I39-H39)*1440)</x:f>
      </x:c>
      <x:c r="AG39" s="87" t="str">
        <x:f>IF(OR(I39="",M39="",M39&lt;I39),"",(M39-I39)*1440)</x:f>
      </x:c>
      <x:c r="AH39" s="87" t="str">
        <x:f>IF(OR(M39="",N39="",N39&lt;M39),"",(N39-M39)*1440)</x:f>
      </x:c>
      <x:c r="AI39" s="87" t="str">
        <x:f>IF(OR(H39="",N39="",N39&lt;H39),"",(N39-H39)*1440)</x:f>
      </x:c>
      <x:c r="AJ39" s="87" t="str">
        <x:f>IF(OR(I39="",N39="",N39&lt;I39),"",(N39-I39)*1440)</x:f>
      </x:c>
      <x:c r="AK39" s="87" t="str">
        <x:f>IF(OR(N39="",O39="",O39&lt;N39),"",(O39-N39)*1440)</x:f>
      </x:c>
      <x:c r="AL39" s="87" t="str">
        <x:f>IF(OR(O39="",P39="",P39&lt;O39),"",(P39-O39)*1440)</x:f>
      </x:c>
      <x:c r="AM39" s="87" t="str">
        <x:f>IF(OR(Q39="",R39="",R39&lt;Q39),"",(R39-Q39)*1440)</x:f>
      </x:c>
      <x:c r="AN39" s="87" t="str">
        <x:f>IF(OR(S39="",T39="",T39&lt;S39),"",(T39-S39)*1440)</x:f>
      </x:c>
      <x:c r="AO39" s="87" t="str">
        <x:f>IF(OR(U39="",V39=""),"",V39-U39)</x:f>
      </x:c>
      <x:c r="AP39" s="63" t="str">
        <x:f>IF(A39="","",IF(OR(B39="",H39="",N39=""),"Incompleto",IF(N39&lt;H39,"Revisar",IF(OR(G39="",G39="Não observado"),"Qualidade E0 ausente",IF(OR(G39="Sensor",G39="Marcação física"),"Válido — E0 observado",IF(G39="Cálculo","Válido — E0 calculado","Válido — E0 estimado"))))))</x:f>
      </x:c>
      <x:c r="AQ39" s="63" t="str">
        <x:f>IF(A39="","",IF(COUNTA(H39:T39)&lt;13,"Incompleta",IF(OR(I39&lt;H39,J39&lt;I39,K39&lt;J39,L39&lt;K39,M39&lt;L39,N39&lt;M39,O39&lt;N39,P39&lt;O39,Q39&lt;P39,R39&lt;Q39,S39&lt;R39,T39&lt;S39),"Revisar","Completa")))</x:f>
      </x:c>
      <x:c r="AR39" s="87" t="str">
        <x:f>IF(OR(V39="",W39="",Y39=""),"",Y39-(V39-W39))</x:f>
      </x:c>
      <x:c r="AS39" s="63" t="str">
        <x:f>IF(A39="","",IF(AND(E39&lt;&gt;"",F39&lt;&gt;"",G39&lt;&gt;"",Z39&lt;&gt;"",AA39&lt;&gt;"",AB39&lt;&gt;"",AC39&lt;&gt;""),"Completa","Incompleta"))</x:f>
      </x:c>
      <x:c r="AT39" s="63" t="str">
        <x:f>IF(A39="","",IF(COUNTIF($A$11:$A$410,A39)&gt;1,"ID duplicado",IF(AND(AR39&lt;&gt;"",ABS(AR39)&gt;0.01),"Revisar balanço",IF(AND(W39&lt;&gt;"",V39&lt;&gt;"",W39&gt;V39),"Retirada &gt; estoque",IF(AND(U39&lt;&gt;"",U39&lt;'Cenário Base'!$D$8*'Cenário Base'!$D$74),"E0 abaixo do gatilho",IF(AND(V39&lt;&gt;"",V39&gt;XLOOKUP(B39,$A$414:$A$418,$B$414:$B$418)),"Excedeu capacidade","Sem alerta"))))))</x:f>
      </x:c>
    </x:row>
    <x:row r="40">
      <x:c r="A40" s="43"/>
      <x:c r="B40" s="43"/>
      <x:c r="C40" s="43"/>
      <x:c r="D40" s="43"/>
      <x:c r="E40" s="43"/>
      <x:c r="F40" s="43"/>
      <x:c r="G40" s="43"/>
      <x:c r="H40" s="120"/>
      <x:c r="I40" s="120"/>
      <x:c r="J40" s="120"/>
      <x:c r="K40" s="120"/>
      <x:c r="L40" s="120"/>
      <x:c r="M40" s="120"/>
      <x:c r="N40" s="120"/>
      <x:c r="O40" s="120"/>
      <x:c r="P40" s="120"/>
      <x:c r="Q40" s="120"/>
      <x:c r="R40" s="120"/>
      <x:c r="S40" s="120"/>
      <x:c r="T40" s="120"/>
      <x:c r="U40" s="48"/>
      <x:c r="V40" s="48"/>
      <x:c r="W40" s="48"/>
      <x:c r="X40" s="48"/>
      <x:c r="Y40" s="48"/>
      <x:c r="Z40" s="49"/>
      <x:c r="AA40" s="43"/>
      <x:c r="AB40" s="43"/>
      <x:c r="AC40" s="43"/>
      <x:c r="AD40" s="43"/>
      <x:c r="AE40" s="43"/>
      <x:c r="AF40" s="87" t="str">
        <x:f>IF(OR(H40="",I40="",I40&lt;H40),"",(I40-H40)*1440)</x:f>
      </x:c>
      <x:c r="AG40" s="87" t="str">
        <x:f>IF(OR(I40="",M40="",M40&lt;I40),"",(M40-I40)*1440)</x:f>
      </x:c>
      <x:c r="AH40" s="87" t="str">
        <x:f>IF(OR(M40="",N40="",N40&lt;M40),"",(N40-M40)*1440)</x:f>
      </x:c>
      <x:c r="AI40" s="87" t="str">
        <x:f>IF(OR(H40="",N40="",N40&lt;H40),"",(N40-H40)*1440)</x:f>
      </x:c>
      <x:c r="AJ40" s="87" t="str">
        <x:f>IF(OR(I40="",N40="",N40&lt;I40),"",(N40-I40)*1440)</x:f>
      </x:c>
      <x:c r="AK40" s="87" t="str">
        <x:f>IF(OR(N40="",O40="",O40&lt;N40),"",(O40-N40)*1440)</x:f>
      </x:c>
      <x:c r="AL40" s="87" t="str">
        <x:f>IF(OR(O40="",P40="",P40&lt;O40),"",(P40-O40)*1440)</x:f>
      </x:c>
      <x:c r="AM40" s="87" t="str">
        <x:f>IF(OR(Q40="",R40="",R40&lt;Q40),"",(R40-Q40)*1440)</x:f>
      </x:c>
      <x:c r="AN40" s="87" t="str">
        <x:f>IF(OR(S40="",T40="",T40&lt;S40),"",(T40-S40)*1440)</x:f>
      </x:c>
      <x:c r="AO40" s="87" t="str">
        <x:f>IF(OR(U40="",V40=""),"",V40-U40)</x:f>
      </x:c>
      <x:c r="AP40" s="63" t="str">
        <x:f>IF(A40="","",IF(OR(B40="",H40="",N40=""),"Incompleto",IF(N40&lt;H40,"Revisar",IF(OR(G40="",G40="Não observado"),"Qualidade E0 ausente",IF(OR(G40="Sensor",G40="Marcação física"),"Válido — E0 observado",IF(G40="Cálculo","Válido — E0 calculado","Válido — E0 estimado"))))))</x:f>
      </x:c>
      <x:c r="AQ40" s="63" t="str">
        <x:f>IF(A40="","",IF(COUNTA(H40:T40)&lt;13,"Incompleta",IF(OR(I40&lt;H40,J40&lt;I40,K40&lt;J40,L40&lt;K40,M40&lt;L40,N40&lt;M40,O40&lt;N40,P40&lt;O40,Q40&lt;P40,R40&lt;Q40,S40&lt;R40,T40&lt;S40),"Revisar","Completa")))</x:f>
      </x:c>
      <x:c r="AR40" s="87" t="str">
        <x:f>IF(OR(V40="",W40="",Y40=""),"",Y40-(V40-W40))</x:f>
      </x:c>
      <x:c r="AS40" s="63" t="str">
        <x:f>IF(A40="","",IF(AND(E40&lt;&gt;"",F40&lt;&gt;"",G40&lt;&gt;"",Z40&lt;&gt;"",AA40&lt;&gt;"",AB40&lt;&gt;"",AC40&lt;&gt;""),"Completa","Incompleta"))</x:f>
      </x:c>
      <x:c r="AT40" s="63" t="str">
        <x:f>IF(A40="","",IF(COUNTIF($A$11:$A$410,A40)&gt;1,"ID duplicado",IF(AND(AR40&lt;&gt;"",ABS(AR40)&gt;0.01),"Revisar balanço",IF(AND(W40&lt;&gt;"",V40&lt;&gt;"",W40&gt;V40),"Retirada &gt; estoque",IF(AND(U40&lt;&gt;"",U40&lt;'Cenário Base'!$D$8*'Cenário Base'!$D$74),"E0 abaixo do gatilho",IF(AND(V40&lt;&gt;"",V40&gt;XLOOKUP(B40,$A$414:$A$418,$B$414:$B$418)),"Excedeu capacidade","Sem alerta"))))))</x:f>
      </x:c>
    </x:row>
    <x:row r="41">
      <x:c r="A41" s="43"/>
      <x:c r="B41" s="43"/>
      <x:c r="C41" s="43"/>
      <x:c r="D41" s="43"/>
      <x:c r="E41" s="43"/>
      <x:c r="F41" s="43"/>
      <x:c r="G41" s="43"/>
      <x:c r="H41" s="120"/>
      <x:c r="I41" s="120"/>
      <x:c r="J41" s="120"/>
      <x:c r="K41" s="120"/>
      <x:c r="L41" s="120"/>
      <x:c r="M41" s="120"/>
      <x:c r="N41" s="120"/>
      <x:c r="O41" s="120"/>
      <x:c r="P41" s="120"/>
      <x:c r="Q41" s="120"/>
      <x:c r="R41" s="120"/>
      <x:c r="S41" s="120"/>
      <x:c r="T41" s="120"/>
      <x:c r="U41" s="48"/>
      <x:c r="V41" s="48"/>
      <x:c r="W41" s="48"/>
      <x:c r="X41" s="48"/>
      <x:c r="Y41" s="48"/>
      <x:c r="Z41" s="49"/>
      <x:c r="AA41" s="43"/>
      <x:c r="AB41" s="43"/>
      <x:c r="AC41" s="43"/>
      <x:c r="AD41" s="43"/>
      <x:c r="AE41" s="43"/>
      <x:c r="AF41" s="87" t="str">
        <x:f>IF(OR(H41="",I41="",I41&lt;H41),"",(I41-H41)*1440)</x:f>
      </x:c>
      <x:c r="AG41" s="87" t="str">
        <x:f>IF(OR(I41="",M41="",M41&lt;I41),"",(M41-I41)*1440)</x:f>
      </x:c>
      <x:c r="AH41" s="87" t="str">
        <x:f>IF(OR(M41="",N41="",N41&lt;M41),"",(N41-M41)*1440)</x:f>
      </x:c>
      <x:c r="AI41" s="87" t="str">
        <x:f>IF(OR(H41="",N41="",N41&lt;H41),"",(N41-H41)*1440)</x:f>
      </x:c>
      <x:c r="AJ41" s="87" t="str">
        <x:f>IF(OR(I41="",N41="",N41&lt;I41),"",(N41-I41)*1440)</x:f>
      </x:c>
      <x:c r="AK41" s="87" t="str">
        <x:f>IF(OR(N41="",O41="",O41&lt;N41),"",(O41-N41)*1440)</x:f>
      </x:c>
      <x:c r="AL41" s="87" t="str">
        <x:f>IF(OR(O41="",P41="",P41&lt;O41),"",(P41-O41)*1440)</x:f>
      </x:c>
      <x:c r="AM41" s="87" t="str">
        <x:f>IF(OR(Q41="",R41="",R41&lt;Q41),"",(R41-Q41)*1440)</x:f>
      </x:c>
      <x:c r="AN41" s="87" t="str">
        <x:f>IF(OR(S41="",T41="",T41&lt;S41),"",(T41-S41)*1440)</x:f>
      </x:c>
      <x:c r="AO41" s="87" t="str">
        <x:f>IF(OR(U41="",V41=""),"",V41-U41)</x:f>
      </x:c>
      <x:c r="AP41" s="63" t="str">
        <x:f>IF(A41="","",IF(OR(B41="",H41="",N41=""),"Incompleto",IF(N41&lt;H41,"Revisar",IF(OR(G41="",G41="Não observado"),"Qualidade E0 ausente",IF(OR(G41="Sensor",G41="Marcação física"),"Válido — E0 observado",IF(G41="Cálculo","Válido — E0 calculado","Válido — E0 estimado"))))))</x:f>
      </x:c>
      <x:c r="AQ41" s="63" t="str">
        <x:f>IF(A41="","",IF(COUNTA(H41:T41)&lt;13,"Incompleta",IF(OR(I41&lt;H41,J41&lt;I41,K41&lt;J41,L41&lt;K41,M41&lt;L41,N41&lt;M41,O41&lt;N41,P41&lt;O41,Q41&lt;P41,R41&lt;Q41,S41&lt;R41,T41&lt;S41),"Revisar","Completa")))</x:f>
      </x:c>
      <x:c r="AR41" s="87" t="str">
        <x:f>IF(OR(V41="",W41="",Y41=""),"",Y41-(V41-W41))</x:f>
      </x:c>
      <x:c r="AS41" s="63" t="str">
        <x:f>IF(A41="","",IF(AND(E41&lt;&gt;"",F41&lt;&gt;"",G41&lt;&gt;"",Z41&lt;&gt;"",AA41&lt;&gt;"",AB41&lt;&gt;"",AC41&lt;&gt;""),"Completa","Incompleta"))</x:f>
      </x:c>
      <x:c r="AT41" s="63" t="str">
        <x:f>IF(A41="","",IF(COUNTIF($A$11:$A$410,A41)&gt;1,"ID duplicado",IF(AND(AR41&lt;&gt;"",ABS(AR41)&gt;0.01),"Revisar balanço",IF(AND(W41&lt;&gt;"",V41&lt;&gt;"",W41&gt;V41),"Retirada &gt; estoque",IF(AND(U41&lt;&gt;"",U41&lt;'Cenário Base'!$D$8*'Cenário Base'!$D$74),"E0 abaixo do gatilho",IF(AND(V41&lt;&gt;"",V41&gt;XLOOKUP(B41,$A$414:$A$418,$B$414:$B$418)),"Excedeu capacidade","Sem alerta"))))))</x:f>
      </x:c>
    </x:row>
    <x:row r="42">
      <x:c r="A42" s="43"/>
      <x:c r="B42" s="43"/>
      <x:c r="C42" s="43"/>
      <x:c r="D42" s="43"/>
      <x:c r="E42" s="43"/>
      <x:c r="F42" s="43"/>
      <x:c r="G42" s="43"/>
      <x:c r="H42" s="120"/>
      <x:c r="I42" s="120"/>
      <x:c r="J42" s="120"/>
      <x:c r="K42" s="120"/>
      <x:c r="L42" s="120"/>
      <x:c r="M42" s="120"/>
      <x:c r="N42" s="120"/>
      <x:c r="O42" s="120"/>
      <x:c r="P42" s="120"/>
      <x:c r="Q42" s="120"/>
      <x:c r="R42" s="120"/>
      <x:c r="S42" s="120"/>
      <x:c r="T42" s="120"/>
      <x:c r="U42" s="48"/>
      <x:c r="V42" s="48"/>
      <x:c r="W42" s="48"/>
      <x:c r="X42" s="48"/>
      <x:c r="Y42" s="48"/>
      <x:c r="Z42" s="49"/>
      <x:c r="AA42" s="43"/>
      <x:c r="AB42" s="43"/>
      <x:c r="AC42" s="43"/>
      <x:c r="AD42" s="43"/>
      <x:c r="AE42" s="43"/>
      <x:c r="AF42" s="87" t="str">
        <x:f>IF(OR(H42="",I42="",I42&lt;H42),"",(I42-H42)*1440)</x:f>
      </x:c>
      <x:c r="AG42" s="87" t="str">
        <x:f>IF(OR(I42="",M42="",M42&lt;I42),"",(M42-I42)*1440)</x:f>
      </x:c>
      <x:c r="AH42" s="87" t="str">
        <x:f>IF(OR(M42="",N42="",N42&lt;M42),"",(N42-M42)*1440)</x:f>
      </x:c>
      <x:c r="AI42" s="87" t="str">
        <x:f>IF(OR(H42="",N42="",N42&lt;H42),"",(N42-H42)*1440)</x:f>
      </x:c>
      <x:c r="AJ42" s="87" t="str">
        <x:f>IF(OR(I42="",N42="",N42&lt;I42),"",(N42-I42)*1440)</x:f>
      </x:c>
      <x:c r="AK42" s="87" t="str">
        <x:f>IF(OR(N42="",O42="",O42&lt;N42),"",(O42-N42)*1440)</x:f>
      </x:c>
      <x:c r="AL42" s="87" t="str">
        <x:f>IF(OR(O42="",P42="",P42&lt;O42),"",(P42-O42)*1440)</x:f>
      </x:c>
      <x:c r="AM42" s="87" t="str">
        <x:f>IF(OR(Q42="",R42="",R42&lt;Q42),"",(R42-Q42)*1440)</x:f>
      </x:c>
      <x:c r="AN42" s="87" t="str">
        <x:f>IF(OR(S42="",T42="",T42&lt;S42),"",(T42-S42)*1440)</x:f>
      </x:c>
      <x:c r="AO42" s="87" t="str">
        <x:f>IF(OR(U42="",V42=""),"",V42-U42)</x:f>
      </x:c>
      <x:c r="AP42" s="63" t="str">
        <x:f>IF(A42="","",IF(OR(B42="",H42="",N42=""),"Incompleto",IF(N42&lt;H42,"Revisar",IF(OR(G42="",G42="Não observado"),"Qualidade E0 ausente",IF(OR(G42="Sensor",G42="Marcação física"),"Válido — E0 observado",IF(G42="Cálculo","Válido — E0 calculado","Válido — E0 estimado"))))))</x:f>
      </x:c>
      <x:c r="AQ42" s="63" t="str">
        <x:f>IF(A42="","",IF(COUNTA(H42:T42)&lt;13,"Incompleta",IF(OR(I42&lt;H42,J42&lt;I42,K42&lt;J42,L42&lt;K42,M42&lt;L42,N42&lt;M42,O42&lt;N42,P42&lt;O42,Q42&lt;P42,R42&lt;Q42,S42&lt;R42,T42&lt;S42),"Revisar","Completa")))</x:f>
      </x:c>
      <x:c r="AR42" s="87" t="str">
        <x:f>IF(OR(V42="",W42="",Y42=""),"",Y42-(V42-W42))</x:f>
      </x:c>
      <x:c r="AS42" s="63" t="str">
        <x:f>IF(A42="","",IF(AND(E42&lt;&gt;"",F42&lt;&gt;"",G42&lt;&gt;"",Z42&lt;&gt;"",AA42&lt;&gt;"",AB42&lt;&gt;"",AC42&lt;&gt;""),"Completa","Incompleta"))</x:f>
      </x:c>
      <x:c r="AT42" s="63" t="str">
        <x:f>IF(A42="","",IF(COUNTIF($A$11:$A$410,A42)&gt;1,"ID duplicado",IF(AND(AR42&lt;&gt;"",ABS(AR42)&gt;0.01),"Revisar balanço",IF(AND(W42&lt;&gt;"",V42&lt;&gt;"",W42&gt;V42),"Retirada &gt; estoque",IF(AND(U42&lt;&gt;"",U42&lt;'Cenário Base'!$D$8*'Cenário Base'!$D$74),"E0 abaixo do gatilho",IF(AND(V42&lt;&gt;"",V42&gt;XLOOKUP(B42,$A$414:$A$418,$B$414:$B$418)),"Excedeu capacidade","Sem alerta"))))))</x:f>
      </x:c>
    </x:row>
    <x:row r="43">
      <x:c r="A43" s="43"/>
      <x:c r="B43" s="43"/>
      <x:c r="C43" s="43"/>
      <x:c r="D43" s="43"/>
      <x:c r="E43" s="43"/>
      <x:c r="F43" s="43"/>
      <x:c r="G43" s="43"/>
      <x:c r="H43" s="120"/>
      <x:c r="I43" s="120"/>
      <x:c r="J43" s="120"/>
      <x:c r="K43" s="120"/>
      <x:c r="L43" s="120"/>
      <x:c r="M43" s="120"/>
      <x:c r="N43" s="120"/>
      <x:c r="O43" s="120"/>
      <x:c r="P43" s="120"/>
      <x:c r="Q43" s="120"/>
      <x:c r="R43" s="120"/>
      <x:c r="S43" s="120"/>
      <x:c r="T43" s="120"/>
      <x:c r="U43" s="48"/>
      <x:c r="V43" s="48"/>
      <x:c r="W43" s="48"/>
      <x:c r="X43" s="48"/>
      <x:c r="Y43" s="48"/>
      <x:c r="Z43" s="49"/>
      <x:c r="AA43" s="43"/>
      <x:c r="AB43" s="43"/>
      <x:c r="AC43" s="43"/>
      <x:c r="AD43" s="43"/>
      <x:c r="AE43" s="43"/>
      <x:c r="AF43" s="87" t="str">
        <x:f>IF(OR(H43="",I43="",I43&lt;H43),"",(I43-H43)*1440)</x:f>
      </x:c>
      <x:c r="AG43" s="87" t="str">
        <x:f>IF(OR(I43="",M43="",M43&lt;I43),"",(M43-I43)*1440)</x:f>
      </x:c>
      <x:c r="AH43" s="87" t="str">
        <x:f>IF(OR(M43="",N43="",N43&lt;M43),"",(N43-M43)*1440)</x:f>
      </x:c>
      <x:c r="AI43" s="87" t="str">
        <x:f>IF(OR(H43="",N43="",N43&lt;H43),"",(N43-H43)*1440)</x:f>
      </x:c>
      <x:c r="AJ43" s="87" t="str">
        <x:f>IF(OR(I43="",N43="",N43&lt;I43),"",(N43-I43)*1440)</x:f>
      </x:c>
      <x:c r="AK43" s="87" t="str">
        <x:f>IF(OR(N43="",O43="",O43&lt;N43),"",(O43-N43)*1440)</x:f>
      </x:c>
      <x:c r="AL43" s="87" t="str">
        <x:f>IF(OR(O43="",P43="",P43&lt;O43),"",(P43-O43)*1440)</x:f>
      </x:c>
      <x:c r="AM43" s="87" t="str">
        <x:f>IF(OR(Q43="",R43="",R43&lt;Q43),"",(R43-Q43)*1440)</x:f>
      </x:c>
      <x:c r="AN43" s="87" t="str">
        <x:f>IF(OR(S43="",T43="",T43&lt;S43),"",(T43-S43)*1440)</x:f>
      </x:c>
      <x:c r="AO43" s="87" t="str">
        <x:f>IF(OR(U43="",V43=""),"",V43-U43)</x:f>
      </x:c>
      <x:c r="AP43" s="63" t="str">
        <x:f>IF(A43="","",IF(OR(B43="",H43="",N43=""),"Incompleto",IF(N43&lt;H43,"Revisar",IF(OR(G43="",G43="Não observado"),"Qualidade E0 ausente",IF(OR(G43="Sensor",G43="Marcação física"),"Válido — E0 observado",IF(G43="Cálculo","Válido — E0 calculado","Válido — E0 estimado"))))))</x:f>
      </x:c>
      <x:c r="AQ43" s="63" t="str">
        <x:f>IF(A43="","",IF(COUNTA(H43:T43)&lt;13,"Incompleta",IF(OR(I43&lt;H43,J43&lt;I43,K43&lt;J43,L43&lt;K43,M43&lt;L43,N43&lt;M43,O43&lt;N43,P43&lt;O43,Q43&lt;P43,R43&lt;Q43,S43&lt;R43,T43&lt;S43),"Revisar","Completa")))</x:f>
      </x:c>
      <x:c r="AR43" s="87" t="str">
        <x:f>IF(OR(V43="",W43="",Y43=""),"",Y43-(V43-W43))</x:f>
      </x:c>
      <x:c r="AS43" s="63" t="str">
        <x:f>IF(A43="","",IF(AND(E43&lt;&gt;"",F43&lt;&gt;"",G43&lt;&gt;"",Z43&lt;&gt;"",AA43&lt;&gt;"",AB43&lt;&gt;"",AC43&lt;&gt;""),"Completa","Incompleta"))</x:f>
      </x:c>
      <x:c r="AT43" s="63" t="str">
        <x:f>IF(A43="","",IF(COUNTIF($A$11:$A$410,A43)&gt;1,"ID duplicado",IF(AND(AR43&lt;&gt;"",ABS(AR43)&gt;0.01),"Revisar balanço",IF(AND(W43&lt;&gt;"",V43&lt;&gt;"",W43&gt;V43),"Retirada &gt; estoque",IF(AND(U43&lt;&gt;"",U43&lt;'Cenário Base'!$D$8*'Cenário Base'!$D$74),"E0 abaixo do gatilho",IF(AND(V43&lt;&gt;"",V43&gt;XLOOKUP(B43,$A$414:$A$418,$B$414:$B$418)),"Excedeu capacidade","Sem alerta"))))))</x:f>
      </x:c>
    </x:row>
    <x:row r="44">
      <x:c r="A44" s="43"/>
      <x:c r="B44" s="43"/>
      <x:c r="C44" s="43"/>
      <x:c r="D44" s="43"/>
      <x:c r="E44" s="43"/>
      <x:c r="F44" s="43"/>
      <x:c r="G44" s="43"/>
      <x:c r="H44" s="120"/>
      <x:c r="I44" s="120"/>
      <x:c r="J44" s="120"/>
      <x:c r="K44" s="120"/>
      <x:c r="L44" s="120"/>
      <x:c r="M44" s="120"/>
      <x:c r="N44" s="120"/>
      <x:c r="O44" s="120"/>
      <x:c r="P44" s="120"/>
      <x:c r="Q44" s="120"/>
      <x:c r="R44" s="120"/>
      <x:c r="S44" s="120"/>
      <x:c r="T44" s="120"/>
      <x:c r="U44" s="48"/>
      <x:c r="V44" s="48"/>
      <x:c r="W44" s="48"/>
      <x:c r="X44" s="48"/>
      <x:c r="Y44" s="48"/>
      <x:c r="Z44" s="49"/>
      <x:c r="AA44" s="43"/>
      <x:c r="AB44" s="43"/>
      <x:c r="AC44" s="43"/>
      <x:c r="AD44" s="43"/>
      <x:c r="AE44" s="43"/>
      <x:c r="AF44" s="87" t="str">
        <x:f>IF(OR(H44="",I44="",I44&lt;H44),"",(I44-H44)*1440)</x:f>
      </x:c>
      <x:c r="AG44" s="87" t="str">
        <x:f>IF(OR(I44="",M44="",M44&lt;I44),"",(M44-I44)*1440)</x:f>
      </x:c>
      <x:c r="AH44" s="87" t="str">
        <x:f>IF(OR(M44="",N44="",N44&lt;M44),"",(N44-M44)*1440)</x:f>
      </x:c>
      <x:c r="AI44" s="87" t="str">
        <x:f>IF(OR(H44="",N44="",N44&lt;H44),"",(N44-H44)*1440)</x:f>
      </x:c>
      <x:c r="AJ44" s="87" t="str">
        <x:f>IF(OR(I44="",N44="",N44&lt;I44),"",(N44-I44)*1440)</x:f>
      </x:c>
      <x:c r="AK44" s="87" t="str">
        <x:f>IF(OR(N44="",O44="",O44&lt;N44),"",(O44-N44)*1440)</x:f>
      </x:c>
      <x:c r="AL44" s="87" t="str">
        <x:f>IF(OR(O44="",P44="",P44&lt;O44),"",(P44-O44)*1440)</x:f>
      </x:c>
      <x:c r="AM44" s="87" t="str">
        <x:f>IF(OR(Q44="",R44="",R44&lt;Q44),"",(R44-Q44)*1440)</x:f>
      </x:c>
      <x:c r="AN44" s="87" t="str">
        <x:f>IF(OR(S44="",T44="",T44&lt;S44),"",(T44-S44)*1440)</x:f>
      </x:c>
      <x:c r="AO44" s="87" t="str">
        <x:f>IF(OR(U44="",V44=""),"",V44-U44)</x:f>
      </x:c>
      <x:c r="AP44" s="63" t="str">
        <x:f>IF(A44="","",IF(OR(B44="",H44="",N44=""),"Incompleto",IF(N44&lt;H44,"Revisar",IF(OR(G44="",G44="Não observado"),"Qualidade E0 ausente",IF(OR(G44="Sensor",G44="Marcação física"),"Válido — E0 observado",IF(G44="Cálculo","Válido — E0 calculado","Válido — E0 estimado"))))))</x:f>
      </x:c>
      <x:c r="AQ44" s="63" t="str">
        <x:f>IF(A44="","",IF(COUNTA(H44:T44)&lt;13,"Incompleta",IF(OR(I44&lt;H44,J44&lt;I44,K44&lt;J44,L44&lt;K44,M44&lt;L44,N44&lt;M44,O44&lt;N44,P44&lt;O44,Q44&lt;P44,R44&lt;Q44,S44&lt;R44,T44&lt;S44),"Revisar","Completa")))</x:f>
      </x:c>
      <x:c r="AR44" s="87" t="str">
        <x:f>IF(OR(V44="",W44="",Y44=""),"",Y44-(V44-W44))</x:f>
      </x:c>
      <x:c r="AS44" s="63" t="str">
        <x:f>IF(A44="","",IF(AND(E44&lt;&gt;"",F44&lt;&gt;"",G44&lt;&gt;"",Z44&lt;&gt;"",AA44&lt;&gt;"",AB44&lt;&gt;"",AC44&lt;&gt;""),"Completa","Incompleta"))</x:f>
      </x:c>
      <x:c r="AT44" s="63" t="str">
        <x:f>IF(A44="","",IF(COUNTIF($A$11:$A$410,A44)&gt;1,"ID duplicado",IF(AND(AR44&lt;&gt;"",ABS(AR44)&gt;0.01),"Revisar balanço",IF(AND(W44&lt;&gt;"",V44&lt;&gt;"",W44&gt;V44),"Retirada &gt; estoque",IF(AND(U44&lt;&gt;"",U44&lt;'Cenário Base'!$D$8*'Cenário Base'!$D$74),"E0 abaixo do gatilho",IF(AND(V44&lt;&gt;"",V44&gt;XLOOKUP(B44,$A$414:$A$418,$B$414:$B$418)),"Excedeu capacidade","Sem alerta"))))))</x:f>
      </x:c>
    </x:row>
    <x:row r="45">
      <x:c r="A45" s="43"/>
      <x:c r="B45" s="43"/>
      <x:c r="C45" s="43"/>
      <x:c r="D45" s="43"/>
      <x:c r="E45" s="43"/>
      <x:c r="F45" s="43"/>
      <x:c r="G45" s="43"/>
      <x:c r="H45" s="120"/>
      <x:c r="I45" s="120"/>
      <x:c r="J45" s="120"/>
      <x:c r="K45" s="120"/>
      <x:c r="L45" s="120"/>
      <x:c r="M45" s="120"/>
      <x:c r="N45" s="120"/>
      <x:c r="O45" s="120"/>
      <x:c r="P45" s="120"/>
      <x:c r="Q45" s="120"/>
      <x:c r="R45" s="120"/>
      <x:c r="S45" s="120"/>
      <x:c r="T45" s="120"/>
      <x:c r="U45" s="48"/>
      <x:c r="V45" s="48"/>
      <x:c r="W45" s="48"/>
      <x:c r="X45" s="48"/>
      <x:c r="Y45" s="48"/>
      <x:c r="Z45" s="49"/>
      <x:c r="AA45" s="43"/>
      <x:c r="AB45" s="43"/>
      <x:c r="AC45" s="43"/>
      <x:c r="AD45" s="43"/>
      <x:c r="AE45" s="43"/>
      <x:c r="AF45" s="87" t="str">
        <x:f>IF(OR(H45="",I45="",I45&lt;H45),"",(I45-H45)*1440)</x:f>
      </x:c>
      <x:c r="AG45" s="87" t="str">
        <x:f>IF(OR(I45="",M45="",M45&lt;I45),"",(M45-I45)*1440)</x:f>
      </x:c>
      <x:c r="AH45" s="87" t="str">
        <x:f>IF(OR(M45="",N45="",N45&lt;M45),"",(N45-M45)*1440)</x:f>
      </x:c>
      <x:c r="AI45" s="87" t="str">
        <x:f>IF(OR(H45="",N45="",N45&lt;H45),"",(N45-H45)*1440)</x:f>
      </x:c>
      <x:c r="AJ45" s="87" t="str">
        <x:f>IF(OR(I45="",N45="",N45&lt;I45),"",(N45-I45)*1440)</x:f>
      </x:c>
      <x:c r="AK45" s="87" t="str">
        <x:f>IF(OR(N45="",O45="",O45&lt;N45),"",(O45-N45)*1440)</x:f>
      </x:c>
      <x:c r="AL45" s="87" t="str">
        <x:f>IF(OR(O45="",P45="",P45&lt;O45),"",(P45-O45)*1440)</x:f>
      </x:c>
      <x:c r="AM45" s="87" t="str">
        <x:f>IF(OR(Q45="",R45="",R45&lt;Q45),"",(R45-Q45)*1440)</x:f>
      </x:c>
      <x:c r="AN45" s="87" t="str">
        <x:f>IF(OR(S45="",T45="",T45&lt;S45),"",(T45-S45)*1440)</x:f>
      </x:c>
      <x:c r="AO45" s="87" t="str">
        <x:f>IF(OR(U45="",V45=""),"",V45-U45)</x:f>
      </x:c>
      <x:c r="AP45" s="63" t="str">
        <x:f>IF(A45="","",IF(OR(B45="",H45="",N45=""),"Incompleto",IF(N45&lt;H45,"Revisar",IF(OR(G45="",G45="Não observado"),"Qualidade E0 ausente",IF(OR(G45="Sensor",G45="Marcação física"),"Válido — E0 observado",IF(G45="Cálculo","Válido — E0 calculado","Válido — E0 estimado"))))))</x:f>
      </x:c>
      <x:c r="AQ45" s="63" t="str">
        <x:f>IF(A45="","",IF(COUNTA(H45:T45)&lt;13,"Incompleta",IF(OR(I45&lt;H45,J45&lt;I45,K45&lt;J45,L45&lt;K45,M45&lt;L45,N45&lt;M45,O45&lt;N45,P45&lt;O45,Q45&lt;P45,R45&lt;Q45,S45&lt;R45,T45&lt;S45),"Revisar","Completa")))</x:f>
      </x:c>
      <x:c r="AR45" s="87" t="str">
        <x:f>IF(OR(V45="",W45="",Y45=""),"",Y45-(V45-W45))</x:f>
      </x:c>
      <x:c r="AS45" s="63" t="str">
        <x:f>IF(A45="","",IF(AND(E45&lt;&gt;"",F45&lt;&gt;"",G45&lt;&gt;"",Z45&lt;&gt;"",AA45&lt;&gt;"",AB45&lt;&gt;"",AC45&lt;&gt;""),"Completa","Incompleta"))</x:f>
      </x:c>
      <x:c r="AT45" s="63" t="str">
        <x:f>IF(A45="","",IF(COUNTIF($A$11:$A$410,A45)&gt;1,"ID duplicado",IF(AND(AR45&lt;&gt;"",ABS(AR45)&gt;0.01),"Revisar balanço",IF(AND(W45&lt;&gt;"",V45&lt;&gt;"",W45&gt;V45),"Retirada &gt; estoque",IF(AND(U45&lt;&gt;"",U45&lt;'Cenário Base'!$D$8*'Cenário Base'!$D$74),"E0 abaixo do gatilho",IF(AND(V45&lt;&gt;"",V45&gt;XLOOKUP(B45,$A$414:$A$418,$B$414:$B$418)),"Excedeu capacidade","Sem alerta"))))))</x:f>
      </x:c>
    </x:row>
    <x:row r="46">
      <x:c r="A46" s="43"/>
      <x:c r="B46" s="43"/>
      <x:c r="C46" s="43"/>
      <x:c r="D46" s="43"/>
      <x:c r="E46" s="43"/>
      <x:c r="F46" s="43"/>
      <x:c r="G46" s="43"/>
      <x:c r="H46" s="120"/>
      <x:c r="I46" s="120"/>
      <x:c r="J46" s="120"/>
      <x:c r="K46" s="120"/>
      <x:c r="L46" s="120"/>
      <x:c r="M46" s="120"/>
      <x:c r="N46" s="120"/>
      <x:c r="O46" s="120"/>
      <x:c r="P46" s="120"/>
      <x:c r="Q46" s="120"/>
      <x:c r="R46" s="120"/>
      <x:c r="S46" s="120"/>
      <x:c r="T46" s="120"/>
      <x:c r="U46" s="48"/>
      <x:c r="V46" s="48"/>
      <x:c r="W46" s="48"/>
      <x:c r="X46" s="48"/>
      <x:c r="Y46" s="48"/>
      <x:c r="Z46" s="49"/>
      <x:c r="AA46" s="43"/>
      <x:c r="AB46" s="43"/>
      <x:c r="AC46" s="43"/>
      <x:c r="AD46" s="43"/>
      <x:c r="AE46" s="43"/>
      <x:c r="AF46" s="87" t="str">
        <x:f>IF(OR(H46="",I46="",I46&lt;H46),"",(I46-H46)*1440)</x:f>
      </x:c>
      <x:c r="AG46" s="87" t="str">
        <x:f>IF(OR(I46="",M46="",M46&lt;I46),"",(M46-I46)*1440)</x:f>
      </x:c>
      <x:c r="AH46" s="87" t="str">
        <x:f>IF(OR(M46="",N46="",N46&lt;M46),"",(N46-M46)*1440)</x:f>
      </x:c>
      <x:c r="AI46" s="87" t="str">
        <x:f>IF(OR(H46="",N46="",N46&lt;H46),"",(N46-H46)*1440)</x:f>
      </x:c>
      <x:c r="AJ46" s="87" t="str">
        <x:f>IF(OR(I46="",N46="",N46&lt;I46),"",(N46-I46)*1440)</x:f>
      </x:c>
      <x:c r="AK46" s="87" t="str">
        <x:f>IF(OR(N46="",O46="",O46&lt;N46),"",(O46-N46)*1440)</x:f>
      </x:c>
      <x:c r="AL46" s="87" t="str">
        <x:f>IF(OR(O46="",P46="",P46&lt;O46),"",(P46-O46)*1440)</x:f>
      </x:c>
      <x:c r="AM46" s="87" t="str">
        <x:f>IF(OR(Q46="",R46="",R46&lt;Q46),"",(R46-Q46)*1440)</x:f>
      </x:c>
      <x:c r="AN46" s="87" t="str">
        <x:f>IF(OR(S46="",T46="",T46&lt;S46),"",(T46-S46)*1440)</x:f>
      </x:c>
      <x:c r="AO46" s="87" t="str">
        <x:f>IF(OR(U46="",V46=""),"",V46-U46)</x:f>
      </x:c>
      <x:c r="AP46" s="63" t="str">
        <x:f>IF(A46="","",IF(OR(B46="",H46="",N46=""),"Incompleto",IF(N46&lt;H46,"Revisar",IF(OR(G46="",G46="Não observado"),"Qualidade E0 ausente",IF(OR(G46="Sensor",G46="Marcação física"),"Válido — E0 observado",IF(G46="Cálculo","Válido — E0 calculado","Válido — E0 estimado"))))))</x:f>
      </x:c>
      <x:c r="AQ46" s="63" t="str">
        <x:f>IF(A46="","",IF(COUNTA(H46:T46)&lt;13,"Incompleta",IF(OR(I46&lt;H46,J46&lt;I46,K46&lt;J46,L46&lt;K46,M46&lt;L46,N46&lt;M46,O46&lt;N46,P46&lt;O46,Q46&lt;P46,R46&lt;Q46,S46&lt;R46,T46&lt;S46),"Revisar","Completa")))</x:f>
      </x:c>
      <x:c r="AR46" s="87" t="str">
        <x:f>IF(OR(V46="",W46="",Y46=""),"",Y46-(V46-W46))</x:f>
      </x:c>
      <x:c r="AS46" s="63" t="str">
        <x:f>IF(A46="","",IF(AND(E46&lt;&gt;"",F46&lt;&gt;"",G46&lt;&gt;"",Z46&lt;&gt;"",AA46&lt;&gt;"",AB46&lt;&gt;"",AC46&lt;&gt;""),"Completa","Incompleta"))</x:f>
      </x:c>
      <x:c r="AT46" s="63" t="str">
        <x:f>IF(A46="","",IF(COUNTIF($A$11:$A$410,A46)&gt;1,"ID duplicado",IF(AND(AR46&lt;&gt;"",ABS(AR46)&gt;0.01),"Revisar balanço",IF(AND(W46&lt;&gt;"",V46&lt;&gt;"",W46&gt;V46),"Retirada &gt; estoque",IF(AND(U46&lt;&gt;"",U46&lt;'Cenário Base'!$D$8*'Cenário Base'!$D$74),"E0 abaixo do gatilho",IF(AND(V46&lt;&gt;"",V46&gt;XLOOKUP(B46,$A$414:$A$418,$B$414:$B$418)),"Excedeu capacidade","Sem alerta"))))))</x:f>
      </x:c>
    </x:row>
    <x:row r="47">
      <x:c r="A47" s="43"/>
      <x:c r="B47" s="43"/>
      <x:c r="C47" s="43"/>
      <x:c r="D47" s="43"/>
      <x:c r="E47" s="43"/>
      <x:c r="F47" s="43"/>
      <x:c r="G47" s="43"/>
      <x:c r="H47" s="120"/>
      <x:c r="I47" s="120"/>
      <x:c r="J47" s="120"/>
      <x:c r="K47" s="120"/>
      <x:c r="L47" s="120"/>
      <x:c r="M47" s="120"/>
      <x:c r="N47" s="120"/>
      <x:c r="O47" s="120"/>
      <x:c r="P47" s="120"/>
      <x:c r="Q47" s="120"/>
      <x:c r="R47" s="120"/>
      <x:c r="S47" s="120"/>
      <x:c r="T47" s="120"/>
      <x:c r="U47" s="48"/>
      <x:c r="V47" s="48"/>
      <x:c r="W47" s="48"/>
      <x:c r="X47" s="48"/>
      <x:c r="Y47" s="48"/>
      <x:c r="Z47" s="49"/>
      <x:c r="AA47" s="43"/>
      <x:c r="AB47" s="43"/>
      <x:c r="AC47" s="43"/>
      <x:c r="AD47" s="43"/>
      <x:c r="AE47" s="43"/>
      <x:c r="AF47" s="87" t="str">
        <x:f>IF(OR(H47="",I47="",I47&lt;H47),"",(I47-H47)*1440)</x:f>
      </x:c>
      <x:c r="AG47" s="87" t="str">
        <x:f>IF(OR(I47="",M47="",M47&lt;I47),"",(M47-I47)*1440)</x:f>
      </x:c>
      <x:c r="AH47" s="87" t="str">
        <x:f>IF(OR(M47="",N47="",N47&lt;M47),"",(N47-M47)*1440)</x:f>
      </x:c>
      <x:c r="AI47" s="87" t="str">
        <x:f>IF(OR(H47="",N47="",N47&lt;H47),"",(N47-H47)*1440)</x:f>
      </x:c>
      <x:c r="AJ47" s="87" t="str">
        <x:f>IF(OR(I47="",N47="",N47&lt;I47),"",(N47-I47)*1440)</x:f>
      </x:c>
      <x:c r="AK47" s="87" t="str">
        <x:f>IF(OR(N47="",O47="",O47&lt;N47),"",(O47-N47)*1440)</x:f>
      </x:c>
      <x:c r="AL47" s="87" t="str">
        <x:f>IF(OR(O47="",P47="",P47&lt;O47),"",(P47-O47)*1440)</x:f>
      </x:c>
      <x:c r="AM47" s="87" t="str">
        <x:f>IF(OR(Q47="",R47="",R47&lt;Q47),"",(R47-Q47)*1440)</x:f>
      </x:c>
      <x:c r="AN47" s="87" t="str">
        <x:f>IF(OR(S47="",T47="",T47&lt;S47),"",(T47-S47)*1440)</x:f>
      </x:c>
      <x:c r="AO47" s="87" t="str">
        <x:f>IF(OR(U47="",V47=""),"",V47-U47)</x:f>
      </x:c>
      <x:c r="AP47" s="63" t="str">
        <x:f>IF(A47="","",IF(OR(B47="",H47="",N47=""),"Incompleto",IF(N47&lt;H47,"Revisar",IF(OR(G47="",G47="Não observado"),"Qualidade E0 ausente",IF(OR(G47="Sensor",G47="Marcação física"),"Válido — E0 observado",IF(G47="Cálculo","Válido — E0 calculado","Válido — E0 estimado"))))))</x:f>
      </x:c>
      <x:c r="AQ47" s="63" t="str">
        <x:f>IF(A47="","",IF(COUNTA(H47:T47)&lt;13,"Incompleta",IF(OR(I47&lt;H47,J47&lt;I47,K47&lt;J47,L47&lt;K47,M47&lt;L47,N47&lt;M47,O47&lt;N47,P47&lt;O47,Q47&lt;P47,R47&lt;Q47,S47&lt;R47,T47&lt;S47),"Revisar","Completa")))</x:f>
      </x:c>
      <x:c r="AR47" s="87" t="str">
        <x:f>IF(OR(V47="",W47="",Y47=""),"",Y47-(V47-W47))</x:f>
      </x:c>
      <x:c r="AS47" s="63" t="str">
        <x:f>IF(A47="","",IF(AND(E47&lt;&gt;"",F47&lt;&gt;"",G47&lt;&gt;"",Z47&lt;&gt;"",AA47&lt;&gt;"",AB47&lt;&gt;"",AC47&lt;&gt;""),"Completa","Incompleta"))</x:f>
      </x:c>
      <x:c r="AT47" s="63" t="str">
        <x:f>IF(A47="","",IF(COUNTIF($A$11:$A$410,A47)&gt;1,"ID duplicado",IF(AND(AR47&lt;&gt;"",ABS(AR47)&gt;0.01),"Revisar balanço",IF(AND(W47&lt;&gt;"",V47&lt;&gt;"",W47&gt;V47),"Retirada &gt; estoque",IF(AND(U47&lt;&gt;"",U47&lt;'Cenário Base'!$D$8*'Cenário Base'!$D$74),"E0 abaixo do gatilho",IF(AND(V47&lt;&gt;"",V47&gt;XLOOKUP(B47,$A$414:$A$418,$B$414:$B$418)),"Excedeu capacidade","Sem alerta"))))))</x:f>
      </x:c>
    </x:row>
    <x:row r="48">
      <x:c r="A48" s="43"/>
      <x:c r="B48" s="43"/>
      <x:c r="C48" s="43"/>
      <x:c r="D48" s="43"/>
      <x:c r="E48" s="43"/>
      <x:c r="F48" s="43"/>
      <x:c r="G48" s="43"/>
      <x:c r="H48" s="120"/>
      <x:c r="I48" s="120"/>
      <x:c r="J48" s="120"/>
      <x:c r="K48" s="120"/>
      <x:c r="L48" s="120"/>
      <x:c r="M48" s="120"/>
      <x:c r="N48" s="120"/>
      <x:c r="O48" s="120"/>
      <x:c r="P48" s="120"/>
      <x:c r="Q48" s="120"/>
      <x:c r="R48" s="120"/>
      <x:c r="S48" s="120"/>
      <x:c r="T48" s="120"/>
      <x:c r="U48" s="48"/>
      <x:c r="V48" s="48"/>
      <x:c r="W48" s="48"/>
      <x:c r="X48" s="48"/>
      <x:c r="Y48" s="48"/>
      <x:c r="Z48" s="49"/>
      <x:c r="AA48" s="43"/>
      <x:c r="AB48" s="43"/>
      <x:c r="AC48" s="43"/>
      <x:c r="AD48" s="43"/>
      <x:c r="AE48" s="43"/>
      <x:c r="AF48" s="87" t="str">
        <x:f>IF(OR(H48="",I48="",I48&lt;H48),"",(I48-H48)*1440)</x:f>
      </x:c>
      <x:c r="AG48" s="87" t="str">
        <x:f>IF(OR(I48="",M48="",M48&lt;I48),"",(M48-I48)*1440)</x:f>
      </x:c>
      <x:c r="AH48" s="87" t="str">
        <x:f>IF(OR(M48="",N48="",N48&lt;M48),"",(N48-M48)*1440)</x:f>
      </x:c>
      <x:c r="AI48" s="87" t="str">
        <x:f>IF(OR(H48="",N48="",N48&lt;H48),"",(N48-H48)*1440)</x:f>
      </x:c>
      <x:c r="AJ48" s="87" t="str">
        <x:f>IF(OR(I48="",N48="",N48&lt;I48),"",(N48-I48)*1440)</x:f>
      </x:c>
      <x:c r="AK48" s="87" t="str">
        <x:f>IF(OR(N48="",O48="",O48&lt;N48),"",(O48-N48)*1440)</x:f>
      </x:c>
      <x:c r="AL48" s="87" t="str">
        <x:f>IF(OR(O48="",P48="",P48&lt;O48),"",(P48-O48)*1440)</x:f>
      </x:c>
      <x:c r="AM48" s="87" t="str">
        <x:f>IF(OR(Q48="",R48="",R48&lt;Q48),"",(R48-Q48)*1440)</x:f>
      </x:c>
      <x:c r="AN48" s="87" t="str">
        <x:f>IF(OR(S48="",T48="",T48&lt;S48),"",(T48-S48)*1440)</x:f>
      </x:c>
      <x:c r="AO48" s="87" t="str">
        <x:f>IF(OR(U48="",V48=""),"",V48-U48)</x:f>
      </x:c>
      <x:c r="AP48" s="63" t="str">
        <x:f>IF(A48="","",IF(OR(B48="",H48="",N48=""),"Incompleto",IF(N48&lt;H48,"Revisar",IF(OR(G48="",G48="Não observado"),"Qualidade E0 ausente",IF(OR(G48="Sensor",G48="Marcação física"),"Válido — E0 observado",IF(G48="Cálculo","Válido — E0 calculado","Válido — E0 estimado"))))))</x:f>
      </x:c>
      <x:c r="AQ48" s="63" t="str">
        <x:f>IF(A48="","",IF(COUNTA(H48:T48)&lt;13,"Incompleta",IF(OR(I48&lt;H48,J48&lt;I48,K48&lt;J48,L48&lt;K48,M48&lt;L48,N48&lt;M48,O48&lt;N48,P48&lt;O48,Q48&lt;P48,R48&lt;Q48,S48&lt;R48,T48&lt;S48),"Revisar","Completa")))</x:f>
      </x:c>
      <x:c r="AR48" s="87" t="str">
        <x:f>IF(OR(V48="",W48="",Y48=""),"",Y48-(V48-W48))</x:f>
      </x:c>
      <x:c r="AS48" s="63" t="str">
        <x:f>IF(A48="","",IF(AND(E48&lt;&gt;"",F48&lt;&gt;"",G48&lt;&gt;"",Z48&lt;&gt;"",AA48&lt;&gt;"",AB48&lt;&gt;"",AC48&lt;&gt;""),"Completa","Incompleta"))</x:f>
      </x:c>
      <x:c r="AT48" s="63" t="str">
        <x:f>IF(A48="","",IF(COUNTIF($A$11:$A$410,A48)&gt;1,"ID duplicado",IF(AND(AR48&lt;&gt;"",ABS(AR48)&gt;0.01),"Revisar balanço",IF(AND(W48&lt;&gt;"",V48&lt;&gt;"",W48&gt;V48),"Retirada &gt; estoque",IF(AND(U48&lt;&gt;"",U48&lt;'Cenário Base'!$D$8*'Cenário Base'!$D$74),"E0 abaixo do gatilho",IF(AND(V48&lt;&gt;"",V48&gt;XLOOKUP(B48,$A$414:$A$418,$B$414:$B$418)),"Excedeu capacidade","Sem alerta"))))))</x:f>
      </x:c>
    </x:row>
    <x:row r="49">
      <x:c r="A49" s="43"/>
      <x:c r="B49" s="43"/>
      <x:c r="C49" s="43"/>
      <x:c r="D49" s="43"/>
      <x:c r="E49" s="43"/>
      <x:c r="F49" s="43"/>
      <x:c r="G49" s="43"/>
      <x:c r="H49" s="120"/>
      <x:c r="I49" s="120"/>
      <x:c r="J49" s="120"/>
      <x:c r="K49" s="120"/>
      <x:c r="L49" s="120"/>
      <x:c r="M49" s="120"/>
      <x:c r="N49" s="120"/>
      <x:c r="O49" s="120"/>
      <x:c r="P49" s="120"/>
      <x:c r="Q49" s="120"/>
      <x:c r="R49" s="120"/>
      <x:c r="S49" s="120"/>
      <x:c r="T49" s="120"/>
      <x:c r="U49" s="48"/>
      <x:c r="V49" s="48"/>
      <x:c r="W49" s="48"/>
      <x:c r="X49" s="48"/>
      <x:c r="Y49" s="48"/>
      <x:c r="Z49" s="49"/>
      <x:c r="AA49" s="43"/>
      <x:c r="AB49" s="43"/>
      <x:c r="AC49" s="43"/>
      <x:c r="AD49" s="43"/>
      <x:c r="AE49" s="43"/>
      <x:c r="AF49" s="87" t="str">
        <x:f>IF(OR(H49="",I49="",I49&lt;H49),"",(I49-H49)*1440)</x:f>
      </x:c>
      <x:c r="AG49" s="87" t="str">
        <x:f>IF(OR(I49="",M49="",M49&lt;I49),"",(M49-I49)*1440)</x:f>
      </x:c>
      <x:c r="AH49" s="87" t="str">
        <x:f>IF(OR(M49="",N49="",N49&lt;M49),"",(N49-M49)*1440)</x:f>
      </x:c>
      <x:c r="AI49" s="87" t="str">
        <x:f>IF(OR(H49="",N49="",N49&lt;H49),"",(N49-H49)*1440)</x:f>
      </x:c>
      <x:c r="AJ49" s="87" t="str">
        <x:f>IF(OR(I49="",N49="",N49&lt;I49),"",(N49-I49)*1440)</x:f>
      </x:c>
      <x:c r="AK49" s="87" t="str">
        <x:f>IF(OR(N49="",O49="",O49&lt;N49),"",(O49-N49)*1440)</x:f>
      </x:c>
      <x:c r="AL49" s="87" t="str">
        <x:f>IF(OR(O49="",P49="",P49&lt;O49),"",(P49-O49)*1440)</x:f>
      </x:c>
      <x:c r="AM49" s="87" t="str">
        <x:f>IF(OR(Q49="",R49="",R49&lt;Q49),"",(R49-Q49)*1440)</x:f>
      </x:c>
      <x:c r="AN49" s="87" t="str">
        <x:f>IF(OR(S49="",T49="",T49&lt;S49),"",(T49-S49)*1440)</x:f>
      </x:c>
      <x:c r="AO49" s="87" t="str">
        <x:f>IF(OR(U49="",V49=""),"",V49-U49)</x:f>
      </x:c>
      <x:c r="AP49" s="63" t="str">
        <x:f>IF(A49="","",IF(OR(B49="",H49="",N49=""),"Incompleto",IF(N49&lt;H49,"Revisar",IF(OR(G49="",G49="Não observado"),"Qualidade E0 ausente",IF(OR(G49="Sensor",G49="Marcação física"),"Válido — E0 observado",IF(G49="Cálculo","Válido — E0 calculado","Válido — E0 estimado"))))))</x:f>
      </x:c>
      <x:c r="AQ49" s="63" t="str">
        <x:f>IF(A49="","",IF(COUNTA(H49:T49)&lt;13,"Incompleta",IF(OR(I49&lt;H49,J49&lt;I49,K49&lt;J49,L49&lt;K49,M49&lt;L49,N49&lt;M49,O49&lt;N49,P49&lt;O49,Q49&lt;P49,R49&lt;Q49,S49&lt;R49,T49&lt;S49),"Revisar","Completa")))</x:f>
      </x:c>
      <x:c r="AR49" s="87" t="str">
        <x:f>IF(OR(V49="",W49="",Y49=""),"",Y49-(V49-W49))</x:f>
      </x:c>
      <x:c r="AS49" s="63" t="str">
        <x:f>IF(A49="","",IF(AND(E49&lt;&gt;"",F49&lt;&gt;"",G49&lt;&gt;"",Z49&lt;&gt;"",AA49&lt;&gt;"",AB49&lt;&gt;"",AC49&lt;&gt;""),"Completa","Incompleta"))</x:f>
      </x:c>
      <x:c r="AT49" s="63" t="str">
        <x:f>IF(A49="","",IF(COUNTIF($A$11:$A$410,A49)&gt;1,"ID duplicado",IF(AND(AR49&lt;&gt;"",ABS(AR49)&gt;0.01),"Revisar balanço",IF(AND(W49&lt;&gt;"",V49&lt;&gt;"",W49&gt;V49),"Retirada &gt; estoque",IF(AND(U49&lt;&gt;"",U49&lt;'Cenário Base'!$D$8*'Cenário Base'!$D$74),"E0 abaixo do gatilho",IF(AND(V49&lt;&gt;"",V49&gt;XLOOKUP(B49,$A$414:$A$418,$B$414:$B$418)),"Excedeu capacidade","Sem alerta"))))))</x:f>
      </x:c>
    </x:row>
    <x:row r="50">
      <x:c r="A50" s="43"/>
      <x:c r="B50" s="43"/>
      <x:c r="C50" s="43"/>
      <x:c r="D50" s="43"/>
      <x:c r="E50" s="43"/>
      <x:c r="F50" s="43"/>
      <x:c r="G50" s="43"/>
      <x:c r="H50" s="120"/>
      <x:c r="I50" s="120"/>
      <x:c r="J50" s="120"/>
      <x:c r="K50" s="120"/>
      <x:c r="L50" s="120"/>
      <x:c r="M50" s="120"/>
      <x:c r="N50" s="120"/>
      <x:c r="O50" s="120"/>
      <x:c r="P50" s="120"/>
      <x:c r="Q50" s="120"/>
      <x:c r="R50" s="120"/>
      <x:c r="S50" s="120"/>
      <x:c r="T50" s="120"/>
      <x:c r="U50" s="48"/>
      <x:c r="V50" s="48"/>
      <x:c r="W50" s="48"/>
      <x:c r="X50" s="48"/>
      <x:c r="Y50" s="48"/>
      <x:c r="Z50" s="49"/>
      <x:c r="AA50" s="43"/>
      <x:c r="AB50" s="43"/>
      <x:c r="AC50" s="43"/>
      <x:c r="AD50" s="43"/>
      <x:c r="AE50" s="43"/>
      <x:c r="AF50" s="87" t="str">
        <x:f>IF(OR(H50="",I50="",I50&lt;H50),"",(I50-H50)*1440)</x:f>
      </x:c>
      <x:c r="AG50" s="87" t="str">
        <x:f>IF(OR(I50="",M50="",M50&lt;I50),"",(M50-I50)*1440)</x:f>
      </x:c>
      <x:c r="AH50" s="87" t="str">
        <x:f>IF(OR(M50="",N50="",N50&lt;M50),"",(N50-M50)*1440)</x:f>
      </x:c>
      <x:c r="AI50" s="87" t="str">
        <x:f>IF(OR(H50="",N50="",N50&lt;H50),"",(N50-H50)*1440)</x:f>
      </x:c>
      <x:c r="AJ50" s="87" t="str">
        <x:f>IF(OR(I50="",N50="",N50&lt;I50),"",(N50-I50)*1440)</x:f>
      </x:c>
      <x:c r="AK50" s="87" t="str">
        <x:f>IF(OR(N50="",O50="",O50&lt;N50),"",(O50-N50)*1440)</x:f>
      </x:c>
      <x:c r="AL50" s="87" t="str">
        <x:f>IF(OR(O50="",P50="",P50&lt;O50),"",(P50-O50)*1440)</x:f>
      </x:c>
      <x:c r="AM50" s="87" t="str">
        <x:f>IF(OR(Q50="",R50="",R50&lt;Q50),"",(R50-Q50)*1440)</x:f>
      </x:c>
      <x:c r="AN50" s="87" t="str">
        <x:f>IF(OR(S50="",T50="",T50&lt;S50),"",(T50-S50)*1440)</x:f>
      </x:c>
      <x:c r="AO50" s="87" t="str">
        <x:f>IF(OR(U50="",V50=""),"",V50-U50)</x:f>
      </x:c>
      <x:c r="AP50" s="63" t="str">
        <x:f>IF(A50="","",IF(OR(B50="",H50="",N50=""),"Incompleto",IF(N50&lt;H50,"Revisar",IF(OR(G50="",G50="Não observado"),"Qualidade E0 ausente",IF(OR(G50="Sensor",G50="Marcação física"),"Válido — E0 observado",IF(G50="Cálculo","Válido — E0 calculado","Válido — E0 estimado"))))))</x:f>
      </x:c>
      <x:c r="AQ50" s="63" t="str">
        <x:f>IF(A50="","",IF(COUNTA(H50:T50)&lt;13,"Incompleta",IF(OR(I50&lt;H50,J50&lt;I50,K50&lt;J50,L50&lt;K50,M50&lt;L50,N50&lt;M50,O50&lt;N50,P50&lt;O50,Q50&lt;P50,R50&lt;Q50,S50&lt;R50,T50&lt;S50),"Revisar","Completa")))</x:f>
      </x:c>
      <x:c r="AR50" s="87" t="str">
        <x:f>IF(OR(V50="",W50="",Y50=""),"",Y50-(V50-W50))</x:f>
      </x:c>
      <x:c r="AS50" s="63" t="str">
        <x:f>IF(A50="","",IF(AND(E50&lt;&gt;"",F50&lt;&gt;"",G50&lt;&gt;"",Z50&lt;&gt;"",AA50&lt;&gt;"",AB50&lt;&gt;"",AC50&lt;&gt;""),"Completa","Incompleta"))</x:f>
      </x:c>
      <x:c r="AT50" s="63" t="str">
        <x:f>IF(A50="","",IF(COUNTIF($A$11:$A$410,A50)&gt;1,"ID duplicado",IF(AND(AR50&lt;&gt;"",ABS(AR50)&gt;0.01),"Revisar balanço",IF(AND(W50&lt;&gt;"",V50&lt;&gt;"",W50&gt;V50),"Retirada &gt; estoque",IF(AND(U50&lt;&gt;"",U50&lt;'Cenário Base'!$D$8*'Cenário Base'!$D$74),"E0 abaixo do gatilho",IF(AND(V50&lt;&gt;"",V50&gt;XLOOKUP(B50,$A$414:$A$418,$B$414:$B$418)),"Excedeu capacidade","Sem alerta"))))))</x:f>
      </x:c>
    </x:row>
    <x:row r="51">
      <x:c r="A51" s="43"/>
      <x:c r="B51" s="43"/>
      <x:c r="C51" s="43"/>
      <x:c r="D51" s="43"/>
      <x:c r="E51" s="43"/>
      <x:c r="F51" s="43"/>
      <x:c r="G51" s="43"/>
      <x:c r="H51" s="120"/>
      <x:c r="I51" s="120"/>
      <x:c r="J51" s="120"/>
      <x:c r="K51" s="120"/>
      <x:c r="L51" s="120"/>
      <x:c r="M51" s="120"/>
      <x:c r="N51" s="120"/>
      <x:c r="O51" s="120"/>
      <x:c r="P51" s="120"/>
      <x:c r="Q51" s="120"/>
      <x:c r="R51" s="120"/>
      <x:c r="S51" s="120"/>
      <x:c r="T51" s="120"/>
      <x:c r="U51" s="48"/>
      <x:c r="V51" s="48"/>
      <x:c r="W51" s="48"/>
      <x:c r="X51" s="48"/>
      <x:c r="Y51" s="48"/>
      <x:c r="Z51" s="49"/>
      <x:c r="AA51" s="43"/>
      <x:c r="AB51" s="43"/>
      <x:c r="AC51" s="43"/>
      <x:c r="AD51" s="43"/>
      <x:c r="AE51" s="43"/>
      <x:c r="AF51" s="87" t="str">
        <x:f>IF(OR(H51="",I51="",I51&lt;H51),"",(I51-H51)*1440)</x:f>
      </x:c>
      <x:c r="AG51" s="87" t="str">
        <x:f>IF(OR(I51="",M51="",M51&lt;I51),"",(M51-I51)*1440)</x:f>
      </x:c>
      <x:c r="AH51" s="87" t="str">
        <x:f>IF(OR(M51="",N51="",N51&lt;M51),"",(N51-M51)*1440)</x:f>
      </x:c>
      <x:c r="AI51" s="87" t="str">
        <x:f>IF(OR(H51="",N51="",N51&lt;H51),"",(N51-H51)*1440)</x:f>
      </x:c>
      <x:c r="AJ51" s="87" t="str">
        <x:f>IF(OR(I51="",N51="",N51&lt;I51),"",(N51-I51)*1440)</x:f>
      </x:c>
      <x:c r="AK51" s="87" t="str">
        <x:f>IF(OR(N51="",O51="",O51&lt;N51),"",(O51-N51)*1440)</x:f>
      </x:c>
      <x:c r="AL51" s="87" t="str">
        <x:f>IF(OR(O51="",P51="",P51&lt;O51),"",(P51-O51)*1440)</x:f>
      </x:c>
      <x:c r="AM51" s="87" t="str">
        <x:f>IF(OR(Q51="",R51="",R51&lt;Q51),"",(R51-Q51)*1440)</x:f>
      </x:c>
      <x:c r="AN51" s="87" t="str">
        <x:f>IF(OR(S51="",T51="",T51&lt;S51),"",(T51-S51)*1440)</x:f>
      </x:c>
      <x:c r="AO51" s="87" t="str">
        <x:f>IF(OR(U51="",V51=""),"",V51-U51)</x:f>
      </x:c>
      <x:c r="AP51" s="63" t="str">
        <x:f>IF(A51="","",IF(OR(B51="",H51="",N51=""),"Incompleto",IF(N51&lt;H51,"Revisar",IF(OR(G51="",G51="Não observado"),"Qualidade E0 ausente",IF(OR(G51="Sensor",G51="Marcação física"),"Válido — E0 observado",IF(G51="Cálculo","Válido — E0 calculado","Válido — E0 estimado"))))))</x:f>
      </x:c>
      <x:c r="AQ51" s="63" t="str">
        <x:f>IF(A51="","",IF(COUNTA(H51:T51)&lt;13,"Incompleta",IF(OR(I51&lt;H51,J51&lt;I51,K51&lt;J51,L51&lt;K51,M51&lt;L51,N51&lt;M51,O51&lt;N51,P51&lt;O51,Q51&lt;P51,R51&lt;Q51,S51&lt;R51,T51&lt;S51),"Revisar","Completa")))</x:f>
      </x:c>
      <x:c r="AR51" s="87" t="str">
        <x:f>IF(OR(V51="",W51="",Y51=""),"",Y51-(V51-W51))</x:f>
      </x:c>
      <x:c r="AS51" s="63" t="str">
        <x:f>IF(A51="","",IF(AND(E51&lt;&gt;"",F51&lt;&gt;"",G51&lt;&gt;"",Z51&lt;&gt;"",AA51&lt;&gt;"",AB51&lt;&gt;"",AC51&lt;&gt;""),"Completa","Incompleta"))</x:f>
      </x:c>
      <x:c r="AT51" s="63" t="str">
        <x:f>IF(A51="","",IF(COUNTIF($A$11:$A$410,A51)&gt;1,"ID duplicado",IF(AND(AR51&lt;&gt;"",ABS(AR51)&gt;0.01),"Revisar balanço",IF(AND(W51&lt;&gt;"",V51&lt;&gt;"",W51&gt;V51),"Retirada &gt; estoque",IF(AND(U51&lt;&gt;"",U51&lt;'Cenário Base'!$D$8*'Cenário Base'!$D$74),"E0 abaixo do gatilho",IF(AND(V51&lt;&gt;"",V51&gt;XLOOKUP(B51,$A$414:$A$418,$B$414:$B$418)),"Excedeu capacidade","Sem alerta"))))))</x:f>
      </x:c>
    </x:row>
    <x:row r="52">
      <x:c r="A52" s="43"/>
      <x:c r="B52" s="43"/>
      <x:c r="C52" s="43"/>
      <x:c r="D52" s="43"/>
      <x:c r="E52" s="43"/>
      <x:c r="F52" s="43"/>
      <x:c r="G52" s="43"/>
      <x:c r="H52" s="120"/>
      <x:c r="I52" s="120"/>
      <x:c r="J52" s="120"/>
      <x:c r="K52" s="120"/>
      <x:c r="L52" s="120"/>
      <x:c r="M52" s="120"/>
      <x:c r="N52" s="120"/>
      <x:c r="O52" s="120"/>
      <x:c r="P52" s="120"/>
      <x:c r="Q52" s="120"/>
      <x:c r="R52" s="120"/>
      <x:c r="S52" s="120"/>
      <x:c r="T52" s="120"/>
      <x:c r="U52" s="48"/>
      <x:c r="V52" s="48"/>
      <x:c r="W52" s="48"/>
      <x:c r="X52" s="48"/>
      <x:c r="Y52" s="48"/>
      <x:c r="Z52" s="49"/>
      <x:c r="AA52" s="43"/>
      <x:c r="AB52" s="43"/>
      <x:c r="AC52" s="43"/>
      <x:c r="AD52" s="43"/>
      <x:c r="AE52" s="43"/>
      <x:c r="AF52" s="87" t="str">
        <x:f>IF(OR(H52="",I52="",I52&lt;H52),"",(I52-H52)*1440)</x:f>
      </x:c>
      <x:c r="AG52" s="87" t="str">
        <x:f>IF(OR(I52="",M52="",M52&lt;I52),"",(M52-I52)*1440)</x:f>
      </x:c>
      <x:c r="AH52" s="87" t="str">
        <x:f>IF(OR(M52="",N52="",N52&lt;M52),"",(N52-M52)*1440)</x:f>
      </x:c>
      <x:c r="AI52" s="87" t="str">
        <x:f>IF(OR(H52="",N52="",N52&lt;H52),"",(N52-H52)*1440)</x:f>
      </x:c>
      <x:c r="AJ52" s="87" t="str">
        <x:f>IF(OR(I52="",N52="",N52&lt;I52),"",(N52-I52)*1440)</x:f>
      </x:c>
      <x:c r="AK52" s="87" t="str">
        <x:f>IF(OR(N52="",O52="",O52&lt;N52),"",(O52-N52)*1440)</x:f>
      </x:c>
      <x:c r="AL52" s="87" t="str">
        <x:f>IF(OR(O52="",P52="",P52&lt;O52),"",(P52-O52)*1440)</x:f>
      </x:c>
      <x:c r="AM52" s="87" t="str">
        <x:f>IF(OR(Q52="",R52="",R52&lt;Q52),"",(R52-Q52)*1440)</x:f>
      </x:c>
      <x:c r="AN52" s="87" t="str">
        <x:f>IF(OR(S52="",T52="",T52&lt;S52),"",(T52-S52)*1440)</x:f>
      </x:c>
      <x:c r="AO52" s="87" t="str">
        <x:f>IF(OR(U52="",V52=""),"",V52-U52)</x:f>
      </x:c>
      <x:c r="AP52" s="63" t="str">
        <x:f>IF(A52="","",IF(OR(B52="",H52="",N52=""),"Incompleto",IF(N52&lt;H52,"Revisar",IF(OR(G52="",G52="Não observado"),"Qualidade E0 ausente",IF(OR(G52="Sensor",G52="Marcação física"),"Válido — E0 observado",IF(G52="Cálculo","Válido — E0 calculado","Válido — E0 estimado"))))))</x:f>
      </x:c>
      <x:c r="AQ52" s="63" t="str">
        <x:f>IF(A52="","",IF(COUNTA(H52:T52)&lt;13,"Incompleta",IF(OR(I52&lt;H52,J52&lt;I52,K52&lt;J52,L52&lt;K52,M52&lt;L52,N52&lt;M52,O52&lt;N52,P52&lt;O52,Q52&lt;P52,R52&lt;Q52,S52&lt;R52,T52&lt;S52),"Revisar","Completa")))</x:f>
      </x:c>
      <x:c r="AR52" s="87" t="str">
        <x:f>IF(OR(V52="",W52="",Y52=""),"",Y52-(V52-W52))</x:f>
      </x:c>
      <x:c r="AS52" s="63" t="str">
        <x:f>IF(A52="","",IF(AND(E52&lt;&gt;"",F52&lt;&gt;"",G52&lt;&gt;"",Z52&lt;&gt;"",AA52&lt;&gt;"",AB52&lt;&gt;"",AC52&lt;&gt;""),"Completa","Incompleta"))</x:f>
      </x:c>
      <x:c r="AT52" s="63" t="str">
        <x:f>IF(A52="","",IF(COUNTIF($A$11:$A$410,A52)&gt;1,"ID duplicado",IF(AND(AR52&lt;&gt;"",ABS(AR52)&gt;0.01),"Revisar balanço",IF(AND(W52&lt;&gt;"",V52&lt;&gt;"",W52&gt;V52),"Retirada &gt; estoque",IF(AND(U52&lt;&gt;"",U52&lt;'Cenário Base'!$D$8*'Cenário Base'!$D$74),"E0 abaixo do gatilho",IF(AND(V52&lt;&gt;"",V52&gt;XLOOKUP(B52,$A$414:$A$418,$B$414:$B$418)),"Excedeu capacidade","Sem alerta"))))))</x:f>
      </x:c>
    </x:row>
    <x:row r="53">
      <x:c r="A53" s="43"/>
      <x:c r="B53" s="43"/>
      <x:c r="C53" s="43"/>
      <x:c r="D53" s="43"/>
      <x:c r="E53" s="43"/>
      <x:c r="F53" s="43"/>
      <x:c r="G53" s="43"/>
      <x:c r="H53" s="120"/>
      <x:c r="I53" s="120"/>
      <x:c r="J53" s="120"/>
      <x:c r="K53" s="120"/>
      <x:c r="L53" s="120"/>
      <x:c r="M53" s="120"/>
      <x:c r="N53" s="120"/>
      <x:c r="O53" s="120"/>
      <x:c r="P53" s="120"/>
      <x:c r="Q53" s="120"/>
      <x:c r="R53" s="120"/>
      <x:c r="S53" s="120"/>
      <x:c r="T53" s="120"/>
      <x:c r="U53" s="48"/>
      <x:c r="V53" s="48"/>
      <x:c r="W53" s="48"/>
      <x:c r="X53" s="48"/>
      <x:c r="Y53" s="48"/>
      <x:c r="Z53" s="49"/>
      <x:c r="AA53" s="43"/>
      <x:c r="AB53" s="43"/>
      <x:c r="AC53" s="43"/>
      <x:c r="AD53" s="43"/>
      <x:c r="AE53" s="43"/>
      <x:c r="AF53" s="87" t="str">
        <x:f>IF(OR(H53="",I53="",I53&lt;H53),"",(I53-H53)*1440)</x:f>
      </x:c>
      <x:c r="AG53" s="87" t="str">
        <x:f>IF(OR(I53="",M53="",M53&lt;I53),"",(M53-I53)*1440)</x:f>
      </x:c>
      <x:c r="AH53" s="87" t="str">
        <x:f>IF(OR(M53="",N53="",N53&lt;M53),"",(N53-M53)*1440)</x:f>
      </x:c>
      <x:c r="AI53" s="87" t="str">
        <x:f>IF(OR(H53="",N53="",N53&lt;H53),"",(N53-H53)*1440)</x:f>
      </x:c>
      <x:c r="AJ53" s="87" t="str">
        <x:f>IF(OR(I53="",N53="",N53&lt;I53),"",(N53-I53)*1440)</x:f>
      </x:c>
      <x:c r="AK53" s="87" t="str">
        <x:f>IF(OR(N53="",O53="",O53&lt;N53),"",(O53-N53)*1440)</x:f>
      </x:c>
      <x:c r="AL53" s="87" t="str">
        <x:f>IF(OR(O53="",P53="",P53&lt;O53),"",(P53-O53)*1440)</x:f>
      </x:c>
      <x:c r="AM53" s="87" t="str">
        <x:f>IF(OR(Q53="",R53="",R53&lt;Q53),"",(R53-Q53)*1440)</x:f>
      </x:c>
      <x:c r="AN53" s="87" t="str">
        <x:f>IF(OR(S53="",T53="",T53&lt;S53),"",(T53-S53)*1440)</x:f>
      </x:c>
      <x:c r="AO53" s="87" t="str">
        <x:f>IF(OR(U53="",V53=""),"",V53-U53)</x:f>
      </x:c>
      <x:c r="AP53" s="63" t="str">
        <x:f>IF(A53="","",IF(OR(B53="",H53="",N53=""),"Incompleto",IF(N53&lt;H53,"Revisar",IF(OR(G53="",G53="Não observado"),"Qualidade E0 ausente",IF(OR(G53="Sensor",G53="Marcação física"),"Válido — E0 observado",IF(G53="Cálculo","Válido — E0 calculado","Válido — E0 estimado"))))))</x:f>
      </x:c>
      <x:c r="AQ53" s="63" t="str">
        <x:f>IF(A53="","",IF(COUNTA(H53:T53)&lt;13,"Incompleta",IF(OR(I53&lt;H53,J53&lt;I53,K53&lt;J53,L53&lt;K53,M53&lt;L53,N53&lt;M53,O53&lt;N53,P53&lt;O53,Q53&lt;P53,R53&lt;Q53,S53&lt;R53,T53&lt;S53),"Revisar","Completa")))</x:f>
      </x:c>
      <x:c r="AR53" s="87" t="str">
        <x:f>IF(OR(V53="",W53="",Y53=""),"",Y53-(V53-W53))</x:f>
      </x:c>
      <x:c r="AS53" s="63" t="str">
        <x:f>IF(A53="","",IF(AND(E53&lt;&gt;"",F53&lt;&gt;"",G53&lt;&gt;"",Z53&lt;&gt;"",AA53&lt;&gt;"",AB53&lt;&gt;"",AC53&lt;&gt;""),"Completa","Incompleta"))</x:f>
      </x:c>
      <x:c r="AT53" s="63" t="str">
        <x:f>IF(A53="","",IF(COUNTIF($A$11:$A$410,A53)&gt;1,"ID duplicado",IF(AND(AR53&lt;&gt;"",ABS(AR53)&gt;0.01),"Revisar balanço",IF(AND(W53&lt;&gt;"",V53&lt;&gt;"",W53&gt;V53),"Retirada &gt; estoque",IF(AND(U53&lt;&gt;"",U53&lt;'Cenário Base'!$D$8*'Cenário Base'!$D$74),"E0 abaixo do gatilho",IF(AND(V53&lt;&gt;"",V53&gt;XLOOKUP(B53,$A$414:$A$418,$B$414:$B$418)),"Excedeu capacidade","Sem alerta"))))))</x:f>
      </x:c>
    </x:row>
    <x:row r="54">
      <x:c r="A54" s="43"/>
      <x:c r="B54" s="43"/>
      <x:c r="C54" s="43"/>
      <x:c r="D54" s="43"/>
      <x:c r="E54" s="43"/>
      <x:c r="F54" s="43"/>
      <x:c r="G54" s="43"/>
      <x:c r="H54" s="120"/>
      <x:c r="I54" s="120"/>
      <x:c r="J54" s="120"/>
      <x:c r="K54" s="120"/>
      <x:c r="L54" s="120"/>
      <x:c r="M54" s="120"/>
      <x:c r="N54" s="120"/>
      <x:c r="O54" s="120"/>
      <x:c r="P54" s="120"/>
      <x:c r="Q54" s="120"/>
      <x:c r="R54" s="120"/>
      <x:c r="S54" s="120"/>
      <x:c r="T54" s="120"/>
      <x:c r="U54" s="48"/>
      <x:c r="V54" s="48"/>
      <x:c r="W54" s="48"/>
      <x:c r="X54" s="48"/>
      <x:c r="Y54" s="48"/>
      <x:c r="Z54" s="49"/>
      <x:c r="AA54" s="43"/>
      <x:c r="AB54" s="43"/>
      <x:c r="AC54" s="43"/>
      <x:c r="AD54" s="43"/>
      <x:c r="AE54" s="43"/>
      <x:c r="AF54" s="87" t="str">
        <x:f>IF(OR(H54="",I54="",I54&lt;H54),"",(I54-H54)*1440)</x:f>
      </x:c>
      <x:c r="AG54" s="87" t="str">
        <x:f>IF(OR(I54="",M54="",M54&lt;I54),"",(M54-I54)*1440)</x:f>
      </x:c>
      <x:c r="AH54" s="87" t="str">
        <x:f>IF(OR(M54="",N54="",N54&lt;M54),"",(N54-M54)*1440)</x:f>
      </x:c>
      <x:c r="AI54" s="87" t="str">
        <x:f>IF(OR(H54="",N54="",N54&lt;H54),"",(N54-H54)*1440)</x:f>
      </x:c>
      <x:c r="AJ54" s="87" t="str">
        <x:f>IF(OR(I54="",N54="",N54&lt;I54),"",(N54-I54)*1440)</x:f>
      </x:c>
      <x:c r="AK54" s="87" t="str">
        <x:f>IF(OR(N54="",O54="",O54&lt;N54),"",(O54-N54)*1440)</x:f>
      </x:c>
      <x:c r="AL54" s="87" t="str">
        <x:f>IF(OR(O54="",P54="",P54&lt;O54),"",(P54-O54)*1440)</x:f>
      </x:c>
      <x:c r="AM54" s="87" t="str">
        <x:f>IF(OR(Q54="",R54="",R54&lt;Q54),"",(R54-Q54)*1440)</x:f>
      </x:c>
      <x:c r="AN54" s="87" t="str">
        <x:f>IF(OR(S54="",T54="",T54&lt;S54),"",(T54-S54)*1440)</x:f>
      </x:c>
      <x:c r="AO54" s="87" t="str">
        <x:f>IF(OR(U54="",V54=""),"",V54-U54)</x:f>
      </x:c>
      <x:c r="AP54" s="63" t="str">
        <x:f>IF(A54="","",IF(OR(B54="",H54="",N54=""),"Incompleto",IF(N54&lt;H54,"Revisar",IF(OR(G54="",G54="Não observado"),"Qualidade E0 ausente",IF(OR(G54="Sensor",G54="Marcação física"),"Válido — E0 observado",IF(G54="Cálculo","Válido — E0 calculado","Válido — E0 estimado"))))))</x:f>
      </x:c>
      <x:c r="AQ54" s="63" t="str">
        <x:f>IF(A54="","",IF(COUNTA(H54:T54)&lt;13,"Incompleta",IF(OR(I54&lt;H54,J54&lt;I54,K54&lt;J54,L54&lt;K54,M54&lt;L54,N54&lt;M54,O54&lt;N54,P54&lt;O54,Q54&lt;P54,R54&lt;Q54,S54&lt;R54,T54&lt;S54),"Revisar","Completa")))</x:f>
      </x:c>
      <x:c r="AR54" s="87" t="str">
        <x:f>IF(OR(V54="",W54="",Y54=""),"",Y54-(V54-W54))</x:f>
      </x:c>
      <x:c r="AS54" s="63" t="str">
        <x:f>IF(A54="","",IF(AND(E54&lt;&gt;"",F54&lt;&gt;"",G54&lt;&gt;"",Z54&lt;&gt;"",AA54&lt;&gt;"",AB54&lt;&gt;"",AC54&lt;&gt;""),"Completa","Incompleta"))</x:f>
      </x:c>
      <x:c r="AT54" s="63" t="str">
        <x:f>IF(A54="","",IF(COUNTIF($A$11:$A$410,A54)&gt;1,"ID duplicado",IF(AND(AR54&lt;&gt;"",ABS(AR54)&gt;0.01),"Revisar balanço",IF(AND(W54&lt;&gt;"",V54&lt;&gt;"",W54&gt;V54),"Retirada &gt; estoque",IF(AND(U54&lt;&gt;"",U54&lt;'Cenário Base'!$D$8*'Cenário Base'!$D$74),"E0 abaixo do gatilho",IF(AND(V54&lt;&gt;"",V54&gt;XLOOKUP(B54,$A$414:$A$418,$B$414:$B$418)),"Excedeu capacidade","Sem alerta"))))))</x:f>
      </x:c>
    </x:row>
    <x:row r="55">
      <x:c r="A55" s="43"/>
      <x:c r="B55" s="43"/>
      <x:c r="C55" s="43"/>
      <x:c r="D55" s="43"/>
      <x:c r="E55" s="43"/>
      <x:c r="F55" s="43"/>
      <x:c r="G55" s="43"/>
      <x:c r="H55" s="120"/>
      <x:c r="I55" s="120"/>
      <x:c r="J55" s="120"/>
      <x:c r="K55" s="120"/>
      <x:c r="L55" s="120"/>
      <x:c r="M55" s="120"/>
      <x:c r="N55" s="120"/>
      <x:c r="O55" s="120"/>
      <x:c r="P55" s="120"/>
      <x:c r="Q55" s="120"/>
      <x:c r="R55" s="120"/>
      <x:c r="S55" s="120"/>
      <x:c r="T55" s="120"/>
      <x:c r="U55" s="48"/>
      <x:c r="V55" s="48"/>
      <x:c r="W55" s="48"/>
      <x:c r="X55" s="48"/>
      <x:c r="Y55" s="48"/>
      <x:c r="Z55" s="49"/>
      <x:c r="AA55" s="43"/>
      <x:c r="AB55" s="43"/>
      <x:c r="AC55" s="43"/>
      <x:c r="AD55" s="43"/>
      <x:c r="AE55" s="43"/>
      <x:c r="AF55" s="87" t="str">
        <x:f>IF(OR(H55="",I55="",I55&lt;H55),"",(I55-H55)*1440)</x:f>
      </x:c>
      <x:c r="AG55" s="87" t="str">
        <x:f>IF(OR(I55="",M55="",M55&lt;I55),"",(M55-I55)*1440)</x:f>
      </x:c>
      <x:c r="AH55" s="87" t="str">
        <x:f>IF(OR(M55="",N55="",N55&lt;M55),"",(N55-M55)*1440)</x:f>
      </x:c>
      <x:c r="AI55" s="87" t="str">
        <x:f>IF(OR(H55="",N55="",N55&lt;H55),"",(N55-H55)*1440)</x:f>
      </x:c>
      <x:c r="AJ55" s="87" t="str">
        <x:f>IF(OR(I55="",N55="",N55&lt;I55),"",(N55-I55)*1440)</x:f>
      </x:c>
      <x:c r="AK55" s="87" t="str">
        <x:f>IF(OR(N55="",O55="",O55&lt;N55),"",(O55-N55)*1440)</x:f>
      </x:c>
      <x:c r="AL55" s="87" t="str">
        <x:f>IF(OR(O55="",P55="",P55&lt;O55),"",(P55-O55)*1440)</x:f>
      </x:c>
      <x:c r="AM55" s="87" t="str">
        <x:f>IF(OR(Q55="",R55="",R55&lt;Q55),"",(R55-Q55)*1440)</x:f>
      </x:c>
      <x:c r="AN55" s="87" t="str">
        <x:f>IF(OR(S55="",T55="",T55&lt;S55),"",(T55-S55)*1440)</x:f>
      </x:c>
      <x:c r="AO55" s="87" t="str">
        <x:f>IF(OR(U55="",V55=""),"",V55-U55)</x:f>
      </x:c>
      <x:c r="AP55" s="63" t="str">
        <x:f>IF(A55="","",IF(OR(B55="",H55="",N55=""),"Incompleto",IF(N55&lt;H55,"Revisar",IF(OR(G55="",G55="Não observado"),"Qualidade E0 ausente",IF(OR(G55="Sensor",G55="Marcação física"),"Válido — E0 observado",IF(G55="Cálculo","Válido — E0 calculado","Válido — E0 estimado"))))))</x:f>
      </x:c>
      <x:c r="AQ55" s="63" t="str">
        <x:f>IF(A55="","",IF(COUNTA(H55:T55)&lt;13,"Incompleta",IF(OR(I55&lt;H55,J55&lt;I55,K55&lt;J55,L55&lt;K55,M55&lt;L55,N55&lt;M55,O55&lt;N55,P55&lt;O55,Q55&lt;P55,R55&lt;Q55,S55&lt;R55,T55&lt;S55),"Revisar","Completa")))</x:f>
      </x:c>
      <x:c r="AR55" s="87" t="str">
        <x:f>IF(OR(V55="",W55="",Y55=""),"",Y55-(V55-W55))</x:f>
      </x:c>
      <x:c r="AS55" s="63" t="str">
        <x:f>IF(A55="","",IF(AND(E55&lt;&gt;"",F55&lt;&gt;"",G55&lt;&gt;"",Z55&lt;&gt;"",AA55&lt;&gt;"",AB55&lt;&gt;"",AC55&lt;&gt;""),"Completa","Incompleta"))</x:f>
      </x:c>
      <x:c r="AT55" s="63" t="str">
        <x:f>IF(A55="","",IF(COUNTIF($A$11:$A$410,A55)&gt;1,"ID duplicado",IF(AND(AR55&lt;&gt;"",ABS(AR55)&gt;0.01),"Revisar balanço",IF(AND(W55&lt;&gt;"",V55&lt;&gt;"",W55&gt;V55),"Retirada &gt; estoque",IF(AND(U55&lt;&gt;"",U55&lt;'Cenário Base'!$D$8*'Cenário Base'!$D$74),"E0 abaixo do gatilho",IF(AND(V55&lt;&gt;"",V55&gt;XLOOKUP(B55,$A$414:$A$418,$B$414:$B$418)),"Excedeu capacidade","Sem alerta"))))))</x:f>
      </x:c>
    </x:row>
    <x:row r="56">
      <x:c r="A56" s="43"/>
      <x:c r="B56" s="43"/>
      <x:c r="C56" s="43"/>
      <x:c r="D56" s="43"/>
      <x:c r="E56" s="43"/>
      <x:c r="F56" s="43"/>
      <x:c r="G56" s="43"/>
      <x:c r="H56" s="120"/>
      <x:c r="I56" s="120"/>
      <x:c r="J56" s="120"/>
      <x:c r="K56" s="120"/>
      <x:c r="L56" s="120"/>
      <x:c r="M56" s="120"/>
      <x:c r="N56" s="120"/>
      <x:c r="O56" s="120"/>
      <x:c r="P56" s="120"/>
      <x:c r="Q56" s="120"/>
      <x:c r="R56" s="120"/>
      <x:c r="S56" s="120"/>
      <x:c r="T56" s="120"/>
      <x:c r="U56" s="48"/>
      <x:c r="V56" s="48"/>
      <x:c r="W56" s="48"/>
      <x:c r="X56" s="48"/>
      <x:c r="Y56" s="48"/>
      <x:c r="Z56" s="49"/>
      <x:c r="AA56" s="43"/>
      <x:c r="AB56" s="43"/>
      <x:c r="AC56" s="43"/>
      <x:c r="AD56" s="43"/>
      <x:c r="AE56" s="43"/>
      <x:c r="AF56" s="87" t="str">
        <x:f>IF(OR(H56="",I56="",I56&lt;H56),"",(I56-H56)*1440)</x:f>
      </x:c>
      <x:c r="AG56" s="87" t="str">
        <x:f>IF(OR(I56="",M56="",M56&lt;I56),"",(M56-I56)*1440)</x:f>
      </x:c>
      <x:c r="AH56" s="87" t="str">
        <x:f>IF(OR(M56="",N56="",N56&lt;M56),"",(N56-M56)*1440)</x:f>
      </x:c>
      <x:c r="AI56" s="87" t="str">
        <x:f>IF(OR(H56="",N56="",N56&lt;H56),"",(N56-H56)*1440)</x:f>
      </x:c>
      <x:c r="AJ56" s="87" t="str">
        <x:f>IF(OR(I56="",N56="",N56&lt;I56),"",(N56-I56)*1440)</x:f>
      </x:c>
      <x:c r="AK56" s="87" t="str">
        <x:f>IF(OR(N56="",O56="",O56&lt;N56),"",(O56-N56)*1440)</x:f>
      </x:c>
      <x:c r="AL56" s="87" t="str">
        <x:f>IF(OR(O56="",P56="",P56&lt;O56),"",(P56-O56)*1440)</x:f>
      </x:c>
      <x:c r="AM56" s="87" t="str">
        <x:f>IF(OR(Q56="",R56="",R56&lt;Q56),"",(R56-Q56)*1440)</x:f>
      </x:c>
      <x:c r="AN56" s="87" t="str">
        <x:f>IF(OR(S56="",T56="",T56&lt;S56),"",(T56-S56)*1440)</x:f>
      </x:c>
      <x:c r="AO56" s="87" t="str">
        <x:f>IF(OR(U56="",V56=""),"",V56-U56)</x:f>
      </x:c>
      <x:c r="AP56" s="63" t="str">
        <x:f>IF(A56="","",IF(OR(B56="",H56="",N56=""),"Incompleto",IF(N56&lt;H56,"Revisar",IF(OR(G56="",G56="Não observado"),"Qualidade E0 ausente",IF(OR(G56="Sensor",G56="Marcação física"),"Válido — E0 observado",IF(G56="Cálculo","Válido — E0 calculado","Válido — E0 estimado"))))))</x:f>
      </x:c>
      <x:c r="AQ56" s="63" t="str">
        <x:f>IF(A56="","",IF(COUNTA(H56:T56)&lt;13,"Incompleta",IF(OR(I56&lt;H56,J56&lt;I56,K56&lt;J56,L56&lt;K56,M56&lt;L56,N56&lt;M56,O56&lt;N56,P56&lt;O56,Q56&lt;P56,R56&lt;Q56,S56&lt;R56,T56&lt;S56),"Revisar","Completa")))</x:f>
      </x:c>
      <x:c r="AR56" s="87" t="str">
        <x:f>IF(OR(V56="",W56="",Y56=""),"",Y56-(V56-W56))</x:f>
      </x:c>
      <x:c r="AS56" s="63" t="str">
        <x:f>IF(A56="","",IF(AND(E56&lt;&gt;"",F56&lt;&gt;"",G56&lt;&gt;"",Z56&lt;&gt;"",AA56&lt;&gt;"",AB56&lt;&gt;"",AC56&lt;&gt;""),"Completa","Incompleta"))</x:f>
      </x:c>
      <x:c r="AT56" s="63" t="str">
        <x:f>IF(A56="","",IF(COUNTIF($A$11:$A$410,A56)&gt;1,"ID duplicado",IF(AND(AR56&lt;&gt;"",ABS(AR56)&gt;0.01),"Revisar balanço",IF(AND(W56&lt;&gt;"",V56&lt;&gt;"",W56&gt;V56),"Retirada &gt; estoque",IF(AND(U56&lt;&gt;"",U56&lt;'Cenário Base'!$D$8*'Cenário Base'!$D$74),"E0 abaixo do gatilho",IF(AND(V56&lt;&gt;"",V56&gt;XLOOKUP(B56,$A$414:$A$418,$B$414:$B$418)),"Excedeu capacidade","Sem alerta"))))))</x:f>
      </x:c>
    </x:row>
    <x:row r="57">
      <x:c r="A57" s="43"/>
      <x:c r="B57" s="43"/>
      <x:c r="C57" s="43"/>
      <x:c r="D57" s="43"/>
      <x:c r="E57" s="43"/>
      <x:c r="F57" s="43"/>
      <x:c r="G57" s="43"/>
      <x:c r="H57" s="120"/>
      <x:c r="I57" s="120"/>
      <x:c r="J57" s="120"/>
      <x:c r="K57" s="120"/>
      <x:c r="L57" s="120"/>
      <x:c r="M57" s="120"/>
      <x:c r="N57" s="120"/>
      <x:c r="O57" s="120"/>
      <x:c r="P57" s="120"/>
      <x:c r="Q57" s="120"/>
      <x:c r="R57" s="120"/>
      <x:c r="S57" s="120"/>
      <x:c r="T57" s="120"/>
      <x:c r="U57" s="48"/>
      <x:c r="V57" s="48"/>
      <x:c r="W57" s="48"/>
      <x:c r="X57" s="48"/>
      <x:c r="Y57" s="48"/>
      <x:c r="Z57" s="49"/>
      <x:c r="AA57" s="43"/>
      <x:c r="AB57" s="43"/>
      <x:c r="AC57" s="43"/>
      <x:c r="AD57" s="43"/>
      <x:c r="AE57" s="43"/>
      <x:c r="AF57" s="87" t="str">
        <x:f>IF(OR(H57="",I57="",I57&lt;H57),"",(I57-H57)*1440)</x:f>
      </x:c>
      <x:c r="AG57" s="87" t="str">
        <x:f>IF(OR(I57="",M57="",M57&lt;I57),"",(M57-I57)*1440)</x:f>
      </x:c>
      <x:c r="AH57" s="87" t="str">
        <x:f>IF(OR(M57="",N57="",N57&lt;M57),"",(N57-M57)*1440)</x:f>
      </x:c>
      <x:c r="AI57" s="87" t="str">
        <x:f>IF(OR(H57="",N57="",N57&lt;H57),"",(N57-H57)*1440)</x:f>
      </x:c>
      <x:c r="AJ57" s="87" t="str">
        <x:f>IF(OR(I57="",N57="",N57&lt;I57),"",(N57-I57)*1440)</x:f>
      </x:c>
      <x:c r="AK57" s="87" t="str">
        <x:f>IF(OR(N57="",O57="",O57&lt;N57),"",(O57-N57)*1440)</x:f>
      </x:c>
      <x:c r="AL57" s="87" t="str">
        <x:f>IF(OR(O57="",P57="",P57&lt;O57),"",(P57-O57)*1440)</x:f>
      </x:c>
      <x:c r="AM57" s="87" t="str">
        <x:f>IF(OR(Q57="",R57="",R57&lt;Q57),"",(R57-Q57)*1440)</x:f>
      </x:c>
      <x:c r="AN57" s="87" t="str">
        <x:f>IF(OR(S57="",T57="",T57&lt;S57),"",(T57-S57)*1440)</x:f>
      </x:c>
      <x:c r="AO57" s="87" t="str">
        <x:f>IF(OR(U57="",V57=""),"",V57-U57)</x:f>
      </x:c>
      <x:c r="AP57" s="63" t="str">
        <x:f>IF(A57="","",IF(OR(B57="",H57="",N57=""),"Incompleto",IF(N57&lt;H57,"Revisar",IF(OR(G57="",G57="Não observado"),"Qualidade E0 ausente",IF(OR(G57="Sensor",G57="Marcação física"),"Válido — E0 observado",IF(G57="Cálculo","Válido — E0 calculado","Válido — E0 estimado"))))))</x:f>
      </x:c>
      <x:c r="AQ57" s="63" t="str">
        <x:f>IF(A57="","",IF(COUNTA(H57:T57)&lt;13,"Incompleta",IF(OR(I57&lt;H57,J57&lt;I57,K57&lt;J57,L57&lt;K57,M57&lt;L57,N57&lt;M57,O57&lt;N57,P57&lt;O57,Q57&lt;P57,R57&lt;Q57,S57&lt;R57,T57&lt;S57),"Revisar","Completa")))</x:f>
      </x:c>
      <x:c r="AR57" s="87" t="str">
        <x:f>IF(OR(V57="",W57="",Y57=""),"",Y57-(V57-W57))</x:f>
      </x:c>
      <x:c r="AS57" s="63" t="str">
        <x:f>IF(A57="","",IF(AND(E57&lt;&gt;"",F57&lt;&gt;"",G57&lt;&gt;"",Z57&lt;&gt;"",AA57&lt;&gt;"",AB57&lt;&gt;"",AC57&lt;&gt;""),"Completa","Incompleta"))</x:f>
      </x:c>
      <x:c r="AT57" s="63" t="str">
        <x:f>IF(A57="","",IF(COUNTIF($A$11:$A$410,A57)&gt;1,"ID duplicado",IF(AND(AR57&lt;&gt;"",ABS(AR57)&gt;0.01),"Revisar balanço",IF(AND(W57&lt;&gt;"",V57&lt;&gt;"",W57&gt;V57),"Retirada &gt; estoque",IF(AND(U57&lt;&gt;"",U57&lt;'Cenário Base'!$D$8*'Cenário Base'!$D$74),"E0 abaixo do gatilho",IF(AND(V57&lt;&gt;"",V57&gt;XLOOKUP(B57,$A$414:$A$418,$B$414:$B$418)),"Excedeu capacidade","Sem alerta"))))))</x:f>
      </x:c>
    </x:row>
    <x:row r="58">
      <x:c r="A58" s="43"/>
      <x:c r="B58" s="43"/>
      <x:c r="C58" s="43"/>
      <x:c r="D58" s="43"/>
      <x:c r="E58" s="43"/>
      <x:c r="F58" s="43"/>
      <x:c r="G58" s="43"/>
      <x:c r="H58" s="120"/>
      <x:c r="I58" s="120"/>
      <x:c r="J58" s="120"/>
      <x:c r="K58" s="120"/>
      <x:c r="L58" s="120"/>
      <x:c r="M58" s="120"/>
      <x:c r="N58" s="120"/>
      <x:c r="O58" s="120"/>
      <x:c r="P58" s="120"/>
      <x:c r="Q58" s="120"/>
      <x:c r="R58" s="120"/>
      <x:c r="S58" s="120"/>
      <x:c r="T58" s="120"/>
      <x:c r="U58" s="48"/>
      <x:c r="V58" s="48"/>
      <x:c r="W58" s="48"/>
      <x:c r="X58" s="48"/>
      <x:c r="Y58" s="48"/>
      <x:c r="Z58" s="49"/>
      <x:c r="AA58" s="43"/>
      <x:c r="AB58" s="43"/>
      <x:c r="AC58" s="43"/>
      <x:c r="AD58" s="43"/>
      <x:c r="AE58" s="43"/>
      <x:c r="AF58" s="87" t="str">
        <x:f>IF(OR(H58="",I58="",I58&lt;H58),"",(I58-H58)*1440)</x:f>
      </x:c>
      <x:c r="AG58" s="87" t="str">
        <x:f>IF(OR(I58="",M58="",M58&lt;I58),"",(M58-I58)*1440)</x:f>
      </x:c>
      <x:c r="AH58" s="87" t="str">
        <x:f>IF(OR(M58="",N58="",N58&lt;M58),"",(N58-M58)*1440)</x:f>
      </x:c>
      <x:c r="AI58" s="87" t="str">
        <x:f>IF(OR(H58="",N58="",N58&lt;H58),"",(N58-H58)*1440)</x:f>
      </x:c>
      <x:c r="AJ58" s="87" t="str">
        <x:f>IF(OR(I58="",N58="",N58&lt;I58),"",(N58-I58)*1440)</x:f>
      </x:c>
      <x:c r="AK58" s="87" t="str">
        <x:f>IF(OR(N58="",O58="",O58&lt;N58),"",(O58-N58)*1440)</x:f>
      </x:c>
      <x:c r="AL58" s="87" t="str">
        <x:f>IF(OR(O58="",P58="",P58&lt;O58),"",(P58-O58)*1440)</x:f>
      </x:c>
      <x:c r="AM58" s="87" t="str">
        <x:f>IF(OR(Q58="",R58="",R58&lt;Q58),"",(R58-Q58)*1440)</x:f>
      </x:c>
      <x:c r="AN58" s="87" t="str">
        <x:f>IF(OR(S58="",T58="",T58&lt;S58),"",(T58-S58)*1440)</x:f>
      </x:c>
      <x:c r="AO58" s="87" t="str">
        <x:f>IF(OR(U58="",V58=""),"",V58-U58)</x:f>
      </x:c>
      <x:c r="AP58" s="63" t="str">
        <x:f>IF(A58="","",IF(OR(B58="",H58="",N58=""),"Incompleto",IF(N58&lt;H58,"Revisar",IF(OR(G58="",G58="Não observado"),"Qualidade E0 ausente",IF(OR(G58="Sensor",G58="Marcação física"),"Válido — E0 observado",IF(G58="Cálculo","Válido — E0 calculado","Válido — E0 estimado"))))))</x:f>
      </x:c>
      <x:c r="AQ58" s="63" t="str">
        <x:f>IF(A58="","",IF(COUNTA(H58:T58)&lt;13,"Incompleta",IF(OR(I58&lt;H58,J58&lt;I58,K58&lt;J58,L58&lt;K58,M58&lt;L58,N58&lt;M58,O58&lt;N58,P58&lt;O58,Q58&lt;P58,R58&lt;Q58,S58&lt;R58,T58&lt;S58),"Revisar","Completa")))</x:f>
      </x:c>
      <x:c r="AR58" s="87" t="str">
        <x:f>IF(OR(V58="",W58="",Y58=""),"",Y58-(V58-W58))</x:f>
      </x:c>
      <x:c r="AS58" s="63" t="str">
        <x:f>IF(A58="","",IF(AND(E58&lt;&gt;"",F58&lt;&gt;"",G58&lt;&gt;"",Z58&lt;&gt;"",AA58&lt;&gt;"",AB58&lt;&gt;"",AC58&lt;&gt;""),"Completa","Incompleta"))</x:f>
      </x:c>
      <x:c r="AT58" s="63" t="str">
        <x:f>IF(A58="","",IF(COUNTIF($A$11:$A$410,A58)&gt;1,"ID duplicado",IF(AND(AR58&lt;&gt;"",ABS(AR58)&gt;0.01),"Revisar balanço",IF(AND(W58&lt;&gt;"",V58&lt;&gt;"",W58&gt;V58),"Retirada &gt; estoque",IF(AND(U58&lt;&gt;"",U58&lt;'Cenário Base'!$D$8*'Cenário Base'!$D$74),"E0 abaixo do gatilho",IF(AND(V58&lt;&gt;"",V58&gt;XLOOKUP(B58,$A$414:$A$418,$B$414:$B$418)),"Excedeu capacidade","Sem alerta"))))))</x:f>
      </x:c>
    </x:row>
    <x:row r="59">
      <x:c r="A59" s="43"/>
      <x:c r="B59" s="43"/>
      <x:c r="C59" s="43"/>
      <x:c r="D59" s="43"/>
      <x:c r="E59" s="43"/>
      <x:c r="F59" s="43"/>
      <x:c r="G59" s="43"/>
      <x:c r="H59" s="120"/>
      <x:c r="I59" s="120"/>
      <x:c r="J59" s="120"/>
      <x:c r="K59" s="120"/>
      <x:c r="L59" s="120"/>
      <x:c r="M59" s="120"/>
      <x:c r="N59" s="120"/>
      <x:c r="O59" s="120"/>
      <x:c r="P59" s="120"/>
      <x:c r="Q59" s="120"/>
      <x:c r="R59" s="120"/>
      <x:c r="S59" s="120"/>
      <x:c r="T59" s="120"/>
      <x:c r="U59" s="48"/>
      <x:c r="V59" s="48"/>
      <x:c r="W59" s="48"/>
      <x:c r="X59" s="48"/>
      <x:c r="Y59" s="48"/>
      <x:c r="Z59" s="49"/>
      <x:c r="AA59" s="43"/>
      <x:c r="AB59" s="43"/>
      <x:c r="AC59" s="43"/>
      <x:c r="AD59" s="43"/>
      <x:c r="AE59" s="43"/>
      <x:c r="AF59" s="87" t="str">
        <x:f>IF(OR(H59="",I59="",I59&lt;H59),"",(I59-H59)*1440)</x:f>
      </x:c>
      <x:c r="AG59" s="87" t="str">
        <x:f>IF(OR(I59="",M59="",M59&lt;I59),"",(M59-I59)*1440)</x:f>
      </x:c>
      <x:c r="AH59" s="87" t="str">
        <x:f>IF(OR(M59="",N59="",N59&lt;M59),"",(N59-M59)*1440)</x:f>
      </x:c>
      <x:c r="AI59" s="87" t="str">
        <x:f>IF(OR(H59="",N59="",N59&lt;H59),"",(N59-H59)*1440)</x:f>
      </x:c>
      <x:c r="AJ59" s="87" t="str">
        <x:f>IF(OR(I59="",N59="",N59&lt;I59),"",(N59-I59)*1440)</x:f>
      </x:c>
      <x:c r="AK59" s="87" t="str">
        <x:f>IF(OR(N59="",O59="",O59&lt;N59),"",(O59-N59)*1440)</x:f>
      </x:c>
      <x:c r="AL59" s="87" t="str">
        <x:f>IF(OR(O59="",P59="",P59&lt;O59),"",(P59-O59)*1440)</x:f>
      </x:c>
      <x:c r="AM59" s="87" t="str">
        <x:f>IF(OR(Q59="",R59="",R59&lt;Q59),"",(R59-Q59)*1440)</x:f>
      </x:c>
      <x:c r="AN59" s="87" t="str">
        <x:f>IF(OR(S59="",T59="",T59&lt;S59),"",(T59-S59)*1440)</x:f>
      </x:c>
      <x:c r="AO59" s="87" t="str">
        <x:f>IF(OR(U59="",V59=""),"",V59-U59)</x:f>
      </x:c>
      <x:c r="AP59" s="63" t="str">
        <x:f>IF(A59="","",IF(OR(B59="",H59="",N59=""),"Incompleto",IF(N59&lt;H59,"Revisar",IF(OR(G59="",G59="Não observado"),"Qualidade E0 ausente",IF(OR(G59="Sensor",G59="Marcação física"),"Válido — E0 observado",IF(G59="Cálculo","Válido — E0 calculado","Válido — E0 estimado"))))))</x:f>
      </x:c>
      <x:c r="AQ59" s="63" t="str">
        <x:f>IF(A59="","",IF(COUNTA(H59:T59)&lt;13,"Incompleta",IF(OR(I59&lt;H59,J59&lt;I59,K59&lt;J59,L59&lt;K59,M59&lt;L59,N59&lt;M59,O59&lt;N59,P59&lt;O59,Q59&lt;P59,R59&lt;Q59,S59&lt;R59,T59&lt;S59),"Revisar","Completa")))</x:f>
      </x:c>
      <x:c r="AR59" s="87" t="str">
        <x:f>IF(OR(V59="",W59="",Y59=""),"",Y59-(V59-W59))</x:f>
      </x:c>
      <x:c r="AS59" s="63" t="str">
        <x:f>IF(A59="","",IF(AND(E59&lt;&gt;"",F59&lt;&gt;"",G59&lt;&gt;"",Z59&lt;&gt;"",AA59&lt;&gt;"",AB59&lt;&gt;"",AC59&lt;&gt;""),"Completa","Incompleta"))</x:f>
      </x:c>
      <x:c r="AT59" s="63" t="str">
        <x:f>IF(A59="","",IF(COUNTIF($A$11:$A$410,A59)&gt;1,"ID duplicado",IF(AND(AR59&lt;&gt;"",ABS(AR59)&gt;0.01),"Revisar balanço",IF(AND(W59&lt;&gt;"",V59&lt;&gt;"",W59&gt;V59),"Retirada &gt; estoque",IF(AND(U59&lt;&gt;"",U59&lt;'Cenário Base'!$D$8*'Cenário Base'!$D$74),"E0 abaixo do gatilho",IF(AND(V59&lt;&gt;"",V59&gt;XLOOKUP(B59,$A$414:$A$418,$B$414:$B$418)),"Excedeu capacidade","Sem alerta"))))))</x:f>
      </x:c>
    </x:row>
    <x:row r="60">
      <x:c r="A60" s="43"/>
      <x:c r="B60" s="43"/>
      <x:c r="C60" s="43"/>
      <x:c r="D60" s="43"/>
      <x:c r="E60" s="43"/>
      <x:c r="F60" s="43"/>
      <x:c r="G60" s="43"/>
      <x:c r="H60" s="120"/>
      <x:c r="I60" s="120"/>
      <x:c r="J60" s="120"/>
      <x:c r="K60" s="120"/>
      <x:c r="L60" s="120"/>
      <x:c r="M60" s="120"/>
      <x:c r="N60" s="120"/>
      <x:c r="O60" s="120"/>
      <x:c r="P60" s="120"/>
      <x:c r="Q60" s="120"/>
      <x:c r="R60" s="120"/>
      <x:c r="S60" s="120"/>
      <x:c r="T60" s="120"/>
      <x:c r="U60" s="48"/>
      <x:c r="V60" s="48"/>
      <x:c r="W60" s="48"/>
      <x:c r="X60" s="48"/>
      <x:c r="Y60" s="48"/>
      <x:c r="Z60" s="49"/>
      <x:c r="AA60" s="43"/>
      <x:c r="AB60" s="43"/>
      <x:c r="AC60" s="43"/>
      <x:c r="AD60" s="43"/>
      <x:c r="AE60" s="43"/>
      <x:c r="AF60" s="87" t="str">
        <x:f>IF(OR(H60="",I60="",I60&lt;H60),"",(I60-H60)*1440)</x:f>
      </x:c>
      <x:c r="AG60" s="87" t="str">
        <x:f>IF(OR(I60="",M60="",M60&lt;I60),"",(M60-I60)*1440)</x:f>
      </x:c>
      <x:c r="AH60" s="87" t="str">
        <x:f>IF(OR(M60="",N60="",N60&lt;M60),"",(N60-M60)*1440)</x:f>
      </x:c>
      <x:c r="AI60" s="87" t="str">
        <x:f>IF(OR(H60="",N60="",N60&lt;H60),"",(N60-H60)*1440)</x:f>
      </x:c>
      <x:c r="AJ60" s="87" t="str">
        <x:f>IF(OR(I60="",N60="",N60&lt;I60),"",(N60-I60)*1440)</x:f>
      </x:c>
      <x:c r="AK60" s="87" t="str">
        <x:f>IF(OR(N60="",O60="",O60&lt;N60),"",(O60-N60)*1440)</x:f>
      </x:c>
      <x:c r="AL60" s="87" t="str">
        <x:f>IF(OR(O60="",P60="",P60&lt;O60),"",(P60-O60)*1440)</x:f>
      </x:c>
      <x:c r="AM60" s="87" t="str">
        <x:f>IF(OR(Q60="",R60="",R60&lt;Q60),"",(R60-Q60)*1440)</x:f>
      </x:c>
      <x:c r="AN60" s="87" t="str">
        <x:f>IF(OR(S60="",T60="",T60&lt;S60),"",(T60-S60)*1440)</x:f>
      </x:c>
      <x:c r="AO60" s="87" t="str">
        <x:f>IF(OR(U60="",V60=""),"",V60-U60)</x:f>
      </x:c>
      <x:c r="AP60" s="63" t="str">
        <x:f>IF(A60="","",IF(OR(B60="",H60="",N60=""),"Incompleto",IF(N60&lt;H60,"Revisar",IF(OR(G60="",G60="Não observado"),"Qualidade E0 ausente",IF(OR(G60="Sensor",G60="Marcação física"),"Válido — E0 observado",IF(G60="Cálculo","Válido — E0 calculado","Válido — E0 estimado"))))))</x:f>
      </x:c>
      <x:c r="AQ60" s="63" t="str">
        <x:f>IF(A60="","",IF(COUNTA(H60:T60)&lt;13,"Incompleta",IF(OR(I60&lt;H60,J60&lt;I60,K60&lt;J60,L60&lt;K60,M60&lt;L60,N60&lt;M60,O60&lt;N60,P60&lt;O60,Q60&lt;P60,R60&lt;Q60,S60&lt;R60,T60&lt;S60),"Revisar","Completa")))</x:f>
      </x:c>
      <x:c r="AR60" s="87" t="str">
        <x:f>IF(OR(V60="",W60="",Y60=""),"",Y60-(V60-W60))</x:f>
      </x:c>
      <x:c r="AS60" s="63" t="str">
        <x:f>IF(A60="","",IF(AND(E60&lt;&gt;"",F60&lt;&gt;"",G60&lt;&gt;"",Z60&lt;&gt;"",AA60&lt;&gt;"",AB60&lt;&gt;"",AC60&lt;&gt;""),"Completa","Incompleta"))</x:f>
      </x:c>
      <x:c r="AT60" s="63" t="str">
        <x:f>IF(A60="","",IF(COUNTIF($A$11:$A$410,A60)&gt;1,"ID duplicado",IF(AND(AR60&lt;&gt;"",ABS(AR60)&gt;0.01),"Revisar balanço",IF(AND(W60&lt;&gt;"",V60&lt;&gt;"",W60&gt;V60),"Retirada &gt; estoque",IF(AND(U60&lt;&gt;"",U60&lt;'Cenário Base'!$D$8*'Cenário Base'!$D$74),"E0 abaixo do gatilho",IF(AND(V60&lt;&gt;"",V60&gt;XLOOKUP(B60,$A$414:$A$418,$B$414:$B$418)),"Excedeu capacidade","Sem alerta"))))))</x:f>
      </x:c>
    </x:row>
    <x:row r="61">
      <x:c r="A61" s="43"/>
      <x:c r="B61" s="43"/>
      <x:c r="C61" s="43"/>
      <x:c r="D61" s="43"/>
      <x:c r="E61" s="43"/>
      <x:c r="F61" s="43"/>
      <x:c r="G61" s="43"/>
      <x:c r="H61" s="120"/>
      <x:c r="I61" s="120"/>
      <x:c r="J61" s="120"/>
      <x:c r="K61" s="120"/>
      <x:c r="L61" s="120"/>
      <x:c r="M61" s="120"/>
      <x:c r="N61" s="120"/>
      <x:c r="O61" s="120"/>
      <x:c r="P61" s="120"/>
      <x:c r="Q61" s="120"/>
      <x:c r="R61" s="120"/>
      <x:c r="S61" s="120"/>
      <x:c r="T61" s="120"/>
      <x:c r="U61" s="48"/>
      <x:c r="V61" s="48"/>
      <x:c r="W61" s="48"/>
      <x:c r="X61" s="48"/>
      <x:c r="Y61" s="48"/>
      <x:c r="Z61" s="49"/>
      <x:c r="AA61" s="43"/>
      <x:c r="AB61" s="43"/>
      <x:c r="AC61" s="43"/>
      <x:c r="AD61" s="43"/>
      <x:c r="AE61" s="43"/>
      <x:c r="AF61" s="87" t="str">
        <x:f>IF(OR(H61="",I61="",I61&lt;H61),"",(I61-H61)*1440)</x:f>
      </x:c>
      <x:c r="AG61" s="87" t="str">
        <x:f>IF(OR(I61="",M61="",M61&lt;I61),"",(M61-I61)*1440)</x:f>
      </x:c>
      <x:c r="AH61" s="87" t="str">
        <x:f>IF(OR(M61="",N61="",N61&lt;M61),"",(N61-M61)*1440)</x:f>
      </x:c>
      <x:c r="AI61" s="87" t="str">
        <x:f>IF(OR(H61="",N61="",N61&lt;H61),"",(N61-H61)*1440)</x:f>
      </x:c>
      <x:c r="AJ61" s="87" t="str">
        <x:f>IF(OR(I61="",N61="",N61&lt;I61),"",(N61-I61)*1440)</x:f>
      </x:c>
      <x:c r="AK61" s="87" t="str">
        <x:f>IF(OR(N61="",O61="",O61&lt;N61),"",(O61-N61)*1440)</x:f>
      </x:c>
      <x:c r="AL61" s="87" t="str">
        <x:f>IF(OR(O61="",P61="",P61&lt;O61),"",(P61-O61)*1440)</x:f>
      </x:c>
      <x:c r="AM61" s="87" t="str">
        <x:f>IF(OR(Q61="",R61="",R61&lt;Q61),"",(R61-Q61)*1440)</x:f>
      </x:c>
      <x:c r="AN61" s="87" t="str">
        <x:f>IF(OR(S61="",T61="",T61&lt;S61),"",(T61-S61)*1440)</x:f>
      </x:c>
      <x:c r="AO61" s="87" t="str">
        <x:f>IF(OR(U61="",V61=""),"",V61-U61)</x:f>
      </x:c>
      <x:c r="AP61" s="63" t="str">
        <x:f>IF(A61="","",IF(OR(B61="",H61="",N61=""),"Incompleto",IF(N61&lt;H61,"Revisar",IF(OR(G61="",G61="Não observado"),"Qualidade E0 ausente",IF(OR(G61="Sensor",G61="Marcação física"),"Válido — E0 observado",IF(G61="Cálculo","Válido — E0 calculado","Válido — E0 estimado"))))))</x:f>
      </x:c>
      <x:c r="AQ61" s="63" t="str">
        <x:f>IF(A61="","",IF(COUNTA(H61:T61)&lt;13,"Incompleta",IF(OR(I61&lt;H61,J61&lt;I61,K61&lt;J61,L61&lt;K61,M61&lt;L61,N61&lt;M61,O61&lt;N61,P61&lt;O61,Q61&lt;P61,R61&lt;Q61,S61&lt;R61,T61&lt;S61),"Revisar","Completa")))</x:f>
      </x:c>
      <x:c r="AR61" s="87" t="str">
        <x:f>IF(OR(V61="",W61="",Y61=""),"",Y61-(V61-W61))</x:f>
      </x:c>
      <x:c r="AS61" s="63" t="str">
        <x:f>IF(A61="","",IF(AND(E61&lt;&gt;"",F61&lt;&gt;"",G61&lt;&gt;"",Z61&lt;&gt;"",AA61&lt;&gt;"",AB61&lt;&gt;"",AC61&lt;&gt;""),"Completa","Incompleta"))</x:f>
      </x:c>
      <x:c r="AT61" s="63" t="str">
        <x:f>IF(A61="","",IF(COUNTIF($A$11:$A$410,A61)&gt;1,"ID duplicado",IF(AND(AR61&lt;&gt;"",ABS(AR61)&gt;0.01),"Revisar balanço",IF(AND(W61&lt;&gt;"",V61&lt;&gt;"",W61&gt;V61),"Retirada &gt; estoque",IF(AND(U61&lt;&gt;"",U61&lt;'Cenário Base'!$D$8*'Cenário Base'!$D$74),"E0 abaixo do gatilho",IF(AND(V61&lt;&gt;"",V61&gt;XLOOKUP(B61,$A$414:$A$418,$B$414:$B$418)),"Excedeu capacidade","Sem alerta"))))))</x:f>
      </x:c>
    </x:row>
    <x:row r="62">
      <x:c r="A62" s="43"/>
      <x:c r="B62" s="43"/>
      <x:c r="C62" s="43"/>
      <x:c r="D62" s="43"/>
      <x:c r="E62" s="43"/>
      <x:c r="F62" s="43"/>
      <x:c r="G62" s="43"/>
      <x:c r="H62" s="120"/>
      <x:c r="I62" s="120"/>
      <x:c r="J62" s="120"/>
      <x:c r="K62" s="120"/>
      <x:c r="L62" s="120"/>
      <x:c r="M62" s="120"/>
      <x:c r="N62" s="120"/>
      <x:c r="O62" s="120"/>
      <x:c r="P62" s="120"/>
      <x:c r="Q62" s="120"/>
      <x:c r="R62" s="120"/>
      <x:c r="S62" s="120"/>
      <x:c r="T62" s="120"/>
      <x:c r="U62" s="48"/>
      <x:c r="V62" s="48"/>
      <x:c r="W62" s="48"/>
      <x:c r="X62" s="48"/>
      <x:c r="Y62" s="48"/>
      <x:c r="Z62" s="49"/>
      <x:c r="AA62" s="43"/>
      <x:c r="AB62" s="43"/>
      <x:c r="AC62" s="43"/>
      <x:c r="AD62" s="43"/>
      <x:c r="AE62" s="43"/>
      <x:c r="AF62" s="87" t="str">
        <x:f>IF(OR(H62="",I62="",I62&lt;H62),"",(I62-H62)*1440)</x:f>
      </x:c>
      <x:c r="AG62" s="87" t="str">
        <x:f>IF(OR(I62="",M62="",M62&lt;I62),"",(M62-I62)*1440)</x:f>
      </x:c>
      <x:c r="AH62" s="87" t="str">
        <x:f>IF(OR(M62="",N62="",N62&lt;M62),"",(N62-M62)*1440)</x:f>
      </x:c>
      <x:c r="AI62" s="87" t="str">
        <x:f>IF(OR(H62="",N62="",N62&lt;H62),"",(N62-H62)*1440)</x:f>
      </x:c>
      <x:c r="AJ62" s="87" t="str">
        <x:f>IF(OR(I62="",N62="",N62&lt;I62),"",(N62-I62)*1440)</x:f>
      </x:c>
      <x:c r="AK62" s="87" t="str">
        <x:f>IF(OR(N62="",O62="",O62&lt;N62),"",(O62-N62)*1440)</x:f>
      </x:c>
      <x:c r="AL62" s="87" t="str">
        <x:f>IF(OR(O62="",P62="",P62&lt;O62),"",(P62-O62)*1440)</x:f>
      </x:c>
      <x:c r="AM62" s="87" t="str">
        <x:f>IF(OR(Q62="",R62="",R62&lt;Q62),"",(R62-Q62)*1440)</x:f>
      </x:c>
      <x:c r="AN62" s="87" t="str">
        <x:f>IF(OR(S62="",T62="",T62&lt;S62),"",(T62-S62)*1440)</x:f>
      </x:c>
      <x:c r="AO62" s="87" t="str">
        <x:f>IF(OR(U62="",V62=""),"",V62-U62)</x:f>
      </x:c>
      <x:c r="AP62" s="63" t="str">
        <x:f>IF(A62="","",IF(OR(B62="",H62="",N62=""),"Incompleto",IF(N62&lt;H62,"Revisar",IF(OR(G62="",G62="Não observado"),"Qualidade E0 ausente",IF(OR(G62="Sensor",G62="Marcação física"),"Válido — E0 observado",IF(G62="Cálculo","Válido — E0 calculado","Válido — E0 estimado"))))))</x:f>
      </x:c>
      <x:c r="AQ62" s="63" t="str">
        <x:f>IF(A62="","",IF(COUNTA(H62:T62)&lt;13,"Incompleta",IF(OR(I62&lt;H62,J62&lt;I62,K62&lt;J62,L62&lt;K62,M62&lt;L62,N62&lt;M62,O62&lt;N62,P62&lt;O62,Q62&lt;P62,R62&lt;Q62,S62&lt;R62,T62&lt;S62),"Revisar","Completa")))</x:f>
      </x:c>
      <x:c r="AR62" s="87" t="str">
        <x:f>IF(OR(V62="",W62="",Y62=""),"",Y62-(V62-W62))</x:f>
      </x:c>
      <x:c r="AS62" s="63" t="str">
        <x:f>IF(A62="","",IF(AND(E62&lt;&gt;"",F62&lt;&gt;"",G62&lt;&gt;"",Z62&lt;&gt;"",AA62&lt;&gt;"",AB62&lt;&gt;"",AC62&lt;&gt;""),"Completa","Incompleta"))</x:f>
      </x:c>
      <x:c r="AT62" s="63" t="str">
        <x:f>IF(A62="","",IF(COUNTIF($A$11:$A$410,A62)&gt;1,"ID duplicado",IF(AND(AR62&lt;&gt;"",ABS(AR62)&gt;0.01),"Revisar balanço",IF(AND(W62&lt;&gt;"",V62&lt;&gt;"",W62&gt;V62),"Retirada &gt; estoque",IF(AND(U62&lt;&gt;"",U62&lt;'Cenário Base'!$D$8*'Cenário Base'!$D$74),"E0 abaixo do gatilho",IF(AND(V62&lt;&gt;"",V62&gt;XLOOKUP(B62,$A$414:$A$418,$B$414:$B$418)),"Excedeu capacidade","Sem alerta"))))))</x:f>
      </x:c>
    </x:row>
    <x:row r="63">
      <x:c r="A63" s="43"/>
      <x:c r="B63" s="43"/>
      <x:c r="C63" s="43"/>
      <x:c r="D63" s="43"/>
      <x:c r="E63" s="43"/>
      <x:c r="F63" s="43"/>
      <x:c r="G63" s="43"/>
      <x:c r="H63" s="120"/>
      <x:c r="I63" s="120"/>
      <x:c r="J63" s="120"/>
      <x:c r="K63" s="120"/>
      <x:c r="L63" s="120"/>
      <x:c r="M63" s="120"/>
      <x:c r="N63" s="120"/>
      <x:c r="O63" s="120"/>
      <x:c r="P63" s="120"/>
      <x:c r="Q63" s="120"/>
      <x:c r="R63" s="120"/>
      <x:c r="S63" s="120"/>
      <x:c r="T63" s="120"/>
      <x:c r="U63" s="48"/>
      <x:c r="V63" s="48"/>
      <x:c r="W63" s="48"/>
      <x:c r="X63" s="48"/>
      <x:c r="Y63" s="48"/>
      <x:c r="Z63" s="49"/>
      <x:c r="AA63" s="43"/>
      <x:c r="AB63" s="43"/>
      <x:c r="AC63" s="43"/>
      <x:c r="AD63" s="43"/>
      <x:c r="AE63" s="43"/>
      <x:c r="AF63" s="87" t="str">
        <x:f>IF(OR(H63="",I63="",I63&lt;H63),"",(I63-H63)*1440)</x:f>
      </x:c>
      <x:c r="AG63" s="87" t="str">
        <x:f>IF(OR(I63="",M63="",M63&lt;I63),"",(M63-I63)*1440)</x:f>
      </x:c>
      <x:c r="AH63" s="87" t="str">
        <x:f>IF(OR(M63="",N63="",N63&lt;M63),"",(N63-M63)*1440)</x:f>
      </x:c>
      <x:c r="AI63" s="87" t="str">
        <x:f>IF(OR(H63="",N63="",N63&lt;H63),"",(N63-H63)*1440)</x:f>
      </x:c>
      <x:c r="AJ63" s="87" t="str">
        <x:f>IF(OR(I63="",N63="",N63&lt;I63),"",(N63-I63)*1440)</x:f>
      </x:c>
      <x:c r="AK63" s="87" t="str">
        <x:f>IF(OR(N63="",O63="",O63&lt;N63),"",(O63-N63)*1440)</x:f>
      </x:c>
      <x:c r="AL63" s="87" t="str">
        <x:f>IF(OR(O63="",P63="",P63&lt;O63),"",(P63-O63)*1440)</x:f>
      </x:c>
      <x:c r="AM63" s="87" t="str">
        <x:f>IF(OR(Q63="",R63="",R63&lt;Q63),"",(R63-Q63)*1440)</x:f>
      </x:c>
      <x:c r="AN63" s="87" t="str">
        <x:f>IF(OR(S63="",T63="",T63&lt;S63),"",(T63-S63)*1440)</x:f>
      </x:c>
      <x:c r="AO63" s="87" t="str">
        <x:f>IF(OR(U63="",V63=""),"",V63-U63)</x:f>
      </x:c>
      <x:c r="AP63" s="63" t="str">
        <x:f>IF(A63="","",IF(OR(B63="",H63="",N63=""),"Incompleto",IF(N63&lt;H63,"Revisar",IF(OR(G63="",G63="Não observado"),"Qualidade E0 ausente",IF(OR(G63="Sensor",G63="Marcação física"),"Válido — E0 observado",IF(G63="Cálculo","Válido — E0 calculado","Válido — E0 estimado"))))))</x:f>
      </x:c>
      <x:c r="AQ63" s="63" t="str">
        <x:f>IF(A63="","",IF(COUNTA(H63:T63)&lt;13,"Incompleta",IF(OR(I63&lt;H63,J63&lt;I63,K63&lt;J63,L63&lt;K63,M63&lt;L63,N63&lt;M63,O63&lt;N63,P63&lt;O63,Q63&lt;P63,R63&lt;Q63,S63&lt;R63,T63&lt;S63),"Revisar","Completa")))</x:f>
      </x:c>
      <x:c r="AR63" s="87" t="str">
        <x:f>IF(OR(V63="",W63="",Y63=""),"",Y63-(V63-W63))</x:f>
      </x:c>
      <x:c r="AS63" s="63" t="str">
        <x:f>IF(A63="","",IF(AND(E63&lt;&gt;"",F63&lt;&gt;"",G63&lt;&gt;"",Z63&lt;&gt;"",AA63&lt;&gt;"",AB63&lt;&gt;"",AC63&lt;&gt;""),"Completa","Incompleta"))</x:f>
      </x:c>
      <x:c r="AT63" s="63" t="str">
        <x:f>IF(A63="","",IF(COUNTIF($A$11:$A$410,A63)&gt;1,"ID duplicado",IF(AND(AR63&lt;&gt;"",ABS(AR63)&gt;0.01),"Revisar balanço",IF(AND(W63&lt;&gt;"",V63&lt;&gt;"",W63&gt;V63),"Retirada &gt; estoque",IF(AND(U63&lt;&gt;"",U63&lt;'Cenário Base'!$D$8*'Cenário Base'!$D$74),"E0 abaixo do gatilho",IF(AND(V63&lt;&gt;"",V63&gt;XLOOKUP(B63,$A$414:$A$418,$B$414:$B$418)),"Excedeu capacidade","Sem alerta"))))))</x:f>
      </x:c>
    </x:row>
    <x:row r="64">
      <x:c r="A64" s="43"/>
      <x:c r="B64" s="43"/>
      <x:c r="C64" s="43"/>
      <x:c r="D64" s="43"/>
      <x:c r="E64" s="43"/>
      <x:c r="F64" s="43"/>
      <x:c r="G64" s="43"/>
      <x:c r="H64" s="120"/>
      <x:c r="I64" s="120"/>
      <x:c r="J64" s="120"/>
      <x:c r="K64" s="120"/>
      <x:c r="L64" s="120"/>
      <x:c r="M64" s="120"/>
      <x:c r="N64" s="120"/>
      <x:c r="O64" s="120"/>
      <x:c r="P64" s="120"/>
      <x:c r="Q64" s="120"/>
      <x:c r="R64" s="120"/>
      <x:c r="S64" s="120"/>
      <x:c r="T64" s="120"/>
      <x:c r="U64" s="48"/>
      <x:c r="V64" s="48"/>
      <x:c r="W64" s="48"/>
      <x:c r="X64" s="48"/>
      <x:c r="Y64" s="48"/>
      <x:c r="Z64" s="49"/>
      <x:c r="AA64" s="43"/>
      <x:c r="AB64" s="43"/>
      <x:c r="AC64" s="43"/>
      <x:c r="AD64" s="43"/>
      <x:c r="AE64" s="43"/>
      <x:c r="AF64" s="87" t="str">
        <x:f>IF(OR(H64="",I64="",I64&lt;H64),"",(I64-H64)*1440)</x:f>
      </x:c>
      <x:c r="AG64" s="87" t="str">
        <x:f>IF(OR(I64="",M64="",M64&lt;I64),"",(M64-I64)*1440)</x:f>
      </x:c>
      <x:c r="AH64" s="87" t="str">
        <x:f>IF(OR(M64="",N64="",N64&lt;M64),"",(N64-M64)*1440)</x:f>
      </x:c>
      <x:c r="AI64" s="87" t="str">
        <x:f>IF(OR(H64="",N64="",N64&lt;H64),"",(N64-H64)*1440)</x:f>
      </x:c>
      <x:c r="AJ64" s="87" t="str">
        <x:f>IF(OR(I64="",N64="",N64&lt;I64),"",(N64-I64)*1440)</x:f>
      </x:c>
      <x:c r="AK64" s="87" t="str">
        <x:f>IF(OR(N64="",O64="",O64&lt;N64),"",(O64-N64)*1440)</x:f>
      </x:c>
      <x:c r="AL64" s="87" t="str">
        <x:f>IF(OR(O64="",P64="",P64&lt;O64),"",(P64-O64)*1440)</x:f>
      </x:c>
      <x:c r="AM64" s="87" t="str">
        <x:f>IF(OR(Q64="",R64="",R64&lt;Q64),"",(R64-Q64)*1440)</x:f>
      </x:c>
      <x:c r="AN64" s="87" t="str">
        <x:f>IF(OR(S64="",T64="",T64&lt;S64),"",(T64-S64)*1440)</x:f>
      </x:c>
      <x:c r="AO64" s="87" t="str">
        <x:f>IF(OR(U64="",V64=""),"",V64-U64)</x:f>
      </x:c>
      <x:c r="AP64" s="63" t="str">
        <x:f>IF(A64="","",IF(OR(B64="",H64="",N64=""),"Incompleto",IF(N64&lt;H64,"Revisar",IF(OR(G64="",G64="Não observado"),"Qualidade E0 ausente",IF(OR(G64="Sensor",G64="Marcação física"),"Válido — E0 observado",IF(G64="Cálculo","Válido — E0 calculado","Válido — E0 estimado"))))))</x:f>
      </x:c>
      <x:c r="AQ64" s="63" t="str">
        <x:f>IF(A64="","",IF(COUNTA(H64:T64)&lt;13,"Incompleta",IF(OR(I64&lt;H64,J64&lt;I64,K64&lt;J64,L64&lt;K64,M64&lt;L64,N64&lt;M64,O64&lt;N64,P64&lt;O64,Q64&lt;P64,R64&lt;Q64,S64&lt;R64,T64&lt;S64),"Revisar","Completa")))</x:f>
      </x:c>
      <x:c r="AR64" s="87" t="str">
        <x:f>IF(OR(V64="",W64="",Y64=""),"",Y64-(V64-W64))</x:f>
      </x:c>
      <x:c r="AS64" s="63" t="str">
        <x:f>IF(A64="","",IF(AND(E64&lt;&gt;"",F64&lt;&gt;"",G64&lt;&gt;"",Z64&lt;&gt;"",AA64&lt;&gt;"",AB64&lt;&gt;"",AC64&lt;&gt;""),"Completa","Incompleta"))</x:f>
      </x:c>
      <x:c r="AT64" s="63" t="str">
        <x:f>IF(A64="","",IF(COUNTIF($A$11:$A$410,A64)&gt;1,"ID duplicado",IF(AND(AR64&lt;&gt;"",ABS(AR64)&gt;0.01),"Revisar balanço",IF(AND(W64&lt;&gt;"",V64&lt;&gt;"",W64&gt;V64),"Retirada &gt; estoque",IF(AND(U64&lt;&gt;"",U64&lt;'Cenário Base'!$D$8*'Cenário Base'!$D$74),"E0 abaixo do gatilho",IF(AND(V64&lt;&gt;"",V64&gt;XLOOKUP(B64,$A$414:$A$418,$B$414:$B$418)),"Excedeu capacidade","Sem alerta"))))))</x:f>
      </x:c>
    </x:row>
    <x:row r="65">
      <x:c r="A65" s="43"/>
      <x:c r="B65" s="43"/>
      <x:c r="C65" s="43"/>
      <x:c r="D65" s="43"/>
      <x:c r="E65" s="43"/>
      <x:c r="F65" s="43"/>
      <x:c r="G65" s="43"/>
      <x:c r="H65" s="120"/>
      <x:c r="I65" s="120"/>
      <x:c r="J65" s="120"/>
      <x:c r="K65" s="120"/>
      <x:c r="L65" s="120"/>
      <x:c r="M65" s="120"/>
      <x:c r="N65" s="120"/>
      <x:c r="O65" s="120"/>
      <x:c r="P65" s="120"/>
      <x:c r="Q65" s="120"/>
      <x:c r="R65" s="120"/>
      <x:c r="S65" s="120"/>
      <x:c r="T65" s="120"/>
      <x:c r="U65" s="48"/>
      <x:c r="V65" s="48"/>
      <x:c r="W65" s="48"/>
      <x:c r="X65" s="48"/>
      <x:c r="Y65" s="48"/>
      <x:c r="Z65" s="49"/>
      <x:c r="AA65" s="43"/>
      <x:c r="AB65" s="43"/>
      <x:c r="AC65" s="43"/>
      <x:c r="AD65" s="43"/>
      <x:c r="AE65" s="43"/>
      <x:c r="AF65" s="87" t="str">
        <x:f>IF(OR(H65="",I65="",I65&lt;H65),"",(I65-H65)*1440)</x:f>
      </x:c>
      <x:c r="AG65" s="87" t="str">
        <x:f>IF(OR(I65="",M65="",M65&lt;I65),"",(M65-I65)*1440)</x:f>
      </x:c>
      <x:c r="AH65" s="87" t="str">
        <x:f>IF(OR(M65="",N65="",N65&lt;M65),"",(N65-M65)*1440)</x:f>
      </x:c>
      <x:c r="AI65" s="87" t="str">
        <x:f>IF(OR(H65="",N65="",N65&lt;H65),"",(N65-H65)*1440)</x:f>
      </x:c>
      <x:c r="AJ65" s="87" t="str">
        <x:f>IF(OR(I65="",N65="",N65&lt;I65),"",(N65-I65)*1440)</x:f>
      </x:c>
      <x:c r="AK65" s="87" t="str">
        <x:f>IF(OR(N65="",O65="",O65&lt;N65),"",(O65-N65)*1440)</x:f>
      </x:c>
      <x:c r="AL65" s="87" t="str">
        <x:f>IF(OR(O65="",P65="",P65&lt;O65),"",(P65-O65)*1440)</x:f>
      </x:c>
      <x:c r="AM65" s="87" t="str">
        <x:f>IF(OR(Q65="",R65="",R65&lt;Q65),"",(R65-Q65)*1440)</x:f>
      </x:c>
      <x:c r="AN65" s="87" t="str">
        <x:f>IF(OR(S65="",T65="",T65&lt;S65),"",(T65-S65)*1440)</x:f>
      </x:c>
      <x:c r="AO65" s="87" t="str">
        <x:f>IF(OR(U65="",V65=""),"",V65-U65)</x:f>
      </x:c>
      <x:c r="AP65" s="63" t="str">
        <x:f>IF(A65="","",IF(OR(B65="",H65="",N65=""),"Incompleto",IF(N65&lt;H65,"Revisar",IF(OR(G65="",G65="Não observado"),"Qualidade E0 ausente",IF(OR(G65="Sensor",G65="Marcação física"),"Válido — E0 observado",IF(G65="Cálculo","Válido — E0 calculado","Válido — E0 estimado"))))))</x:f>
      </x:c>
      <x:c r="AQ65" s="63" t="str">
        <x:f>IF(A65="","",IF(COUNTA(H65:T65)&lt;13,"Incompleta",IF(OR(I65&lt;H65,J65&lt;I65,K65&lt;J65,L65&lt;K65,M65&lt;L65,N65&lt;M65,O65&lt;N65,P65&lt;O65,Q65&lt;P65,R65&lt;Q65,S65&lt;R65,T65&lt;S65),"Revisar","Completa")))</x:f>
      </x:c>
      <x:c r="AR65" s="87" t="str">
        <x:f>IF(OR(V65="",W65="",Y65=""),"",Y65-(V65-W65))</x:f>
      </x:c>
      <x:c r="AS65" s="63" t="str">
        <x:f>IF(A65="","",IF(AND(E65&lt;&gt;"",F65&lt;&gt;"",G65&lt;&gt;"",Z65&lt;&gt;"",AA65&lt;&gt;"",AB65&lt;&gt;"",AC65&lt;&gt;""),"Completa","Incompleta"))</x:f>
      </x:c>
      <x:c r="AT65" s="63" t="str">
        <x:f>IF(A65="","",IF(COUNTIF($A$11:$A$410,A65)&gt;1,"ID duplicado",IF(AND(AR65&lt;&gt;"",ABS(AR65)&gt;0.01),"Revisar balanço",IF(AND(W65&lt;&gt;"",V65&lt;&gt;"",W65&gt;V65),"Retirada &gt; estoque",IF(AND(U65&lt;&gt;"",U65&lt;'Cenário Base'!$D$8*'Cenário Base'!$D$74),"E0 abaixo do gatilho",IF(AND(V65&lt;&gt;"",V65&gt;XLOOKUP(B65,$A$414:$A$418,$B$414:$B$418)),"Excedeu capacidade","Sem alerta"))))))</x:f>
      </x:c>
    </x:row>
    <x:row r="66">
      <x:c r="A66" s="43"/>
      <x:c r="B66" s="43"/>
      <x:c r="C66" s="43"/>
      <x:c r="D66" s="43"/>
      <x:c r="E66" s="43"/>
      <x:c r="F66" s="43"/>
      <x:c r="G66" s="43"/>
      <x:c r="H66" s="120"/>
      <x:c r="I66" s="120"/>
      <x:c r="J66" s="120"/>
      <x:c r="K66" s="120"/>
      <x:c r="L66" s="120"/>
      <x:c r="M66" s="120"/>
      <x:c r="N66" s="120"/>
      <x:c r="O66" s="120"/>
      <x:c r="P66" s="120"/>
      <x:c r="Q66" s="120"/>
      <x:c r="R66" s="120"/>
      <x:c r="S66" s="120"/>
      <x:c r="T66" s="120"/>
      <x:c r="U66" s="48"/>
      <x:c r="V66" s="48"/>
      <x:c r="W66" s="48"/>
      <x:c r="X66" s="48"/>
      <x:c r="Y66" s="48"/>
      <x:c r="Z66" s="49"/>
      <x:c r="AA66" s="43"/>
      <x:c r="AB66" s="43"/>
      <x:c r="AC66" s="43"/>
      <x:c r="AD66" s="43"/>
      <x:c r="AE66" s="43"/>
      <x:c r="AF66" s="87" t="str">
        <x:f>IF(OR(H66="",I66="",I66&lt;H66),"",(I66-H66)*1440)</x:f>
      </x:c>
      <x:c r="AG66" s="87" t="str">
        <x:f>IF(OR(I66="",M66="",M66&lt;I66),"",(M66-I66)*1440)</x:f>
      </x:c>
      <x:c r="AH66" s="87" t="str">
        <x:f>IF(OR(M66="",N66="",N66&lt;M66),"",(N66-M66)*1440)</x:f>
      </x:c>
      <x:c r="AI66" s="87" t="str">
        <x:f>IF(OR(H66="",N66="",N66&lt;H66),"",(N66-H66)*1440)</x:f>
      </x:c>
      <x:c r="AJ66" s="87" t="str">
        <x:f>IF(OR(I66="",N66="",N66&lt;I66),"",(N66-I66)*1440)</x:f>
      </x:c>
      <x:c r="AK66" s="87" t="str">
        <x:f>IF(OR(N66="",O66="",O66&lt;N66),"",(O66-N66)*1440)</x:f>
      </x:c>
      <x:c r="AL66" s="87" t="str">
        <x:f>IF(OR(O66="",P66="",P66&lt;O66),"",(P66-O66)*1440)</x:f>
      </x:c>
      <x:c r="AM66" s="87" t="str">
        <x:f>IF(OR(Q66="",R66="",R66&lt;Q66),"",(R66-Q66)*1440)</x:f>
      </x:c>
      <x:c r="AN66" s="87" t="str">
        <x:f>IF(OR(S66="",T66="",T66&lt;S66),"",(T66-S66)*1440)</x:f>
      </x:c>
      <x:c r="AO66" s="87" t="str">
        <x:f>IF(OR(U66="",V66=""),"",V66-U66)</x:f>
      </x:c>
      <x:c r="AP66" s="63" t="str">
        <x:f>IF(A66="","",IF(OR(B66="",H66="",N66=""),"Incompleto",IF(N66&lt;H66,"Revisar",IF(OR(G66="",G66="Não observado"),"Qualidade E0 ausente",IF(OR(G66="Sensor",G66="Marcação física"),"Válido — E0 observado",IF(G66="Cálculo","Válido — E0 calculado","Válido — E0 estimado"))))))</x:f>
      </x:c>
      <x:c r="AQ66" s="63" t="str">
        <x:f>IF(A66="","",IF(COUNTA(H66:T66)&lt;13,"Incompleta",IF(OR(I66&lt;H66,J66&lt;I66,K66&lt;J66,L66&lt;K66,M66&lt;L66,N66&lt;M66,O66&lt;N66,P66&lt;O66,Q66&lt;P66,R66&lt;Q66,S66&lt;R66,T66&lt;S66),"Revisar","Completa")))</x:f>
      </x:c>
      <x:c r="AR66" s="87" t="str">
        <x:f>IF(OR(V66="",W66="",Y66=""),"",Y66-(V66-W66))</x:f>
      </x:c>
      <x:c r="AS66" s="63" t="str">
        <x:f>IF(A66="","",IF(AND(E66&lt;&gt;"",F66&lt;&gt;"",G66&lt;&gt;"",Z66&lt;&gt;"",AA66&lt;&gt;"",AB66&lt;&gt;"",AC66&lt;&gt;""),"Completa","Incompleta"))</x:f>
      </x:c>
      <x:c r="AT66" s="63" t="str">
        <x:f>IF(A66="","",IF(COUNTIF($A$11:$A$410,A66)&gt;1,"ID duplicado",IF(AND(AR66&lt;&gt;"",ABS(AR66)&gt;0.01),"Revisar balanço",IF(AND(W66&lt;&gt;"",V66&lt;&gt;"",W66&gt;V66),"Retirada &gt; estoque",IF(AND(U66&lt;&gt;"",U66&lt;'Cenário Base'!$D$8*'Cenário Base'!$D$74),"E0 abaixo do gatilho",IF(AND(V66&lt;&gt;"",V66&gt;XLOOKUP(B66,$A$414:$A$418,$B$414:$B$418)),"Excedeu capacidade","Sem alerta"))))))</x:f>
      </x:c>
    </x:row>
    <x:row r="67">
      <x:c r="A67" s="43"/>
      <x:c r="B67" s="43"/>
      <x:c r="C67" s="43"/>
      <x:c r="D67" s="43"/>
      <x:c r="E67" s="43"/>
      <x:c r="F67" s="43"/>
      <x:c r="G67" s="43"/>
      <x:c r="H67" s="120"/>
      <x:c r="I67" s="120"/>
      <x:c r="J67" s="120"/>
      <x:c r="K67" s="120"/>
      <x:c r="L67" s="120"/>
      <x:c r="M67" s="120"/>
      <x:c r="N67" s="120"/>
      <x:c r="O67" s="120"/>
      <x:c r="P67" s="120"/>
      <x:c r="Q67" s="120"/>
      <x:c r="R67" s="120"/>
      <x:c r="S67" s="120"/>
      <x:c r="T67" s="120"/>
      <x:c r="U67" s="48"/>
      <x:c r="V67" s="48"/>
      <x:c r="W67" s="48"/>
      <x:c r="X67" s="48"/>
      <x:c r="Y67" s="48"/>
      <x:c r="Z67" s="49"/>
      <x:c r="AA67" s="43"/>
      <x:c r="AB67" s="43"/>
      <x:c r="AC67" s="43"/>
      <x:c r="AD67" s="43"/>
      <x:c r="AE67" s="43"/>
      <x:c r="AF67" s="87" t="str">
        <x:f>IF(OR(H67="",I67="",I67&lt;H67),"",(I67-H67)*1440)</x:f>
      </x:c>
      <x:c r="AG67" s="87" t="str">
        <x:f>IF(OR(I67="",M67="",M67&lt;I67),"",(M67-I67)*1440)</x:f>
      </x:c>
      <x:c r="AH67" s="87" t="str">
        <x:f>IF(OR(M67="",N67="",N67&lt;M67),"",(N67-M67)*1440)</x:f>
      </x:c>
      <x:c r="AI67" s="87" t="str">
        <x:f>IF(OR(H67="",N67="",N67&lt;H67),"",(N67-H67)*1440)</x:f>
      </x:c>
      <x:c r="AJ67" s="87" t="str">
        <x:f>IF(OR(I67="",N67="",N67&lt;I67),"",(N67-I67)*1440)</x:f>
      </x:c>
      <x:c r="AK67" s="87" t="str">
        <x:f>IF(OR(N67="",O67="",O67&lt;N67),"",(O67-N67)*1440)</x:f>
      </x:c>
      <x:c r="AL67" s="87" t="str">
        <x:f>IF(OR(O67="",P67="",P67&lt;O67),"",(P67-O67)*1440)</x:f>
      </x:c>
      <x:c r="AM67" s="87" t="str">
        <x:f>IF(OR(Q67="",R67="",R67&lt;Q67),"",(R67-Q67)*1440)</x:f>
      </x:c>
      <x:c r="AN67" s="87" t="str">
        <x:f>IF(OR(S67="",T67="",T67&lt;S67),"",(T67-S67)*1440)</x:f>
      </x:c>
      <x:c r="AO67" s="87" t="str">
        <x:f>IF(OR(U67="",V67=""),"",V67-U67)</x:f>
      </x:c>
      <x:c r="AP67" s="63" t="str">
        <x:f>IF(A67="","",IF(OR(B67="",H67="",N67=""),"Incompleto",IF(N67&lt;H67,"Revisar",IF(OR(G67="",G67="Não observado"),"Qualidade E0 ausente",IF(OR(G67="Sensor",G67="Marcação física"),"Válido — E0 observado",IF(G67="Cálculo","Válido — E0 calculado","Válido — E0 estimado"))))))</x:f>
      </x:c>
      <x:c r="AQ67" s="63" t="str">
        <x:f>IF(A67="","",IF(COUNTA(H67:T67)&lt;13,"Incompleta",IF(OR(I67&lt;H67,J67&lt;I67,K67&lt;J67,L67&lt;K67,M67&lt;L67,N67&lt;M67,O67&lt;N67,P67&lt;O67,Q67&lt;P67,R67&lt;Q67,S67&lt;R67,T67&lt;S67),"Revisar","Completa")))</x:f>
      </x:c>
      <x:c r="AR67" s="87" t="str">
        <x:f>IF(OR(V67="",W67="",Y67=""),"",Y67-(V67-W67))</x:f>
      </x:c>
      <x:c r="AS67" s="63" t="str">
        <x:f>IF(A67="","",IF(AND(E67&lt;&gt;"",F67&lt;&gt;"",G67&lt;&gt;"",Z67&lt;&gt;"",AA67&lt;&gt;"",AB67&lt;&gt;"",AC67&lt;&gt;""),"Completa","Incompleta"))</x:f>
      </x:c>
      <x:c r="AT67" s="63" t="str">
        <x:f>IF(A67="","",IF(COUNTIF($A$11:$A$410,A67)&gt;1,"ID duplicado",IF(AND(AR67&lt;&gt;"",ABS(AR67)&gt;0.01),"Revisar balanço",IF(AND(W67&lt;&gt;"",V67&lt;&gt;"",W67&gt;V67),"Retirada &gt; estoque",IF(AND(U67&lt;&gt;"",U67&lt;'Cenário Base'!$D$8*'Cenário Base'!$D$74),"E0 abaixo do gatilho",IF(AND(V67&lt;&gt;"",V67&gt;XLOOKUP(B67,$A$414:$A$418,$B$414:$B$418)),"Excedeu capacidade","Sem alerta"))))))</x:f>
      </x:c>
    </x:row>
    <x:row r="68">
      <x:c r="A68" s="43"/>
      <x:c r="B68" s="43"/>
      <x:c r="C68" s="43"/>
      <x:c r="D68" s="43"/>
      <x:c r="E68" s="43"/>
      <x:c r="F68" s="43"/>
      <x:c r="G68" s="43"/>
      <x:c r="H68" s="120"/>
      <x:c r="I68" s="120"/>
      <x:c r="J68" s="120"/>
      <x:c r="K68" s="120"/>
      <x:c r="L68" s="120"/>
      <x:c r="M68" s="120"/>
      <x:c r="N68" s="120"/>
      <x:c r="O68" s="120"/>
      <x:c r="P68" s="120"/>
      <x:c r="Q68" s="120"/>
      <x:c r="R68" s="120"/>
      <x:c r="S68" s="120"/>
      <x:c r="T68" s="120"/>
      <x:c r="U68" s="48"/>
      <x:c r="V68" s="48"/>
      <x:c r="W68" s="48"/>
      <x:c r="X68" s="48"/>
      <x:c r="Y68" s="48"/>
      <x:c r="Z68" s="49"/>
      <x:c r="AA68" s="43"/>
      <x:c r="AB68" s="43"/>
      <x:c r="AC68" s="43"/>
      <x:c r="AD68" s="43"/>
      <x:c r="AE68" s="43"/>
      <x:c r="AF68" s="87" t="str">
        <x:f>IF(OR(H68="",I68="",I68&lt;H68),"",(I68-H68)*1440)</x:f>
      </x:c>
      <x:c r="AG68" s="87" t="str">
        <x:f>IF(OR(I68="",M68="",M68&lt;I68),"",(M68-I68)*1440)</x:f>
      </x:c>
      <x:c r="AH68" s="87" t="str">
        <x:f>IF(OR(M68="",N68="",N68&lt;M68),"",(N68-M68)*1440)</x:f>
      </x:c>
      <x:c r="AI68" s="87" t="str">
        <x:f>IF(OR(H68="",N68="",N68&lt;H68),"",(N68-H68)*1440)</x:f>
      </x:c>
      <x:c r="AJ68" s="87" t="str">
        <x:f>IF(OR(I68="",N68="",N68&lt;I68),"",(N68-I68)*1440)</x:f>
      </x:c>
      <x:c r="AK68" s="87" t="str">
        <x:f>IF(OR(N68="",O68="",O68&lt;N68),"",(O68-N68)*1440)</x:f>
      </x:c>
      <x:c r="AL68" s="87" t="str">
        <x:f>IF(OR(O68="",P68="",P68&lt;O68),"",(P68-O68)*1440)</x:f>
      </x:c>
      <x:c r="AM68" s="87" t="str">
        <x:f>IF(OR(Q68="",R68="",R68&lt;Q68),"",(R68-Q68)*1440)</x:f>
      </x:c>
      <x:c r="AN68" s="87" t="str">
        <x:f>IF(OR(S68="",T68="",T68&lt;S68),"",(T68-S68)*1440)</x:f>
      </x:c>
      <x:c r="AO68" s="87" t="str">
        <x:f>IF(OR(U68="",V68=""),"",V68-U68)</x:f>
      </x:c>
      <x:c r="AP68" s="63" t="str">
        <x:f>IF(A68="","",IF(OR(B68="",H68="",N68=""),"Incompleto",IF(N68&lt;H68,"Revisar",IF(OR(G68="",G68="Não observado"),"Qualidade E0 ausente",IF(OR(G68="Sensor",G68="Marcação física"),"Válido — E0 observado",IF(G68="Cálculo","Válido — E0 calculado","Válido — E0 estimado"))))))</x:f>
      </x:c>
      <x:c r="AQ68" s="63" t="str">
        <x:f>IF(A68="","",IF(COUNTA(H68:T68)&lt;13,"Incompleta",IF(OR(I68&lt;H68,J68&lt;I68,K68&lt;J68,L68&lt;K68,M68&lt;L68,N68&lt;M68,O68&lt;N68,P68&lt;O68,Q68&lt;P68,R68&lt;Q68,S68&lt;R68,T68&lt;S68),"Revisar","Completa")))</x:f>
      </x:c>
      <x:c r="AR68" s="87" t="str">
        <x:f>IF(OR(V68="",W68="",Y68=""),"",Y68-(V68-W68))</x:f>
      </x:c>
      <x:c r="AS68" s="63" t="str">
        <x:f>IF(A68="","",IF(AND(E68&lt;&gt;"",F68&lt;&gt;"",G68&lt;&gt;"",Z68&lt;&gt;"",AA68&lt;&gt;"",AB68&lt;&gt;"",AC68&lt;&gt;""),"Completa","Incompleta"))</x:f>
      </x:c>
      <x:c r="AT68" s="63" t="str">
        <x:f>IF(A68="","",IF(COUNTIF($A$11:$A$410,A68)&gt;1,"ID duplicado",IF(AND(AR68&lt;&gt;"",ABS(AR68)&gt;0.01),"Revisar balanço",IF(AND(W68&lt;&gt;"",V68&lt;&gt;"",W68&gt;V68),"Retirada &gt; estoque",IF(AND(U68&lt;&gt;"",U68&lt;'Cenário Base'!$D$8*'Cenário Base'!$D$74),"E0 abaixo do gatilho",IF(AND(V68&lt;&gt;"",V68&gt;XLOOKUP(B68,$A$414:$A$418,$B$414:$B$418)),"Excedeu capacidade","Sem alerta"))))))</x:f>
      </x:c>
    </x:row>
    <x:row r="69">
      <x:c r="A69" s="43"/>
      <x:c r="B69" s="43"/>
      <x:c r="C69" s="43"/>
      <x:c r="D69" s="43"/>
      <x:c r="E69" s="43"/>
      <x:c r="F69" s="43"/>
      <x:c r="G69" s="43"/>
      <x:c r="H69" s="120"/>
      <x:c r="I69" s="120"/>
      <x:c r="J69" s="120"/>
      <x:c r="K69" s="120"/>
      <x:c r="L69" s="120"/>
      <x:c r="M69" s="120"/>
      <x:c r="N69" s="120"/>
      <x:c r="O69" s="120"/>
      <x:c r="P69" s="120"/>
      <x:c r="Q69" s="120"/>
      <x:c r="R69" s="120"/>
      <x:c r="S69" s="120"/>
      <x:c r="T69" s="120"/>
      <x:c r="U69" s="48"/>
      <x:c r="V69" s="48"/>
      <x:c r="W69" s="48"/>
      <x:c r="X69" s="48"/>
      <x:c r="Y69" s="48"/>
      <x:c r="Z69" s="49"/>
      <x:c r="AA69" s="43"/>
      <x:c r="AB69" s="43"/>
      <x:c r="AC69" s="43"/>
      <x:c r="AD69" s="43"/>
      <x:c r="AE69" s="43"/>
      <x:c r="AF69" s="87" t="str">
        <x:f>IF(OR(H69="",I69="",I69&lt;H69),"",(I69-H69)*1440)</x:f>
      </x:c>
      <x:c r="AG69" s="87" t="str">
        <x:f>IF(OR(I69="",M69="",M69&lt;I69),"",(M69-I69)*1440)</x:f>
      </x:c>
      <x:c r="AH69" s="87" t="str">
        <x:f>IF(OR(M69="",N69="",N69&lt;M69),"",(N69-M69)*1440)</x:f>
      </x:c>
      <x:c r="AI69" s="87" t="str">
        <x:f>IF(OR(H69="",N69="",N69&lt;H69),"",(N69-H69)*1440)</x:f>
      </x:c>
      <x:c r="AJ69" s="87" t="str">
        <x:f>IF(OR(I69="",N69="",N69&lt;I69),"",(N69-I69)*1440)</x:f>
      </x:c>
      <x:c r="AK69" s="87" t="str">
        <x:f>IF(OR(N69="",O69="",O69&lt;N69),"",(O69-N69)*1440)</x:f>
      </x:c>
      <x:c r="AL69" s="87" t="str">
        <x:f>IF(OR(O69="",P69="",P69&lt;O69),"",(P69-O69)*1440)</x:f>
      </x:c>
      <x:c r="AM69" s="87" t="str">
        <x:f>IF(OR(Q69="",R69="",R69&lt;Q69),"",(R69-Q69)*1440)</x:f>
      </x:c>
      <x:c r="AN69" s="87" t="str">
        <x:f>IF(OR(S69="",T69="",T69&lt;S69),"",(T69-S69)*1440)</x:f>
      </x:c>
      <x:c r="AO69" s="87" t="str">
        <x:f>IF(OR(U69="",V69=""),"",V69-U69)</x:f>
      </x:c>
      <x:c r="AP69" s="63" t="str">
        <x:f>IF(A69="","",IF(OR(B69="",H69="",N69=""),"Incompleto",IF(N69&lt;H69,"Revisar",IF(OR(G69="",G69="Não observado"),"Qualidade E0 ausente",IF(OR(G69="Sensor",G69="Marcação física"),"Válido — E0 observado",IF(G69="Cálculo","Válido — E0 calculado","Válido — E0 estimado"))))))</x:f>
      </x:c>
      <x:c r="AQ69" s="63" t="str">
        <x:f>IF(A69="","",IF(COUNTA(H69:T69)&lt;13,"Incompleta",IF(OR(I69&lt;H69,J69&lt;I69,K69&lt;J69,L69&lt;K69,M69&lt;L69,N69&lt;M69,O69&lt;N69,P69&lt;O69,Q69&lt;P69,R69&lt;Q69,S69&lt;R69,T69&lt;S69),"Revisar","Completa")))</x:f>
      </x:c>
      <x:c r="AR69" s="87" t="str">
        <x:f>IF(OR(V69="",W69="",Y69=""),"",Y69-(V69-W69))</x:f>
      </x:c>
      <x:c r="AS69" s="63" t="str">
        <x:f>IF(A69="","",IF(AND(E69&lt;&gt;"",F69&lt;&gt;"",G69&lt;&gt;"",Z69&lt;&gt;"",AA69&lt;&gt;"",AB69&lt;&gt;"",AC69&lt;&gt;""),"Completa","Incompleta"))</x:f>
      </x:c>
      <x:c r="AT69" s="63" t="str">
        <x:f>IF(A69="","",IF(COUNTIF($A$11:$A$410,A69)&gt;1,"ID duplicado",IF(AND(AR69&lt;&gt;"",ABS(AR69)&gt;0.01),"Revisar balanço",IF(AND(W69&lt;&gt;"",V69&lt;&gt;"",W69&gt;V69),"Retirada &gt; estoque",IF(AND(U69&lt;&gt;"",U69&lt;'Cenário Base'!$D$8*'Cenário Base'!$D$74),"E0 abaixo do gatilho",IF(AND(V69&lt;&gt;"",V69&gt;XLOOKUP(B69,$A$414:$A$418,$B$414:$B$418)),"Excedeu capacidade","Sem alerta"))))))</x:f>
      </x:c>
    </x:row>
    <x:row r="70">
      <x:c r="A70" s="43"/>
      <x:c r="B70" s="43"/>
      <x:c r="C70" s="43"/>
      <x:c r="D70" s="43"/>
      <x:c r="E70" s="43"/>
      <x:c r="F70" s="43"/>
      <x:c r="G70" s="43"/>
      <x:c r="H70" s="120"/>
      <x:c r="I70" s="120"/>
      <x:c r="J70" s="120"/>
      <x:c r="K70" s="120"/>
      <x:c r="L70" s="120"/>
      <x:c r="M70" s="120"/>
      <x:c r="N70" s="120"/>
      <x:c r="O70" s="120"/>
      <x:c r="P70" s="120"/>
      <x:c r="Q70" s="120"/>
      <x:c r="R70" s="120"/>
      <x:c r="S70" s="120"/>
      <x:c r="T70" s="120"/>
      <x:c r="U70" s="48"/>
      <x:c r="V70" s="48"/>
      <x:c r="W70" s="48"/>
      <x:c r="X70" s="48"/>
      <x:c r="Y70" s="48"/>
      <x:c r="Z70" s="49"/>
      <x:c r="AA70" s="43"/>
      <x:c r="AB70" s="43"/>
      <x:c r="AC70" s="43"/>
      <x:c r="AD70" s="43"/>
      <x:c r="AE70" s="43"/>
      <x:c r="AF70" s="87" t="str">
        <x:f>IF(OR(H70="",I70="",I70&lt;H70),"",(I70-H70)*1440)</x:f>
      </x:c>
      <x:c r="AG70" s="87" t="str">
        <x:f>IF(OR(I70="",M70="",M70&lt;I70),"",(M70-I70)*1440)</x:f>
      </x:c>
      <x:c r="AH70" s="87" t="str">
        <x:f>IF(OR(M70="",N70="",N70&lt;M70),"",(N70-M70)*1440)</x:f>
      </x:c>
      <x:c r="AI70" s="87" t="str">
        <x:f>IF(OR(H70="",N70="",N70&lt;H70),"",(N70-H70)*1440)</x:f>
      </x:c>
      <x:c r="AJ70" s="87" t="str">
        <x:f>IF(OR(I70="",N70="",N70&lt;I70),"",(N70-I70)*1440)</x:f>
      </x:c>
      <x:c r="AK70" s="87" t="str">
        <x:f>IF(OR(N70="",O70="",O70&lt;N70),"",(O70-N70)*1440)</x:f>
      </x:c>
      <x:c r="AL70" s="87" t="str">
        <x:f>IF(OR(O70="",P70="",P70&lt;O70),"",(P70-O70)*1440)</x:f>
      </x:c>
      <x:c r="AM70" s="87" t="str">
        <x:f>IF(OR(Q70="",R70="",R70&lt;Q70),"",(R70-Q70)*1440)</x:f>
      </x:c>
      <x:c r="AN70" s="87" t="str">
        <x:f>IF(OR(S70="",T70="",T70&lt;S70),"",(T70-S70)*1440)</x:f>
      </x:c>
      <x:c r="AO70" s="87" t="str">
        <x:f>IF(OR(U70="",V70=""),"",V70-U70)</x:f>
      </x:c>
      <x:c r="AP70" s="63" t="str">
        <x:f>IF(A70="","",IF(OR(B70="",H70="",N70=""),"Incompleto",IF(N70&lt;H70,"Revisar",IF(OR(G70="",G70="Não observado"),"Qualidade E0 ausente",IF(OR(G70="Sensor",G70="Marcação física"),"Válido — E0 observado",IF(G70="Cálculo","Válido — E0 calculado","Válido — E0 estimado"))))))</x:f>
      </x:c>
      <x:c r="AQ70" s="63" t="str">
        <x:f>IF(A70="","",IF(COUNTA(H70:T70)&lt;13,"Incompleta",IF(OR(I70&lt;H70,J70&lt;I70,K70&lt;J70,L70&lt;K70,M70&lt;L70,N70&lt;M70,O70&lt;N70,P70&lt;O70,Q70&lt;P70,R70&lt;Q70,S70&lt;R70,T70&lt;S70),"Revisar","Completa")))</x:f>
      </x:c>
      <x:c r="AR70" s="87" t="str">
        <x:f>IF(OR(V70="",W70="",Y70=""),"",Y70-(V70-W70))</x:f>
      </x:c>
      <x:c r="AS70" s="63" t="str">
        <x:f>IF(A70="","",IF(AND(E70&lt;&gt;"",F70&lt;&gt;"",G70&lt;&gt;"",Z70&lt;&gt;"",AA70&lt;&gt;"",AB70&lt;&gt;"",AC70&lt;&gt;""),"Completa","Incompleta"))</x:f>
      </x:c>
      <x:c r="AT70" s="63" t="str">
        <x:f>IF(A70="","",IF(COUNTIF($A$11:$A$410,A70)&gt;1,"ID duplicado",IF(AND(AR70&lt;&gt;"",ABS(AR70)&gt;0.01),"Revisar balanço",IF(AND(W70&lt;&gt;"",V70&lt;&gt;"",W70&gt;V70),"Retirada &gt; estoque",IF(AND(U70&lt;&gt;"",U70&lt;'Cenário Base'!$D$8*'Cenário Base'!$D$74),"E0 abaixo do gatilho",IF(AND(V70&lt;&gt;"",V70&gt;XLOOKUP(B70,$A$414:$A$418,$B$414:$B$418)),"Excedeu capacidade","Sem alerta"))))))</x:f>
      </x:c>
    </x:row>
    <x:row r="71">
      <x:c r="A71" s="43"/>
      <x:c r="B71" s="43"/>
      <x:c r="C71" s="43"/>
      <x:c r="D71" s="43"/>
      <x:c r="E71" s="43"/>
      <x:c r="F71" s="43"/>
      <x:c r="G71" s="43"/>
      <x:c r="H71" s="120"/>
      <x:c r="I71" s="120"/>
      <x:c r="J71" s="120"/>
      <x:c r="K71" s="120"/>
      <x:c r="L71" s="120"/>
      <x:c r="M71" s="120"/>
      <x:c r="N71" s="120"/>
      <x:c r="O71" s="120"/>
      <x:c r="P71" s="120"/>
      <x:c r="Q71" s="120"/>
      <x:c r="R71" s="120"/>
      <x:c r="S71" s="120"/>
      <x:c r="T71" s="120"/>
      <x:c r="U71" s="48"/>
      <x:c r="V71" s="48"/>
      <x:c r="W71" s="48"/>
      <x:c r="X71" s="48"/>
      <x:c r="Y71" s="48"/>
      <x:c r="Z71" s="49"/>
      <x:c r="AA71" s="43"/>
      <x:c r="AB71" s="43"/>
      <x:c r="AC71" s="43"/>
      <x:c r="AD71" s="43"/>
      <x:c r="AE71" s="43"/>
      <x:c r="AF71" s="87" t="str">
        <x:f>IF(OR(H71="",I71="",I71&lt;H71),"",(I71-H71)*1440)</x:f>
      </x:c>
      <x:c r="AG71" s="87" t="str">
        <x:f>IF(OR(I71="",M71="",M71&lt;I71),"",(M71-I71)*1440)</x:f>
      </x:c>
      <x:c r="AH71" s="87" t="str">
        <x:f>IF(OR(M71="",N71="",N71&lt;M71),"",(N71-M71)*1440)</x:f>
      </x:c>
      <x:c r="AI71" s="87" t="str">
        <x:f>IF(OR(H71="",N71="",N71&lt;H71),"",(N71-H71)*1440)</x:f>
      </x:c>
      <x:c r="AJ71" s="87" t="str">
        <x:f>IF(OR(I71="",N71="",N71&lt;I71),"",(N71-I71)*1440)</x:f>
      </x:c>
      <x:c r="AK71" s="87" t="str">
        <x:f>IF(OR(N71="",O71="",O71&lt;N71),"",(O71-N71)*1440)</x:f>
      </x:c>
      <x:c r="AL71" s="87" t="str">
        <x:f>IF(OR(O71="",P71="",P71&lt;O71),"",(P71-O71)*1440)</x:f>
      </x:c>
      <x:c r="AM71" s="87" t="str">
        <x:f>IF(OR(Q71="",R71="",R71&lt;Q71),"",(R71-Q71)*1440)</x:f>
      </x:c>
      <x:c r="AN71" s="87" t="str">
        <x:f>IF(OR(S71="",T71="",T71&lt;S71),"",(T71-S71)*1440)</x:f>
      </x:c>
      <x:c r="AO71" s="87" t="str">
        <x:f>IF(OR(U71="",V71=""),"",V71-U71)</x:f>
      </x:c>
      <x:c r="AP71" s="63" t="str">
        <x:f>IF(A71="","",IF(OR(B71="",H71="",N71=""),"Incompleto",IF(N71&lt;H71,"Revisar",IF(OR(G71="",G71="Não observado"),"Qualidade E0 ausente",IF(OR(G71="Sensor",G71="Marcação física"),"Válido — E0 observado",IF(G71="Cálculo","Válido — E0 calculado","Válido — E0 estimado"))))))</x:f>
      </x:c>
      <x:c r="AQ71" s="63" t="str">
        <x:f>IF(A71="","",IF(COUNTA(H71:T71)&lt;13,"Incompleta",IF(OR(I71&lt;H71,J71&lt;I71,K71&lt;J71,L71&lt;K71,M71&lt;L71,N71&lt;M71,O71&lt;N71,P71&lt;O71,Q71&lt;P71,R71&lt;Q71,S71&lt;R71,T71&lt;S71),"Revisar","Completa")))</x:f>
      </x:c>
      <x:c r="AR71" s="87" t="str">
        <x:f>IF(OR(V71="",W71="",Y71=""),"",Y71-(V71-W71))</x:f>
      </x:c>
      <x:c r="AS71" s="63" t="str">
        <x:f>IF(A71="","",IF(AND(E71&lt;&gt;"",F71&lt;&gt;"",G71&lt;&gt;"",Z71&lt;&gt;"",AA71&lt;&gt;"",AB71&lt;&gt;"",AC71&lt;&gt;""),"Completa","Incompleta"))</x:f>
      </x:c>
      <x:c r="AT71" s="63" t="str">
        <x:f>IF(A71="","",IF(COUNTIF($A$11:$A$410,A71)&gt;1,"ID duplicado",IF(AND(AR71&lt;&gt;"",ABS(AR71)&gt;0.01),"Revisar balanço",IF(AND(W71&lt;&gt;"",V71&lt;&gt;"",W71&gt;V71),"Retirada &gt; estoque",IF(AND(U71&lt;&gt;"",U71&lt;'Cenário Base'!$D$8*'Cenário Base'!$D$74),"E0 abaixo do gatilho",IF(AND(V71&lt;&gt;"",V71&gt;XLOOKUP(B71,$A$414:$A$418,$B$414:$B$418)),"Excedeu capacidade","Sem alerta"))))))</x:f>
      </x:c>
    </x:row>
    <x:row r="72">
      <x:c r="A72" s="43"/>
      <x:c r="B72" s="43"/>
      <x:c r="C72" s="43"/>
      <x:c r="D72" s="43"/>
      <x:c r="E72" s="43"/>
      <x:c r="F72" s="43"/>
      <x:c r="G72" s="43"/>
      <x:c r="H72" s="120"/>
      <x:c r="I72" s="120"/>
      <x:c r="J72" s="120"/>
      <x:c r="K72" s="120"/>
      <x:c r="L72" s="120"/>
      <x:c r="M72" s="120"/>
      <x:c r="N72" s="120"/>
      <x:c r="O72" s="120"/>
      <x:c r="P72" s="120"/>
      <x:c r="Q72" s="120"/>
      <x:c r="R72" s="120"/>
      <x:c r="S72" s="120"/>
      <x:c r="T72" s="120"/>
      <x:c r="U72" s="48"/>
      <x:c r="V72" s="48"/>
      <x:c r="W72" s="48"/>
      <x:c r="X72" s="48"/>
      <x:c r="Y72" s="48"/>
      <x:c r="Z72" s="49"/>
      <x:c r="AA72" s="43"/>
      <x:c r="AB72" s="43"/>
      <x:c r="AC72" s="43"/>
      <x:c r="AD72" s="43"/>
      <x:c r="AE72" s="43"/>
      <x:c r="AF72" s="87" t="str">
        <x:f>IF(OR(H72="",I72="",I72&lt;H72),"",(I72-H72)*1440)</x:f>
      </x:c>
      <x:c r="AG72" s="87" t="str">
        <x:f>IF(OR(I72="",M72="",M72&lt;I72),"",(M72-I72)*1440)</x:f>
      </x:c>
      <x:c r="AH72" s="87" t="str">
        <x:f>IF(OR(M72="",N72="",N72&lt;M72),"",(N72-M72)*1440)</x:f>
      </x:c>
      <x:c r="AI72" s="87" t="str">
        <x:f>IF(OR(H72="",N72="",N72&lt;H72),"",(N72-H72)*1440)</x:f>
      </x:c>
      <x:c r="AJ72" s="87" t="str">
        <x:f>IF(OR(I72="",N72="",N72&lt;I72),"",(N72-I72)*1440)</x:f>
      </x:c>
      <x:c r="AK72" s="87" t="str">
        <x:f>IF(OR(N72="",O72="",O72&lt;N72),"",(O72-N72)*1440)</x:f>
      </x:c>
      <x:c r="AL72" s="87" t="str">
        <x:f>IF(OR(O72="",P72="",P72&lt;O72),"",(P72-O72)*1440)</x:f>
      </x:c>
      <x:c r="AM72" s="87" t="str">
        <x:f>IF(OR(Q72="",R72="",R72&lt;Q72),"",(R72-Q72)*1440)</x:f>
      </x:c>
      <x:c r="AN72" s="87" t="str">
        <x:f>IF(OR(S72="",T72="",T72&lt;S72),"",(T72-S72)*1440)</x:f>
      </x:c>
      <x:c r="AO72" s="87" t="str">
        <x:f>IF(OR(U72="",V72=""),"",V72-U72)</x:f>
      </x:c>
      <x:c r="AP72" s="63" t="str">
        <x:f>IF(A72="","",IF(OR(B72="",H72="",N72=""),"Incompleto",IF(N72&lt;H72,"Revisar",IF(OR(G72="",G72="Não observado"),"Qualidade E0 ausente",IF(OR(G72="Sensor",G72="Marcação física"),"Válido — E0 observado",IF(G72="Cálculo","Válido — E0 calculado","Válido — E0 estimado"))))))</x:f>
      </x:c>
      <x:c r="AQ72" s="63" t="str">
        <x:f>IF(A72="","",IF(COUNTA(H72:T72)&lt;13,"Incompleta",IF(OR(I72&lt;H72,J72&lt;I72,K72&lt;J72,L72&lt;K72,M72&lt;L72,N72&lt;M72,O72&lt;N72,P72&lt;O72,Q72&lt;P72,R72&lt;Q72,S72&lt;R72,T72&lt;S72),"Revisar","Completa")))</x:f>
      </x:c>
      <x:c r="AR72" s="87" t="str">
        <x:f>IF(OR(V72="",W72="",Y72=""),"",Y72-(V72-W72))</x:f>
      </x:c>
      <x:c r="AS72" s="63" t="str">
        <x:f>IF(A72="","",IF(AND(E72&lt;&gt;"",F72&lt;&gt;"",G72&lt;&gt;"",Z72&lt;&gt;"",AA72&lt;&gt;"",AB72&lt;&gt;"",AC72&lt;&gt;""),"Completa","Incompleta"))</x:f>
      </x:c>
      <x:c r="AT72" s="63" t="str">
        <x:f>IF(A72="","",IF(COUNTIF($A$11:$A$410,A72)&gt;1,"ID duplicado",IF(AND(AR72&lt;&gt;"",ABS(AR72)&gt;0.01),"Revisar balanço",IF(AND(W72&lt;&gt;"",V72&lt;&gt;"",W72&gt;V72),"Retirada &gt; estoque",IF(AND(U72&lt;&gt;"",U72&lt;'Cenário Base'!$D$8*'Cenário Base'!$D$74),"E0 abaixo do gatilho",IF(AND(V72&lt;&gt;"",V72&gt;XLOOKUP(B72,$A$414:$A$418,$B$414:$B$418)),"Excedeu capacidade","Sem alerta"))))))</x:f>
      </x:c>
    </x:row>
    <x:row r="73">
      <x:c r="A73" s="43"/>
      <x:c r="B73" s="43"/>
      <x:c r="C73" s="43"/>
      <x:c r="D73" s="43"/>
      <x:c r="E73" s="43"/>
      <x:c r="F73" s="43"/>
      <x:c r="G73" s="43"/>
      <x:c r="H73" s="120"/>
      <x:c r="I73" s="120"/>
      <x:c r="J73" s="120"/>
      <x:c r="K73" s="120"/>
      <x:c r="L73" s="120"/>
      <x:c r="M73" s="120"/>
      <x:c r="N73" s="120"/>
      <x:c r="O73" s="120"/>
      <x:c r="P73" s="120"/>
      <x:c r="Q73" s="120"/>
      <x:c r="R73" s="120"/>
      <x:c r="S73" s="120"/>
      <x:c r="T73" s="120"/>
      <x:c r="U73" s="48"/>
      <x:c r="V73" s="48"/>
      <x:c r="W73" s="48"/>
      <x:c r="X73" s="48"/>
      <x:c r="Y73" s="48"/>
      <x:c r="Z73" s="49"/>
      <x:c r="AA73" s="43"/>
      <x:c r="AB73" s="43"/>
      <x:c r="AC73" s="43"/>
      <x:c r="AD73" s="43"/>
      <x:c r="AE73" s="43"/>
      <x:c r="AF73" s="87" t="str">
        <x:f>IF(OR(H73="",I73="",I73&lt;H73),"",(I73-H73)*1440)</x:f>
      </x:c>
      <x:c r="AG73" s="87" t="str">
        <x:f>IF(OR(I73="",M73="",M73&lt;I73),"",(M73-I73)*1440)</x:f>
      </x:c>
      <x:c r="AH73" s="87" t="str">
        <x:f>IF(OR(M73="",N73="",N73&lt;M73),"",(N73-M73)*1440)</x:f>
      </x:c>
      <x:c r="AI73" s="87" t="str">
        <x:f>IF(OR(H73="",N73="",N73&lt;H73),"",(N73-H73)*1440)</x:f>
      </x:c>
      <x:c r="AJ73" s="87" t="str">
        <x:f>IF(OR(I73="",N73="",N73&lt;I73),"",(N73-I73)*1440)</x:f>
      </x:c>
      <x:c r="AK73" s="87" t="str">
        <x:f>IF(OR(N73="",O73="",O73&lt;N73),"",(O73-N73)*1440)</x:f>
      </x:c>
      <x:c r="AL73" s="87" t="str">
        <x:f>IF(OR(O73="",P73="",P73&lt;O73),"",(P73-O73)*1440)</x:f>
      </x:c>
      <x:c r="AM73" s="87" t="str">
        <x:f>IF(OR(Q73="",R73="",R73&lt;Q73),"",(R73-Q73)*1440)</x:f>
      </x:c>
      <x:c r="AN73" s="87" t="str">
        <x:f>IF(OR(S73="",T73="",T73&lt;S73),"",(T73-S73)*1440)</x:f>
      </x:c>
      <x:c r="AO73" s="87" t="str">
        <x:f>IF(OR(U73="",V73=""),"",V73-U73)</x:f>
      </x:c>
      <x:c r="AP73" s="63" t="str">
        <x:f>IF(A73="","",IF(OR(B73="",H73="",N73=""),"Incompleto",IF(N73&lt;H73,"Revisar",IF(OR(G73="",G73="Não observado"),"Qualidade E0 ausente",IF(OR(G73="Sensor",G73="Marcação física"),"Válido — E0 observado",IF(G73="Cálculo","Válido — E0 calculado","Válido — E0 estimado"))))))</x:f>
      </x:c>
      <x:c r="AQ73" s="63" t="str">
        <x:f>IF(A73="","",IF(COUNTA(H73:T73)&lt;13,"Incompleta",IF(OR(I73&lt;H73,J73&lt;I73,K73&lt;J73,L73&lt;K73,M73&lt;L73,N73&lt;M73,O73&lt;N73,P73&lt;O73,Q73&lt;P73,R73&lt;Q73,S73&lt;R73,T73&lt;S73),"Revisar","Completa")))</x:f>
      </x:c>
      <x:c r="AR73" s="87" t="str">
        <x:f>IF(OR(V73="",W73="",Y73=""),"",Y73-(V73-W73))</x:f>
      </x:c>
      <x:c r="AS73" s="63" t="str">
        <x:f>IF(A73="","",IF(AND(E73&lt;&gt;"",F73&lt;&gt;"",G73&lt;&gt;"",Z73&lt;&gt;"",AA73&lt;&gt;"",AB73&lt;&gt;"",AC73&lt;&gt;""),"Completa","Incompleta"))</x:f>
      </x:c>
      <x:c r="AT73" s="63" t="str">
        <x:f>IF(A73="","",IF(COUNTIF($A$11:$A$410,A73)&gt;1,"ID duplicado",IF(AND(AR73&lt;&gt;"",ABS(AR73)&gt;0.01),"Revisar balanço",IF(AND(W73&lt;&gt;"",V73&lt;&gt;"",W73&gt;V73),"Retirada &gt; estoque",IF(AND(U73&lt;&gt;"",U73&lt;'Cenário Base'!$D$8*'Cenário Base'!$D$74),"E0 abaixo do gatilho",IF(AND(V73&lt;&gt;"",V73&gt;XLOOKUP(B73,$A$414:$A$418,$B$414:$B$418)),"Excedeu capacidade","Sem alerta"))))))</x:f>
      </x:c>
    </x:row>
    <x:row r="74">
      <x:c r="A74" s="43"/>
      <x:c r="B74" s="43"/>
      <x:c r="C74" s="43"/>
      <x:c r="D74" s="43"/>
      <x:c r="E74" s="43"/>
      <x:c r="F74" s="43"/>
      <x:c r="G74" s="43"/>
      <x:c r="H74" s="120"/>
      <x:c r="I74" s="120"/>
      <x:c r="J74" s="120"/>
      <x:c r="K74" s="120"/>
      <x:c r="L74" s="120"/>
      <x:c r="M74" s="120"/>
      <x:c r="N74" s="120"/>
      <x:c r="O74" s="120"/>
      <x:c r="P74" s="120"/>
      <x:c r="Q74" s="120"/>
      <x:c r="R74" s="120"/>
      <x:c r="S74" s="120"/>
      <x:c r="T74" s="120"/>
      <x:c r="U74" s="48"/>
      <x:c r="V74" s="48"/>
      <x:c r="W74" s="48"/>
      <x:c r="X74" s="48"/>
      <x:c r="Y74" s="48"/>
      <x:c r="Z74" s="49"/>
      <x:c r="AA74" s="43"/>
      <x:c r="AB74" s="43"/>
      <x:c r="AC74" s="43"/>
      <x:c r="AD74" s="43"/>
      <x:c r="AE74" s="43"/>
      <x:c r="AF74" s="87" t="str">
        <x:f>IF(OR(H74="",I74="",I74&lt;H74),"",(I74-H74)*1440)</x:f>
      </x:c>
      <x:c r="AG74" s="87" t="str">
        <x:f>IF(OR(I74="",M74="",M74&lt;I74),"",(M74-I74)*1440)</x:f>
      </x:c>
      <x:c r="AH74" s="87" t="str">
        <x:f>IF(OR(M74="",N74="",N74&lt;M74),"",(N74-M74)*1440)</x:f>
      </x:c>
      <x:c r="AI74" s="87" t="str">
        <x:f>IF(OR(H74="",N74="",N74&lt;H74),"",(N74-H74)*1440)</x:f>
      </x:c>
      <x:c r="AJ74" s="87" t="str">
        <x:f>IF(OR(I74="",N74="",N74&lt;I74),"",(N74-I74)*1440)</x:f>
      </x:c>
      <x:c r="AK74" s="87" t="str">
        <x:f>IF(OR(N74="",O74="",O74&lt;N74),"",(O74-N74)*1440)</x:f>
      </x:c>
      <x:c r="AL74" s="87" t="str">
        <x:f>IF(OR(O74="",P74="",P74&lt;O74),"",(P74-O74)*1440)</x:f>
      </x:c>
      <x:c r="AM74" s="87" t="str">
        <x:f>IF(OR(Q74="",R74="",R74&lt;Q74),"",(R74-Q74)*1440)</x:f>
      </x:c>
      <x:c r="AN74" s="87" t="str">
        <x:f>IF(OR(S74="",T74="",T74&lt;S74),"",(T74-S74)*1440)</x:f>
      </x:c>
      <x:c r="AO74" s="87" t="str">
        <x:f>IF(OR(U74="",V74=""),"",V74-U74)</x:f>
      </x:c>
      <x:c r="AP74" s="63" t="str">
        <x:f>IF(A74="","",IF(OR(B74="",H74="",N74=""),"Incompleto",IF(N74&lt;H74,"Revisar",IF(OR(G74="",G74="Não observado"),"Qualidade E0 ausente",IF(OR(G74="Sensor",G74="Marcação física"),"Válido — E0 observado",IF(G74="Cálculo","Válido — E0 calculado","Válido — E0 estimado"))))))</x:f>
      </x:c>
      <x:c r="AQ74" s="63" t="str">
        <x:f>IF(A74="","",IF(COUNTA(H74:T74)&lt;13,"Incompleta",IF(OR(I74&lt;H74,J74&lt;I74,K74&lt;J74,L74&lt;K74,M74&lt;L74,N74&lt;M74,O74&lt;N74,P74&lt;O74,Q74&lt;P74,R74&lt;Q74,S74&lt;R74,T74&lt;S74),"Revisar","Completa")))</x:f>
      </x:c>
      <x:c r="AR74" s="87" t="str">
        <x:f>IF(OR(V74="",W74="",Y74=""),"",Y74-(V74-W74))</x:f>
      </x:c>
      <x:c r="AS74" s="63" t="str">
        <x:f>IF(A74="","",IF(AND(E74&lt;&gt;"",F74&lt;&gt;"",G74&lt;&gt;"",Z74&lt;&gt;"",AA74&lt;&gt;"",AB74&lt;&gt;"",AC74&lt;&gt;""),"Completa","Incompleta"))</x:f>
      </x:c>
      <x:c r="AT74" s="63" t="str">
        <x:f>IF(A74="","",IF(COUNTIF($A$11:$A$410,A74)&gt;1,"ID duplicado",IF(AND(AR74&lt;&gt;"",ABS(AR74)&gt;0.01),"Revisar balanço",IF(AND(W74&lt;&gt;"",V74&lt;&gt;"",W74&gt;V74),"Retirada &gt; estoque",IF(AND(U74&lt;&gt;"",U74&lt;'Cenário Base'!$D$8*'Cenário Base'!$D$74),"E0 abaixo do gatilho",IF(AND(V74&lt;&gt;"",V74&gt;XLOOKUP(B74,$A$414:$A$418,$B$414:$B$418)),"Excedeu capacidade","Sem alerta"))))))</x:f>
      </x:c>
    </x:row>
    <x:row r="75">
      <x:c r="A75" s="43"/>
      <x:c r="B75" s="43"/>
      <x:c r="C75" s="43"/>
      <x:c r="D75" s="43"/>
      <x:c r="E75" s="43"/>
      <x:c r="F75" s="43"/>
      <x:c r="G75" s="43"/>
      <x:c r="H75" s="120"/>
      <x:c r="I75" s="120"/>
      <x:c r="J75" s="120"/>
      <x:c r="K75" s="120"/>
      <x:c r="L75" s="120"/>
      <x:c r="M75" s="120"/>
      <x:c r="N75" s="120"/>
      <x:c r="O75" s="120"/>
      <x:c r="P75" s="120"/>
      <x:c r="Q75" s="120"/>
      <x:c r="R75" s="120"/>
      <x:c r="S75" s="120"/>
      <x:c r="T75" s="120"/>
      <x:c r="U75" s="48"/>
      <x:c r="V75" s="48"/>
      <x:c r="W75" s="48"/>
      <x:c r="X75" s="48"/>
      <x:c r="Y75" s="48"/>
      <x:c r="Z75" s="49"/>
      <x:c r="AA75" s="43"/>
      <x:c r="AB75" s="43"/>
      <x:c r="AC75" s="43"/>
      <x:c r="AD75" s="43"/>
      <x:c r="AE75" s="43"/>
      <x:c r="AF75" s="87" t="str">
        <x:f>IF(OR(H75="",I75="",I75&lt;H75),"",(I75-H75)*1440)</x:f>
      </x:c>
      <x:c r="AG75" s="87" t="str">
        <x:f>IF(OR(I75="",M75="",M75&lt;I75),"",(M75-I75)*1440)</x:f>
      </x:c>
      <x:c r="AH75" s="87" t="str">
        <x:f>IF(OR(M75="",N75="",N75&lt;M75),"",(N75-M75)*1440)</x:f>
      </x:c>
      <x:c r="AI75" s="87" t="str">
        <x:f>IF(OR(H75="",N75="",N75&lt;H75),"",(N75-H75)*1440)</x:f>
      </x:c>
      <x:c r="AJ75" s="87" t="str">
        <x:f>IF(OR(I75="",N75="",N75&lt;I75),"",(N75-I75)*1440)</x:f>
      </x:c>
      <x:c r="AK75" s="87" t="str">
        <x:f>IF(OR(N75="",O75="",O75&lt;N75),"",(O75-N75)*1440)</x:f>
      </x:c>
      <x:c r="AL75" s="87" t="str">
        <x:f>IF(OR(O75="",P75="",P75&lt;O75),"",(P75-O75)*1440)</x:f>
      </x:c>
      <x:c r="AM75" s="87" t="str">
        <x:f>IF(OR(Q75="",R75="",R75&lt;Q75),"",(R75-Q75)*1440)</x:f>
      </x:c>
      <x:c r="AN75" s="87" t="str">
        <x:f>IF(OR(S75="",T75="",T75&lt;S75),"",(T75-S75)*1440)</x:f>
      </x:c>
      <x:c r="AO75" s="87" t="str">
        <x:f>IF(OR(U75="",V75=""),"",V75-U75)</x:f>
      </x:c>
      <x:c r="AP75" s="63" t="str">
        <x:f>IF(A75="","",IF(OR(B75="",H75="",N75=""),"Incompleto",IF(N75&lt;H75,"Revisar",IF(OR(G75="",G75="Não observado"),"Qualidade E0 ausente",IF(OR(G75="Sensor",G75="Marcação física"),"Válido — E0 observado",IF(G75="Cálculo","Válido — E0 calculado","Válido — E0 estimado"))))))</x:f>
      </x:c>
      <x:c r="AQ75" s="63" t="str">
        <x:f>IF(A75="","",IF(COUNTA(H75:T75)&lt;13,"Incompleta",IF(OR(I75&lt;H75,J75&lt;I75,K75&lt;J75,L75&lt;K75,M75&lt;L75,N75&lt;M75,O75&lt;N75,P75&lt;O75,Q75&lt;P75,R75&lt;Q75,S75&lt;R75,T75&lt;S75),"Revisar","Completa")))</x:f>
      </x:c>
      <x:c r="AR75" s="87" t="str">
        <x:f>IF(OR(V75="",W75="",Y75=""),"",Y75-(V75-W75))</x:f>
      </x:c>
      <x:c r="AS75" s="63" t="str">
        <x:f>IF(A75="","",IF(AND(E75&lt;&gt;"",F75&lt;&gt;"",G75&lt;&gt;"",Z75&lt;&gt;"",AA75&lt;&gt;"",AB75&lt;&gt;"",AC75&lt;&gt;""),"Completa","Incompleta"))</x:f>
      </x:c>
      <x:c r="AT75" s="63" t="str">
        <x:f>IF(A75="","",IF(COUNTIF($A$11:$A$410,A75)&gt;1,"ID duplicado",IF(AND(AR75&lt;&gt;"",ABS(AR75)&gt;0.01),"Revisar balanço",IF(AND(W75&lt;&gt;"",V75&lt;&gt;"",W75&gt;V75),"Retirada &gt; estoque",IF(AND(U75&lt;&gt;"",U75&lt;'Cenário Base'!$D$8*'Cenário Base'!$D$74),"E0 abaixo do gatilho",IF(AND(V75&lt;&gt;"",V75&gt;XLOOKUP(B75,$A$414:$A$418,$B$414:$B$418)),"Excedeu capacidade","Sem alerta"))))))</x:f>
      </x:c>
    </x:row>
    <x:row r="76">
      <x:c r="A76" s="43"/>
      <x:c r="B76" s="43"/>
      <x:c r="C76" s="43"/>
      <x:c r="D76" s="43"/>
      <x:c r="E76" s="43"/>
      <x:c r="F76" s="43"/>
      <x:c r="G76" s="43"/>
      <x:c r="H76" s="120"/>
      <x:c r="I76" s="120"/>
      <x:c r="J76" s="120"/>
      <x:c r="K76" s="120"/>
      <x:c r="L76" s="120"/>
      <x:c r="M76" s="120"/>
      <x:c r="N76" s="120"/>
      <x:c r="O76" s="120"/>
      <x:c r="P76" s="120"/>
      <x:c r="Q76" s="120"/>
      <x:c r="R76" s="120"/>
      <x:c r="S76" s="120"/>
      <x:c r="T76" s="120"/>
      <x:c r="U76" s="48"/>
      <x:c r="V76" s="48"/>
      <x:c r="W76" s="48"/>
      <x:c r="X76" s="48"/>
      <x:c r="Y76" s="48"/>
      <x:c r="Z76" s="49"/>
      <x:c r="AA76" s="43"/>
      <x:c r="AB76" s="43"/>
      <x:c r="AC76" s="43"/>
      <x:c r="AD76" s="43"/>
      <x:c r="AE76" s="43"/>
      <x:c r="AF76" s="87" t="str">
        <x:f>IF(OR(H76="",I76="",I76&lt;H76),"",(I76-H76)*1440)</x:f>
      </x:c>
      <x:c r="AG76" s="87" t="str">
        <x:f>IF(OR(I76="",M76="",M76&lt;I76),"",(M76-I76)*1440)</x:f>
      </x:c>
      <x:c r="AH76" s="87" t="str">
        <x:f>IF(OR(M76="",N76="",N76&lt;M76),"",(N76-M76)*1440)</x:f>
      </x:c>
      <x:c r="AI76" s="87" t="str">
        <x:f>IF(OR(H76="",N76="",N76&lt;H76),"",(N76-H76)*1440)</x:f>
      </x:c>
      <x:c r="AJ76" s="87" t="str">
        <x:f>IF(OR(I76="",N76="",N76&lt;I76),"",(N76-I76)*1440)</x:f>
      </x:c>
      <x:c r="AK76" s="87" t="str">
        <x:f>IF(OR(N76="",O76="",O76&lt;N76),"",(O76-N76)*1440)</x:f>
      </x:c>
      <x:c r="AL76" s="87" t="str">
        <x:f>IF(OR(O76="",P76="",P76&lt;O76),"",(P76-O76)*1440)</x:f>
      </x:c>
      <x:c r="AM76" s="87" t="str">
        <x:f>IF(OR(Q76="",R76="",R76&lt;Q76),"",(R76-Q76)*1440)</x:f>
      </x:c>
      <x:c r="AN76" s="87" t="str">
        <x:f>IF(OR(S76="",T76="",T76&lt;S76),"",(T76-S76)*1440)</x:f>
      </x:c>
      <x:c r="AO76" s="87" t="str">
        <x:f>IF(OR(U76="",V76=""),"",V76-U76)</x:f>
      </x:c>
      <x:c r="AP76" s="63" t="str">
        <x:f>IF(A76="","",IF(OR(B76="",H76="",N76=""),"Incompleto",IF(N76&lt;H76,"Revisar",IF(OR(G76="",G76="Não observado"),"Qualidade E0 ausente",IF(OR(G76="Sensor",G76="Marcação física"),"Válido — E0 observado",IF(G76="Cálculo","Válido — E0 calculado","Válido — E0 estimado"))))))</x:f>
      </x:c>
      <x:c r="AQ76" s="63" t="str">
        <x:f>IF(A76="","",IF(COUNTA(H76:T76)&lt;13,"Incompleta",IF(OR(I76&lt;H76,J76&lt;I76,K76&lt;J76,L76&lt;K76,M76&lt;L76,N76&lt;M76,O76&lt;N76,P76&lt;O76,Q76&lt;P76,R76&lt;Q76,S76&lt;R76,T76&lt;S76),"Revisar","Completa")))</x:f>
      </x:c>
      <x:c r="AR76" s="87" t="str">
        <x:f>IF(OR(V76="",W76="",Y76=""),"",Y76-(V76-W76))</x:f>
      </x:c>
      <x:c r="AS76" s="63" t="str">
        <x:f>IF(A76="","",IF(AND(E76&lt;&gt;"",F76&lt;&gt;"",G76&lt;&gt;"",Z76&lt;&gt;"",AA76&lt;&gt;"",AB76&lt;&gt;"",AC76&lt;&gt;""),"Completa","Incompleta"))</x:f>
      </x:c>
      <x:c r="AT76" s="63" t="str">
        <x:f>IF(A76="","",IF(COUNTIF($A$11:$A$410,A76)&gt;1,"ID duplicado",IF(AND(AR76&lt;&gt;"",ABS(AR76)&gt;0.01),"Revisar balanço",IF(AND(W76&lt;&gt;"",V76&lt;&gt;"",W76&gt;V76),"Retirada &gt; estoque",IF(AND(U76&lt;&gt;"",U76&lt;'Cenário Base'!$D$8*'Cenário Base'!$D$74),"E0 abaixo do gatilho",IF(AND(V76&lt;&gt;"",V76&gt;XLOOKUP(B76,$A$414:$A$418,$B$414:$B$418)),"Excedeu capacidade","Sem alerta"))))))</x:f>
      </x:c>
    </x:row>
    <x:row r="77">
      <x:c r="A77" s="43"/>
      <x:c r="B77" s="43"/>
      <x:c r="C77" s="43"/>
      <x:c r="D77" s="43"/>
      <x:c r="E77" s="43"/>
      <x:c r="F77" s="43"/>
      <x:c r="G77" s="43"/>
      <x:c r="H77" s="120"/>
      <x:c r="I77" s="120"/>
      <x:c r="J77" s="120"/>
      <x:c r="K77" s="120"/>
      <x:c r="L77" s="120"/>
      <x:c r="M77" s="120"/>
      <x:c r="N77" s="120"/>
      <x:c r="O77" s="120"/>
      <x:c r="P77" s="120"/>
      <x:c r="Q77" s="120"/>
      <x:c r="R77" s="120"/>
      <x:c r="S77" s="120"/>
      <x:c r="T77" s="120"/>
      <x:c r="U77" s="48"/>
      <x:c r="V77" s="48"/>
      <x:c r="W77" s="48"/>
      <x:c r="X77" s="48"/>
      <x:c r="Y77" s="48"/>
      <x:c r="Z77" s="49"/>
      <x:c r="AA77" s="43"/>
      <x:c r="AB77" s="43"/>
      <x:c r="AC77" s="43"/>
      <x:c r="AD77" s="43"/>
      <x:c r="AE77" s="43"/>
      <x:c r="AF77" s="87" t="str">
        <x:f>IF(OR(H77="",I77="",I77&lt;H77),"",(I77-H77)*1440)</x:f>
      </x:c>
      <x:c r="AG77" s="87" t="str">
        <x:f>IF(OR(I77="",M77="",M77&lt;I77),"",(M77-I77)*1440)</x:f>
      </x:c>
      <x:c r="AH77" s="87" t="str">
        <x:f>IF(OR(M77="",N77="",N77&lt;M77),"",(N77-M77)*1440)</x:f>
      </x:c>
      <x:c r="AI77" s="87" t="str">
        <x:f>IF(OR(H77="",N77="",N77&lt;H77),"",(N77-H77)*1440)</x:f>
      </x:c>
      <x:c r="AJ77" s="87" t="str">
        <x:f>IF(OR(I77="",N77="",N77&lt;I77),"",(N77-I77)*1440)</x:f>
      </x:c>
      <x:c r="AK77" s="87" t="str">
        <x:f>IF(OR(N77="",O77="",O77&lt;N77),"",(O77-N77)*1440)</x:f>
      </x:c>
      <x:c r="AL77" s="87" t="str">
        <x:f>IF(OR(O77="",P77="",P77&lt;O77),"",(P77-O77)*1440)</x:f>
      </x:c>
      <x:c r="AM77" s="87" t="str">
        <x:f>IF(OR(Q77="",R77="",R77&lt;Q77),"",(R77-Q77)*1440)</x:f>
      </x:c>
      <x:c r="AN77" s="87" t="str">
        <x:f>IF(OR(S77="",T77="",T77&lt;S77),"",(T77-S77)*1440)</x:f>
      </x:c>
      <x:c r="AO77" s="87" t="str">
        <x:f>IF(OR(U77="",V77=""),"",V77-U77)</x:f>
      </x:c>
      <x:c r="AP77" s="63" t="str">
        <x:f>IF(A77="","",IF(OR(B77="",H77="",N77=""),"Incompleto",IF(N77&lt;H77,"Revisar",IF(OR(G77="",G77="Não observado"),"Qualidade E0 ausente",IF(OR(G77="Sensor",G77="Marcação física"),"Válido — E0 observado",IF(G77="Cálculo","Válido — E0 calculado","Válido — E0 estimado"))))))</x:f>
      </x:c>
      <x:c r="AQ77" s="63" t="str">
        <x:f>IF(A77="","",IF(COUNTA(H77:T77)&lt;13,"Incompleta",IF(OR(I77&lt;H77,J77&lt;I77,K77&lt;J77,L77&lt;K77,M77&lt;L77,N77&lt;M77,O77&lt;N77,P77&lt;O77,Q77&lt;P77,R77&lt;Q77,S77&lt;R77,T77&lt;S77),"Revisar","Completa")))</x:f>
      </x:c>
      <x:c r="AR77" s="87" t="str">
        <x:f>IF(OR(V77="",W77="",Y77=""),"",Y77-(V77-W77))</x:f>
      </x:c>
      <x:c r="AS77" s="63" t="str">
        <x:f>IF(A77="","",IF(AND(E77&lt;&gt;"",F77&lt;&gt;"",G77&lt;&gt;"",Z77&lt;&gt;"",AA77&lt;&gt;"",AB77&lt;&gt;"",AC77&lt;&gt;""),"Completa","Incompleta"))</x:f>
      </x:c>
      <x:c r="AT77" s="63" t="str">
        <x:f>IF(A77="","",IF(COUNTIF($A$11:$A$410,A77)&gt;1,"ID duplicado",IF(AND(AR77&lt;&gt;"",ABS(AR77)&gt;0.01),"Revisar balanço",IF(AND(W77&lt;&gt;"",V77&lt;&gt;"",W77&gt;V77),"Retirada &gt; estoque",IF(AND(U77&lt;&gt;"",U77&lt;'Cenário Base'!$D$8*'Cenário Base'!$D$74),"E0 abaixo do gatilho",IF(AND(V77&lt;&gt;"",V77&gt;XLOOKUP(B77,$A$414:$A$418,$B$414:$B$418)),"Excedeu capacidade","Sem alerta"))))))</x:f>
      </x:c>
    </x:row>
    <x:row r="78">
      <x:c r="A78" s="43"/>
      <x:c r="B78" s="43"/>
      <x:c r="C78" s="43"/>
      <x:c r="D78" s="43"/>
      <x:c r="E78" s="43"/>
      <x:c r="F78" s="43"/>
      <x:c r="G78" s="43"/>
      <x:c r="H78" s="120"/>
      <x:c r="I78" s="120"/>
      <x:c r="J78" s="120"/>
      <x:c r="K78" s="120"/>
      <x:c r="L78" s="120"/>
      <x:c r="M78" s="120"/>
      <x:c r="N78" s="120"/>
      <x:c r="O78" s="120"/>
      <x:c r="P78" s="120"/>
      <x:c r="Q78" s="120"/>
      <x:c r="R78" s="120"/>
      <x:c r="S78" s="120"/>
      <x:c r="T78" s="120"/>
      <x:c r="U78" s="48"/>
      <x:c r="V78" s="48"/>
      <x:c r="W78" s="48"/>
      <x:c r="X78" s="48"/>
      <x:c r="Y78" s="48"/>
      <x:c r="Z78" s="49"/>
      <x:c r="AA78" s="43"/>
      <x:c r="AB78" s="43"/>
      <x:c r="AC78" s="43"/>
      <x:c r="AD78" s="43"/>
      <x:c r="AE78" s="43"/>
      <x:c r="AF78" s="87" t="str">
        <x:f>IF(OR(H78="",I78="",I78&lt;H78),"",(I78-H78)*1440)</x:f>
      </x:c>
      <x:c r="AG78" s="87" t="str">
        <x:f>IF(OR(I78="",M78="",M78&lt;I78),"",(M78-I78)*1440)</x:f>
      </x:c>
      <x:c r="AH78" s="87" t="str">
        <x:f>IF(OR(M78="",N78="",N78&lt;M78),"",(N78-M78)*1440)</x:f>
      </x:c>
      <x:c r="AI78" s="87" t="str">
        <x:f>IF(OR(H78="",N78="",N78&lt;H78),"",(N78-H78)*1440)</x:f>
      </x:c>
      <x:c r="AJ78" s="87" t="str">
        <x:f>IF(OR(I78="",N78="",N78&lt;I78),"",(N78-I78)*1440)</x:f>
      </x:c>
      <x:c r="AK78" s="87" t="str">
        <x:f>IF(OR(N78="",O78="",O78&lt;N78),"",(O78-N78)*1440)</x:f>
      </x:c>
      <x:c r="AL78" s="87" t="str">
        <x:f>IF(OR(O78="",P78="",P78&lt;O78),"",(P78-O78)*1440)</x:f>
      </x:c>
      <x:c r="AM78" s="87" t="str">
        <x:f>IF(OR(Q78="",R78="",R78&lt;Q78),"",(R78-Q78)*1440)</x:f>
      </x:c>
      <x:c r="AN78" s="87" t="str">
        <x:f>IF(OR(S78="",T78="",T78&lt;S78),"",(T78-S78)*1440)</x:f>
      </x:c>
      <x:c r="AO78" s="87" t="str">
        <x:f>IF(OR(U78="",V78=""),"",V78-U78)</x:f>
      </x:c>
      <x:c r="AP78" s="63" t="str">
        <x:f>IF(A78="","",IF(OR(B78="",H78="",N78=""),"Incompleto",IF(N78&lt;H78,"Revisar",IF(OR(G78="",G78="Não observado"),"Qualidade E0 ausente",IF(OR(G78="Sensor",G78="Marcação física"),"Válido — E0 observado",IF(G78="Cálculo","Válido — E0 calculado","Válido — E0 estimado"))))))</x:f>
      </x:c>
      <x:c r="AQ78" s="63" t="str">
        <x:f>IF(A78="","",IF(COUNTA(H78:T78)&lt;13,"Incompleta",IF(OR(I78&lt;H78,J78&lt;I78,K78&lt;J78,L78&lt;K78,M78&lt;L78,N78&lt;M78,O78&lt;N78,P78&lt;O78,Q78&lt;P78,R78&lt;Q78,S78&lt;R78,T78&lt;S78),"Revisar","Completa")))</x:f>
      </x:c>
      <x:c r="AR78" s="87" t="str">
        <x:f>IF(OR(V78="",W78="",Y78=""),"",Y78-(V78-W78))</x:f>
      </x:c>
      <x:c r="AS78" s="63" t="str">
        <x:f>IF(A78="","",IF(AND(E78&lt;&gt;"",F78&lt;&gt;"",G78&lt;&gt;"",Z78&lt;&gt;"",AA78&lt;&gt;"",AB78&lt;&gt;"",AC78&lt;&gt;""),"Completa","Incompleta"))</x:f>
      </x:c>
      <x:c r="AT78" s="63" t="str">
        <x:f>IF(A78="","",IF(COUNTIF($A$11:$A$410,A78)&gt;1,"ID duplicado",IF(AND(AR78&lt;&gt;"",ABS(AR78)&gt;0.01),"Revisar balanço",IF(AND(W78&lt;&gt;"",V78&lt;&gt;"",W78&gt;V78),"Retirada &gt; estoque",IF(AND(U78&lt;&gt;"",U78&lt;'Cenário Base'!$D$8*'Cenário Base'!$D$74),"E0 abaixo do gatilho",IF(AND(V78&lt;&gt;"",V78&gt;XLOOKUP(B78,$A$414:$A$418,$B$414:$B$418)),"Excedeu capacidade","Sem alerta"))))))</x:f>
      </x:c>
    </x:row>
    <x:row r="79">
      <x:c r="A79" s="43"/>
      <x:c r="B79" s="43"/>
      <x:c r="C79" s="43"/>
      <x:c r="D79" s="43"/>
      <x:c r="E79" s="43"/>
      <x:c r="F79" s="43"/>
      <x:c r="G79" s="43"/>
      <x:c r="H79" s="120"/>
      <x:c r="I79" s="120"/>
      <x:c r="J79" s="120"/>
      <x:c r="K79" s="120"/>
      <x:c r="L79" s="120"/>
      <x:c r="M79" s="120"/>
      <x:c r="N79" s="120"/>
      <x:c r="O79" s="120"/>
      <x:c r="P79" s="120"/>
      <x:c r="Q79" s="120"/>
      <x:c r="R79" s="120"/>
      <x:c r="S79" s="120"/>
      <x:c r="T79" s="120"/>
      <x:c r="U79" s="48"/>
      <x:c r="V79" s="48"/>
      <x:c r="W79" s="48"/>
      <x:c r="X79" s="48"/>
      <x:c r="Y79" s="48"/>
      <x:c r="Z79" s="49"/>
      <x:c r="AA79" s="43"/>
      <x:c r="AB79" s="43"/>
      <x:c r="AC79" s="43"/>
      <x:c r="AD79" s="43"/>
      <x:c r="AE79" s="43"/>
      <x:c r="AF79" s="87" t="str">
        <x:f>IF(OR(H79="",I79="",I79&lt;H79),"",(I79-H79)*1440)</x:f>
      </x:c>
      <x:c r="AG79" s="87" t="str">
        <x:f>IF(OR(I79="",M79="",M79&lt;I79),"",(M79-I79)*1440)</x:f>
      </x:c>
      <x:c r="AH79" s="87" t="str">
        <x:f>IF(OR(M79="",N79="",N79&lt;M79),"",(N79-M79)*1440)</x:f>
      </x:c>
      <x:c r="AI79" s="87" t="str">
        <x:f>IF(OR(H79="",N79="",N79&lt;H79),"",(N79-H79)*1440)</x:f>
      </x:c>
      <x:c r="AJ79" s="87" t="str">
        <x:f>IF(OR(I79="",N79="",N79&lt;I79),"",(N79-I79)*1440)</x:f>
      </x:c>
      <x:c r="AK79" s="87" t="str">
        <x:f>IF(OR(N79="",O79="",O79&lt;N79),"",(O79-N79)*1440)</x:f>
      </x:c>
      <x:c r="AL79" s="87" t="str">
        <x:f>IF(OR(O79="",P79="",P79&lt;O79),"",(P79-O79)*1440)</x:f>
      </x:c>
      <x:c r="AM79" s="87" t="str">
        <x:f>IF(OR(Q79="",R79="",R79&lt;Q79),"",(R79-Q79)*1440)</x:f>
      </x:c>
      <x:c r="AN79" s="87" t="str">
        <x:f>IF(OR(S79="",T79="",T79&lt;S79),"",(T79-S79)*1440)</x:f>
      </x:c>
      <x:c r="AO79" s="87" t="str">
        <x:f>IF(OR(U79="",V79=""),"",V79-U79)</x:f>
      </x:c>
      <x:c r="AP79" s="63" t="str">
        <x:f>IF(A79="","",IF(OR(B79="",H79="",N79=""),"Incompleto",IF(N79&lt;H79,"Revisar",IF(OR(G79="",G79="Não observado"),"Qualidade E0 ausente",IF(OR(G79="Sensor",G79="Marcação física"),"Válido — E0 observado",IF(G79="Cálculo","Válido — E0 calculado","Válido — E0 estimado"))))))</x:f>
      </x:c>
      <x:c r="AQ79" s="63" t="str">
        <x:f>IF(A79="","",IF(COUNTA(H79:T79)&lt;13,"Incompleta",IF(OR(I79&lt;H79,J79&lt;I79,K79&lt;J79,L79&lt;K79,M79&lt;L79,N79&lt;M79,O79&lt;N79,P79&lt;O79,Q79&lt;P79,R79&lt;Q79,S79&lt;R79,T79&lt;S79),"Revisar","Completa")))</x:f>
      </x:c>
      <x:c r="AR79" s="87" t="str">
        <x:f>IF(OR(V79="",W79="",Y79=""),"",Y79-(V79-W79))</x:f>
      </x:c>
      <x:c r="AS79" s="63" t="str">
        <x:f>IF(A79="","",IF(AND(E79&lt;&gt;"",F79&lt;&gt;"",G79&lt;&gt;"",Z79&lt;&gt;"",AA79&lt;&gt;"",AB79&lt;&gt;"",AC79&lt;&gt;""),"Completa","Incompleta"))</x:f>
      </x:c>
      <x:c r="AT79" s="63" t="str">
        <x:f>IF(A79="","",IF(COUNTIF($A$11:$A$410,A79)&gt;1,"ID duplicado",IF(AND(AR79&lt;&gt;"",ABS(AR79)&gt;0.01),"Revisar balanço",IF(AND(W79&lt;&gt;"",V79&lt;&gt;"",W79&gt;V79),"Retirada &gt; estoque",IF(AND(U79&lt;&gt;"",U79&lt;'Cenário Base'!$D$8*'Cenário Base'!$D$74),"E0 abaixo do gatilho",IF(AND(V79&lt;&gt;"",V79&gt;XLOOKUP(B79,$A$414:$A$418,$B$414:$B$418)),"Excedeu capacidade","Sem alerta"))))))</x:f>
      </x:c>
    </x:row>
    <x:row r="80">
      <x:c r="A80" s="43"/>
      <x:c r="B80" s="43"/>
      <x:c r="C80" s="43"/>
      <x:c r="D80" s="43"/>
      <x:c r="E80" s="43"/>
      <x:c r="F80" s="43"/>
      <x:c r="G80" s="43"/>
      <x:c r="H80" s="120"/>
      <x:c r="I80" s="120"/>
      <x:c r="J80" s="120"/>
      <x:c r="K80" s="120"/>
      <x:c r="L80" s="120"/>
      <x:c r="M80" s="120"/>
      <x:c r="N80" s="120"/>
      <x:c r="O80" s="120"/>
      <x:c r="P80" s="120"/>
      <x:c r="Q80" s="120"/>
      <x:c r="R80" s="120"/>
      <x:c r="S80" s="120"/>
      <x:c r="T80" s="120"/>
      <x:c r="U80" s="48"/>
      <x:c r="V80" s="48"/>
      <x:c r="W80" s="48"/>
      <x:c r="X80" s="48"/>
      <x:c r="Y80" s="48"/>
      <x:c r="Z80" s="49"/>
      <x:c r="AA80" s="43"/>
      <x:c r="AB80" s="43"/>
      <x:c r="AC80" s="43"/>
      <x:c r="AD80" s="43"/>
      <x:c r="AE80" s="43"/>
      <x:c r="AF80" s="87" t="str">
        <x:f>IF(OR(H80="",I80="",I80&lt;H80),"",(I80-H80)*1440)</x:f>
      </x:c>
      <x:c r="AG80" s="87" t="str">
        <x:f>IF(OR(I80="",M80="",M80&lt;I80),"",(M80-I80)*1440)</x:f>
      </x:c>
      <x:c r="AH80" s="87" t="str">
        <x:f>IF(OR(M80="",N80="",N80&lt;M80),"",(N80-M80)*1440)</x:f>
      </x:c>
      <x:c r="AI80" s="87" t="str">
        <x:f>IF(OR(H80="",N80="",N80&lt;H80),"",(N80-H80)*1440)</x:f>
      </x:c>
      <x:c r="AJ80" s="87" t="str">
        <x:f>IF(OR(I80="",N80="",N80&lt;I80),"",(N80-I80)*1440)</x:f>
      </x:c>
      <x:c r="AK80" s="87" t="str">
        <x:f>IF(OR(N80="",O80="",O80&lt;N80),"",(O80-N80)*1440)</x:f>
      </x:c>
      <x:c r="AL80" s="87" t="str">
        <x:f>IF(OR(O80="",P80="",P80&lt;O80),"",(P80-O80)*1440)</x:f>
      </x:c>
      <x:c r="AM80" s="87" t="str">
        <x:f>IF(OR(Q80="",R80="",R80&lt;Q80),"",(R80-Q80)*1440)</x:f>
      </x:c>
      <x:c r="AN80" s="87" t="str">
        <x:f>IF(OR(S80="",T80="",T80&lt;S80),"",(T80-S80)*1440)</x:f>
      </x:c>
      <x:c r="AO80" s="87" t="str">
        <x:f>IF(OR(U80="",V80=""),"",V80-U80)</x:f>
      </x:c>
      <x:c r="AP80" s="63" t="str">
        <x:f>IF(A80="","",IF(OR(B80="",H80="",N80=""),"Incompleto",IF(N80&lt;H80,"Revisar",IF(OR(G80="",G80="Não observado"),"Qualidade E0 ausente",IF(OR(G80="Sensor",G80="Marcação física"),"Válido — E0 observado",IF(G80="Cálculo","Válido — E0 calculado","Válido — E0 estimado"))))))</x:f>
      </x:c>
      <x:c r="AQ80" s="63" t="str">
        <x:f>IF(A80="","",IF(COUNTA(H80:T80)&lt;13,"Incompleta",IF(OR(I80&lt;H80,J80&lt;I80,K80&lt;J80,L80&lt;K80,M80&lt;L80,N80&lt;M80,O80&lt;N80,P80&lt;O80,Q80&lt;P80,R80&lt;Q80,S80&lt;R80,T80&lt;S80),"Revisar","Completa")))</x:f>
      </x:c>
      <x:c r="AR80" s="87" t="str">
        <x:f>IF(OR(V80="",W80="",Y80=""),"",Y80-(V80-W80))</x:f>
      </x:c>
      <x:c r="AS80" s="63" t="str">
        <x:f>IF(A80="","",IF(AND(E80&lt;&gt;"",F80&lt;&gt;"",G80&lt;&gt;"",Z80&lt;&gt;"",AA80&lt;&gt;"",AB80&lt;&gt;"",AC80&lt;&gt;""),"Completa","Incompleta"))</x:f>
      </x:c>
      <x:c r="AT80" s="63" t="str">
        <x:f>IF(A80="","",IF(COUNTIF($A$11:$A$410,A80)&gt;1,"ID duplicado",IF(AND(AR80&lt;&gt;"",ABS(AR80)&gt;0.01),"Revisar balanço",IF(AND(W80&lt;&gt;"",V80&lt;&gt;"",W80&gt;V80),"Retirada &gt; estoque",IF(AND(U80&lt;&gt;"",U80&lt;'Cenário Base'!$D$8*'Cenário Base'!$D$74),"E0 abaixo do gatilho",IF(AND(V80&lt;&gt;"",V80&gt;XLOOKUP(B80,$A$414:$A$418,$B$414:$B$418)),"Excedeu capacidade","Sem alerta"))))))</x:f>
      </x:c>
    </x:row>
    <x:row r="81">
      <x:c r="A81" s="43"/>
      <x:c r="B81" s="43"/>
      <x:c r="C81" s="43"/>
      <x:c r="D81" s="43"/>
      <x:c r="E81" s="43"/>
      <x:c r="F81" s="43"/>
      <x:c r="G81" s="43"/>
      <x:c r="H81" s="120"/>
      <x:c r="I81" s="120"/>
      <x:c r="J81" s="120"/>
      <x:c r="K81" s="120"/>
      <x:c r="L81" s="120"/>
      <x:c r="M81" s="120"/>
      <x:c r="N81" s="120"/>
      <x:c r="O81" s="120"/>
      <x:c r="P81" s="120"/>
      <x:c r="Q81" s="120"/>
      <x:c r="R81" s="120"/>
      <x:c r="S81" s="120"/>
      <x:c r="T81" s="120"/>
      <x:c r="U81" s="48"/>
      <x:c r="V81" s="48"/>
      <x:c r="W81" s="48"/>
      <x:c r="X81" s="48"/>
      <x:c r="Y81" s="48"/>
      <x:c r="Z81" s="49"/>
      <x:c r="AA81" s="43"/>
      <x:c r="AB81" s="43"/>
      <x:c r="AC81" s="43"/>
      <x:c r="AD81" s="43"/>
      <x:c r="AE81" s="43"/>
      <x:c r="AF81" s="87" t="str">
        <x:f>IF(OR(H81="",I81="",I81&lt;H81),"",(I81-H81)*1440)</x:f>
      </x:c>
      <x:c r="AG81" s="87" t="str">
        <x:f>IF(OR(I81="",M81="",M81&lt;I81),"",(M81-I81)*1440)</x:f>
      </x:c>
      <x:c r="AH81" s="87" t="str">
        <x:f>IF(OR(M81="",N81="",N81&lt;M81),"",(N81-M81)*1440)</x:f>
      </x:c>
      <x:c r="AI81" s="87" t="str">
        <x:f>IF(OR(H81="",N81="",N81&lt;H81),"",(N81-H81)*1440)</x:f>
      </x:c>
      <x:c r="AJ81" s="87" t="str">
        <x:f>IF(OR(I81="",N81="",N81&lt;I81),"",(N81-I81)*1440)</x:f>
      </x:c>
      <x:c r="AK81" s="87" t="str">
        <x:f>IF(OR(N81="",O81="",O81&lt;N81),"",(O81-N81)*1440)</x:f>
      </x:c>
      <x:c r="AL81" s="87" t="str">
        <x:f>IF(OR(O81="",P81="",P81&lt;O81),"",(P81-O81)*1440)</x:f>
      </x:c>
      <x:c r="AM81" s="87" t="str">
        <x:f>IF(OR(Q81="",R81="",R81&lt;Q81),"",(R81-Q81)*1440)</x:f>
      </x:c>
      <x:c r="AN81" s="87" t="str">
        <x:f>IF(OR(S81="",T81="",T81&lt;S81),"",(T81-S81)*1440)</x:f>
      </x:c>
      <x:c r="AO81" s="87" t="str">
        <x:f>IF(OR(U81="",V81=""),"",V81-U81)</x:f>
      </x:c>
      <x:c r="AP81" s="63" t="str">
        <x:f>IF(A81="","",IF(OR(B81="",H81="",N81=""),"Incompleto",IF(N81&lt;H81,"Revisar",IF(OR(G81="",G81="Não observado"),"Qualidade E0 ausente",IF(OR(G81="Sensor",G81="Marcação física"),"Válido — E0 observado",IF(G81="Cálculo","Válido — E0 calculado","Válido — E0 estimado"))))))</x:f>
      </x:c>
      <x:c r="AQ81" s="63" t="str">
        <x:f>IF(A81="","",IF(COUNTA(H81:T81)&lt;13,"Incompleta",IF(OR(I81&lt;H81,J81&lt;I81,K81&lt;J81,L81&lt;K81,M81&lt;L81,N81&lt;M81,O81&lt;N81,P81&lt;O81,Q81&lt;P81,R81&lt;Q81,S81&lt;R81,T81&lt;S81),"Revisar","Completa")))</x:f>
      </x:c>
      <x:c r="AR81" s="87" t="str">
        <x:f>IF(OR(V81="",W81="",Y81=""),"",Y81-(V81-W81))</x:f>
      </x:c>
      <x:c r="AS81" s="63" t="str">
        <x:f>IF(A81="","",IF(AND(E81&lt;&gt;"",F81&lt;&gt;"",G81&lt;&gt;"",Z81&lt;&gt;"",AA81&lt;&gt;"",AB81&lt;&gt;"",AC81&lt;&gt;""),"Completa","Incompleta"))</x:f>
      </x:c>
      <x:c r="AT81" s="63" t="str">
        <x:f>IF(A81="","",IF(COUNTIF($A$11:$A$410,A81)&gt;1,"ID duplicado",IF(AND(AR81&lt;&gt;"",ABS(AR81)&gt;0.01),"Revisar balanço",IF(AND(W81&lt;&gt;"",V81&lt;&gt;"",W81&gt;V81),"Retirada &gt; estoque",IF(AND(U81&lt;&gt;"",U81&lt;'Cenário Base'!$D$8*'Cenário Base'!$D$74),"E0 abaixo do gatilho",IF(AND(V81&lt;&gt;"",V81&gt;XLOOKUP(B81,$A$414:$A$418,$B$414:$B$418)),"Excedeu capacidade","Sem alerta"))))))</x:f>
      </x:c>
    </x:row>
    <x:row r="82">
      <x:c r="A82" s="43"/>
      <x:c r="B82" s="43"/>
      <x:c r="C82" s="43"/>
      <x:c r="D82" s="43"/>
      <x:c r="E82" s="43"/>
      <x:c r="F82" s="43"/>
      <x:c r="G82" s="43"/>
      <x:c r="H82" s="120"/>
      <x:c r="I82" s="120"/>
      <x:c r="J82" s="120"/>
      <x:c r="K82" s="120"/>
      <x:c r="L82" s="120"/>
      <x:c r="M82" s="120"/>
      <x:c r="N82" s="120"/>
      <x:c r="O82" s="120"/>
      <x:c r="P82" s="120"/>
      <x:c r="Q82" s="120"/>
      <x:c r="R82" s="120"/>
      <x:c r="S82" s="120"/>
      <x:c r="T82" s="120"/>
      <x:c r="U82" s="48"/>
      <x:c r="V82" s="48"/>
      <x:c r="W82" s="48"/>
      <x:c r="X82" s="48"/>
      <x:c r="Y82" s="48"/>
      <x:c r="Z82" s="49"/>
      <x:c r="AA82" s="43"/>
      <x:c r="AB82" s="43"/>
      <x:c r="AC82" s="43"/>
      <x:c r="AD82" s="43"/>
      <x:c r="AE82" s="43"/>
      <x:c r="AF82" s="87" t="str">
        <x:f>IF(OR(H82="",I82="",I82&lt;H82),"",(I82-H82)*1440)</x:f>
      </x:c>
      <x:c r="AG82" s="87" t="str">
        <x:f>IF(OR(I82="",M82="",M82&lt;I82),"",(M82-I82)*1440)</x:f>
      </x:c>
      <x:c r="AH82" s="87" t="str">
        <x:f>IF(OR(M82="",N82="",N82&lt;M82),"",(N82-M82)*1440)</x:f>
      </x:c>
      <x:c r="AI82" s="87" t="str">
        <x:f>IF(OR(H82="",N82="",N82&lt;H82),"",(N82-H82)*1440)</x:f>
      </x:c>
      <x:c r="AJ82" s="87" t="str">
        <x:f>IF(OR(I82="",N82="",N82&lt;I82),"",(N82-I82)*1440)</x:f>
      </x:c>
      <x:c r="AK82" s="87" t="str">
        <x:f>IF(OR(N82="",O82="",O82&lt;N82),"",(O82-N82)*1440)</x:f>
      </x:c>
      <x:c r="AL82" s="87" t="str">
        <x:f>IF(OR(O82="",P82="",P82&lt;O82),"",(P82-O82)*1440)</x:f>
      </x:c>
      <x:c r="AM82" s="87" t="str">
        <x:f>IF(OR(Q82="",R82="",R82&lt;Q82),"",(R82-Q82)*1440)</x:f>
      </x:c>
      <x:c r="AN82" s="87" t="str">
        <x:f>IF(OR(S82="",T82="",T82&lt;S82),"",(T82-S82)*1440)</x:f>
      </x:c>
      <x:c r="AO82" s="87" t="str">
        <x:f>IF(OR(U82="",V82=""),"",V82-U82)</x:f>
      </x:c>
      <x:c r="AP82" s="63" t="str">
        <x:f>IF(A82="","",IF(OR(B82="",H82="",N82=""),"Incompleto",IF(N82&lt;H82,"Revisar",IF(OR(G82="",G82="Não observado"),"Qualidade E0 ausente",IF(OR(G82="Sensor",G82="Marcação física"),"Válido — E0 observado",IF(G82="Cálculo","Válido — E0 calculado","Válido — E0 estimado"))))))</x:f>
      </x:c>
      <x:c r="AQ82" s="63" t="str">
        <x:f>IF(A82="","",IF(COUNTA(H82:T82)&lt;13,"Incompleta",IF(OR(I82&lt;H82,J82&lt;I82,K82&lt;J82,L82&lt;K82,M82&lt;L82,N82&lt;M82,O82&lt;N82,P82&lt;O82,Q82&lt;P82,R82&lt;Q82,S82&lt;R82,T82&lt;S82),"Revisar","Completa")))</x:f>
      </x:c>
      <x:c r="AR82" s="87" t="str">
        <x:f>IF(OR(V82="",W82="",Y82=""),"",Y82-(V82-W82))</x:f>
      </x:c>
      <x:c r="AS82" s="63" t="str">
        <x:f>IF(A82="","",IF(AND(E82&lt;&gt;"",F82&lt;&gt;"",G82&lt;&gt;"",Z82&lt;&gt;"",AA82&lt;&gt;"",AB82&lt;&gt;"",AC82&lt;&gt;""),"Completa","Incompleta"))</x:f>
      </x:c>
      <x:c r="AT82" s="63" t="str">
        <x:f>IF(A82="","",IF(COUNTIF($A$11:$A$410,A82)&gt;1,"ID duplicado",IF(AND(AR82&lt;&gt;"",ABS(AR82)&gt;0.01),"Revisar balanço",IF(AND(W82&lt;&gt;"",V82&lt;&gt;"",W82&gt;V82),"Retirada &gt; estoque",IF(AND(U82&lt;&gt;"",U82&lt;'Cenário Base'!$D$8*'Cenário Base'!$D$74),"E0 abaixo do gatilho",IF(AND(V82&lt;&gt;"",V82&gt;XLOOKUP(B82,$A$414:$A$418,$B$414:$B$418)),"Excedeu capacidade","Sem alerta"))))))</x:f>
      </x:c>
    </x:row>
    <x:row r="83">
      <x:c r="A83" s="43"/>
      <x:c r="B83" s="43"/>
      <x:c r="C83" s="43"/>
      <x:c r="D83" s="43"/>
      <x:c r="E83" s="43"/>
      <x:c r="F83" s="43"/>
      <x:c r="G83" s="43"/>
      <x:c r="H83" s="120"/>
      <x:c r="I83" s="120"/>
      <x:c r="J83" s="120"/>
      <x:c r="K83" s="120"/>
      <x:c r="L83" s="120"/>
      <x:c r="M83" s="120"/>
      <x:c r="N83" s="120"/>
      <x:c r="O83" s="120"/>
      <x:c r="P83" s="120"/>
      <x:c r="Q83" s="120"/>
      <x:c r="R83" s="120"/>
      <x:c r="S83" s="120"/>
      <x:c r="T83" s="120"/>
      <x:c r="U83" s="48"/>
      <x:c r="V83" s="48"/>
      <x:c r="W83" s="48"/>
      <x:c r="X83" s="48"/>
      <x:c r="Y83" s="48"/>
      <x:c r="Z83" s="49"/>
      <x:c r="AA83" s="43"/>
      <x:c r="AB83" s="43"/>
      <x:c r="AC83" s="43"/>
      <x:c r="AD83" s="43"/>
      <x:c r="AE83" s="43"/>
      <x:c r="AF83" s="87" t="str">
        <x:f>IF(OR(H83="",I83="",I83&lt;H83),"",(I83-H83)*1440)</x:f>
      </x:c>
      <x:c r="AG83" s="87" t="str">
        <x:f>IF(OR(I83="",M83="",M83&lt;I83),"",(M83-I83)*1440)</x:f>
      </x:c>
      <x:c r="AH83" s="87" t="str">
        <x:f>IF(OR(M83="",N83="",N83&lt;M83),"",(N83-M83)*1440)</x:f>
      </x:c>
      <x:c r="AI83" s="87" t="str">
        <x:f>IF(OR(H83="",N83="",N83&lt;H83),"",(N83-H83)*1440)</x:f>
      </x:c>
      <x:c r="AJ83" s="87" t="str">
        <x:f>IF(OR(I83="",N83="",N83&lt;I83),"",(N83-I83)*1440)</x:f>
      </x:c>
      <x:c r="AK83" s="87" t="str">
        <x:f>IF(OR(N83="",O83="",O83&lt;N83),"",(O83-N83)*1440)</x:f>
      </x:c>
      <x:c r="AL83" s="87" t="str">
        <x:f>IF(OR(O83="",P83="",P83&lt;O83),"",(P83-O83)*1440)</x:f>
      </x:c>
      <x:c r="AM83" s="87" t="str">
        <x:f>IF(OR(Q83="",R83="",R83&lt;Q83),"",(R83-Q83)*1440)</x:f>
      </x:c>
      <x:c r="AN83" s="87" t="str">
        <x:f>IF(OR(S83="",T83="",T83&lt;S83),"",(T83-S83)*1440)</x:f>
      </x:c>
      <x:c r="AO83" s="87" t="str">
        <x:f>IF(OR(U83="",V83=""),"",V83-U83)</x:f>
      </x:c>
      <x:c r="AP83" s="63" t="str">
        <x:f>IF(A83="","",IF(OR(B83="",H83="",N83=""),"Incompleto",IF(N83&lt;H83,"Revisar",IF(OR(G83="",G83="Não observado"),"Qualidade E0 ausente",IF(OR(G83="Sensor",G83="Marcação física"),"Válido — E0 observado",IF(G83="Cálculo","Válido — E0 calculado","Válido — E0 estimado"))))))</x:f>
      </x:c>
      <x:c r="AQ83" s="63" t="str">
        <x:f>IF(A83="","",IF(COUNTA(H83:T83)&lt;13,"Incompleta",IF(OR(I83&lt;H83,J83&lt;I83,K83&lt;J83,L83&lt;K83,M83&lt;L83,N83&lt;M83,O83&lt;N83,P83&lt;O83,Q83&lt;P83,R83&lt;Q83,S83&lt;R83,T83&lt;S83),"Revisar","Completa")))</x:f>
      </x:c>
      <x:c r="AR83" s="87" t="str">
        <x:f>IF(OR(V83="",W83="",Y83=""),"",Y83-(V83-W83))</x:f>
      </x:c>
      <x:c r="AS83" s="63" t="str">
        <x:f>IF(A83="","",IF(AND(E83&lt;&gt;"",F83&lt;&gt;"",G83&lt;&gt;"",Z83&lt;&gt;"",AA83&lt;&gt;"",AB83&lt;&gt;"",AC83&lt;&gt;""),"Completa","Incompleta"))</x:f>
      </x:c>
      <x:c r="AT83" s="63" t="str">
        <x:f>IF(A83="","",IF(COUNTIF($A$11:$A$410,A83)&gt;1,"ID duplicado",IF(AND(AR83&lt;&gt;"",ABS(AR83)&gt;0.01),"Revisar balanço",IF(AND(W83&lt;&gt;"",V83&lt;&gt;"",W83&gt;V83),"Retirada &gt; estoque",IF(AND(U83&lt;&gt;"",U83&lt;'Cenário Base'!$D$8*'Cenário Base'!$D$74),"E0 abaixo do gatilho",IF(AND(V83&lt;&gt;"",V83&gt;XLOOKUP(B83,$A$414:$A$418,$B$414:$B$418)),"Excedeu capacidade","Sem alerta"))))))</x:f>
      </x:c>
    </x:row>
    <x:row r="84">
      <x:c r="A84" s="43"/>
      <x:c r="B84" s="43"/>
      <x:c r="C84" s="43"/>
      <x:c r="D84" s="43"/>
      <x:c r="E84" s="43"/>
      <x:c r="F84" s="43"/>
      <x:c r="G84" s="43"/>
      <x:c r="H84" s="120"/>
      <x:c r="I84" s="120"/>
      <x:c r="J84" s="120"/>
      <x:c r="K84" s="120"/>
      <x:c r="L84" s="120"/>
      <x:c r="M84" s="120"/>
      <x:c r="N84" s="120"/>
      <x:c r="O84" s="120"/>
      <x:c r="P84" s="120"/>
      <x:c r="Q84" s="120"/>
      <x:c r="R84" s="120"/>
      <x:c r="S84" s="120"/>
      <x:c r="T84" s="120"/>
      <x:c r="U84" s="48"/>
      <x:c r="V84" s="48"/>
      <x:c r="W84" s="48"/>
      <x:c r="X84" s="48"/>
      <x:c r="Y84" s="48"/>
      <x:c r="Z84" s="49"/>
      <x:c r="AA84" s="43"/>
      <x:c r="AB84" s="43"/>
      <x:c r="AC84" s="43"/>
      <x:c r="AD84" s="43"/>
      <x:c r="AE84" s="43"/>
      <x:c r="AF84" s="87" t="str">
        <x:f>IF(OR(H84="",I84="",I84&lt;H84),"",(I84-H84)*1440)</x:f>
      </x:c>
      <x:c r="AG84" s="87" t="str">
        <x:f>IF(OR(I84="",M84="",M84&lt;I84),"",(M84-I84)*1440)</x:f>
      </x:c>
      <x:c r="AH84" s="87" t="str">
        <x:f>IF(OR(M84="",N84="",N84&lt;M84),"",(N84-M84)*1440)</x:f>
      </x:c>
      <x:c r="AI84" s="87" t="str">
        <x:f>IF(OR(H84="",N84="",N84&lt;H84),"",(N84-H84)*1440)</x:f>
      </x:c>
      <x:c r="AJ84" s="87" t="str">
        <x:f>IF(OR(I84="",N84="",N84&lt;I84),"",(N84-I84)*1440)</x:f>
      </x:c>
      <x:c r="AK84" s="87" t="str">
        <x:f>IF(OR(N84="",O84="",O84&lt;N84),"",(O84-N84)*1440)</x:f>
      </x:c>
      <x:c r="AL84" s="87" t="str">
        <x:f>IF(OR(O84="",P84="",P84&lt;O84),"",(P84-O84)*1440)</x:f>
      </x:c>
      <x:c r="AM84" s="87" t="str">
        <x:f>IF(OR(Q84="",R84="",R84&lt;Q84),"",(R84-Q84)*1440)</x:f>
      </x:c>
      <x:c r="AN84" s="87" t="str">
        <x:f>IF(OR(S84="",T84="",T84&lt;S84),"",(T84-S84)*1440)</x:f>
      </x:c>
      <x:c r="AO84" s="87" t="str">
        <x:f>IF(OR(U84="",V84=""),"",V84-U84)</x:f>
      </x:c>
      <x:c r="AP84" s="63" t="str">
        <x:f>IF(A84="","",IF(OR(B84="",H84="",N84=""),"Incompleto",IF(N84&lt;H84,"Revisar",IF(OR(G84="",G84="Não observado"),"Qualidade E0 ausente",IF(OR(G84="Sensor",G84="Marcação física"),"Válido — E0 observado",IF(G84="Cálculo","Válido — E0 calculado","Válido — E0 estimado"))))))</x:f>
      </x:c>
      <x:c r="AQ84" s="63" t="str">
        <x:f>IF(A84="","",IF(COUNTA(H84:T84)&lt;13,"Incompleta",IF(OR(I84&lt;H84,J84&lt;I84,K84&lt;J84,L84&lt;K84,M84&lt;L84,N84&lt;M84,O84&lt;N84,P84&lt;O84,Q84&lt;P84,R84&lt;Q84,S84&lt;R84,T84&lt;S84),"Revisar","Completa")))</x:f>
      </x:c>
      <x:c r="AR84" s="87" t="str">
        <x:f>IF(OR(V84="",W84="",Y84=""),"",Y84-(V84-W84))</x:f>
      </x:c>
      <x:c r="AS84" s="63" t="str">
        <x:f>IF(A84="","",IF(AND(E84&lt;&gt;"",F84&lt;&gt;"",G84&lt;&gt;"",Z84&lt;&gt;"",AA84&lt;&gt;"",AB84&lt;&gt;"",AC84&lt;&gt;""),"Completa","Incompleta"))</x:f>
      </x:c>
      <x:c r="AT84" s="63" t="str">
        <x:f>IF(A84="","",IF(COUNTIF($A$11:$A$410,A84)&gt;1,"ID duplicado",IF(AND(AR84&lt;&gt;"",ABS(AR84)&gt;0.01),"Revisar balanço",IF(AND(W84&lt;&gt;"",V84&lt;&gt;"",W84&gt;V84),"Retirada &gt; estoque",IF(AND(U84&lt;&gt;"",U84&lt;'Cenário Base'!$D$8*'Cenário Base'!$D$74),"E0 abaixo do gatilho",IF(AND(V84&lt;&gt;"",V84&gt;XLOOKUP(B84,$A$414:$A$418,$B$414:$B$418)),"Excedeu capacidade","Sem alerta"))))))</x:f>
      </x:c>
    </x:row>
    <x:row r="85">
      <x:c r="A85" s="43"/>
      <x:c r="B85" s="43"/>
      <x:c r="C85" s="43"/>
      <x:c r="D85" s="43"/>
      <x:c r="E85" s="43"/>
      <x:c r="F85" s="43"/>
      <x:c r="G85" s="43"/>
      <x:c r="H85" s="120"/>
      <x:c r="I85" s="120"/>
      <x:c r="J85" s="120"/>
      <x:c r="K85" s="120"/>
      <x:c r="L85" s="120"/>
      <x:c r="M85" s="120"/>
      <x:c r="N85" s="120"/>
      <x:c r="O85" s="120"/>
      <x:c r="P85" s="120"/>
      <x:c r="Q85" s="120"/>
      <x:c r="R85" s="120"/>
      <x:c r="S85" s="120"/>
      <x:c r="T85" s="120"/>
      <x:c r="U85" s="48"/>
      <x:c r="V85" s="48"/>
      <x:c r="W85" s="48"/>
      <x:c r="X85" s="48"/>
      <x:c r="Y85" s="48"/>
      <x:c r="Z85" s="49"/>
      <x:c r="AA85" s="43"/>
      <x:c r="AB85" s="43"/>
      <x:c r="AC85" s="43"/>
      <x:c r="AD85" s="43"/>
      <x:c r="AE85" s="43"/>
      <x:c r="AF85" s="87" t="str">
        <x:f>IF(OR(H85="",I85="",I85&lt;H85),"",(I85-H85)*1440)</x:f>
      </x:c>
      <x:c r="AG85" s="87" t="str">
        <x:f>IF(OR(I85="",M85="",M85&lt;I85),"",(M85-I85)*1440)</x:f>
      </x:c>
      <x:c r="AH85" s="87" t="str">
        <x:f>IF(OR(M85="",N85="",N85&lt;M85),"",(N85-M85)*1440)</x:f>
      </x:c>
      <x:c r="AI85" s="87" t="str">
        <x:f>IF(OR(H85="",N85="",N85&lt;H85),"",(N85-H85)*1440)</x:f>
      </x:c>
      <x:c r="AJ85" s="87" t="str">
        <x:f>IF(OR(I85="",N85="",N85&lt;I85),"",(N85-I85)*1440)</x:f>
      </x:c>
      <x:c r="AK85" s="87" t="str">
        <x:f>IF(OR(N85="",O85="",O85&lt;N85),"",(O85-N85)*1440)</x:f>
      </x:c>
      <x:c r="AL85" s="87" t="str">
        <x:f>IF(OR(O85="",P85="",P85&lt;O85),"",(P85-O85)*1440)</x:f>
      </x:c>
      <x:c r="AM85" s="87" t="str">
        <x:f>IF(OR(Q85="",R85="",R85&lt;Q85),"",(R85-Q85)*1440)</x:f>
      </x:c>
      <x:c r="AN85" s="87" t="str">
        <x:f>IF(OR(S85="",T85="",T85&lt;S85),"",(T85-S85)*1440)</x:f>
      </x:c>
      <x:c r="AO85" s="87" t="str">
        <x:f>IF(OR(U85="",V85=""),"",V85-U85)</x:f>
      </x:c>
      <x:c r="AP85" s="63" t="str">
        <x:f>IF(A85="","",IF(OR(B85="",H85="",N85=""),"Incompleto",IF(N85&lt;H85,"Revisar",IF(OR(G85="",G85="Não observado"),"Qualidade E0 ausente",IF(OR(G85="Sensor",G85="Marcação física"),"Válido — E0 observado",IF(G85="Cálculo","Válido — E0 calculado","Válido — E0 estimado"))))))</x:f>
      </x:c>
      <x:c r="AQ85" s="63" t="str">
        <x:f>IF(A85="","",IF(COUNTA(H85:T85)&lt;13,"Incompleta",IF(OR(I85&lt;H85,J85&lt;I85,K85&lt;J85,L85&lt;K85,M85&lt;L85,N85&lt;M85,O85&lt;N85,P85&lt;O85,Q85&lt;P85,R85&lt;Q85,S85&lt;R85,T85&lt;S85),"Revisar","Completa")))</x:f>
      </x:c>
      <x:c r="AR85" s="87" t="str">
        <x:f>IF(OR(V85="",W85="",Y85=""),"",Y85-(V85-W85))</x:f>
      </x:c>
      <x:c r="AS85" s="63" t="str">
        <x:f>IF(A85="","",IF(AND(E85&lt;&gt;"",F85&lt;&gt;"",G85&lt;&gt;"",Z85&lt;&gt;"",AA85&lt;&gt;"",AB85&lt;&gt;"",AC85&lt;&gt;""),"Completa","Incompleta"))</x:f>
      </x:c>
      <x:c r="AT85" s="63" t="str">
        <x:f>IF(A85="","",IF(COUNTIF($A$11:$A$410,A85)&gt;1,"ID duplicado",IF(AND(AR85&lt;&gt;"",ABS(AR85)&gt;0.01),"Revisar balanço",IF(AND(W85&lt;&gt;"",V85&lt;&gt;"",W85&gt;V85),"Retirada &gt; estoque",IF(AND(U85&lt;&gt;"",U85&lt;'Cenário Base'!$D$8*'Cenário Base'!$D$74),"E0 abaixo do gatilho",IF(AND(V85&lt;&gt;"",V85&gt;XLOOKUP(B85,$A$414:$A$418,$B$414:$B$418)),"Excedeu capacidade","Sem alerta"))))))</x:f>
      </x:c>
    </x:row>
    <x:row r="86">
      <x:c r="A86" s="43"/>
      <x:c r="B86" s="43"/>
      <x:c r="C86" s="43"/>
      <x:c r="D86" s="43"/>
      <x:c r="E86" s="43"/>
      <x:c r="F86" s="43"/>
      <x:c r="G86" s="43"/>
      <x:c r="H86" s="120"/>
      <x:c r="I86" s="120"/>
      <x:c r="J86" s="120"/>
      <x:c r="K86" s="120"/>
      <x:c r="L86" s="120"/>
      <x:c r="M86" s="120"/>
      <x:c r="N86" s="120"/>
      <x:c r="O86" s="120"/>
      <x:c r="P86" s="120"/>
      <x:c r="Q86" s="120"/>
      <x:c r="R86" s="120"/>
      <x:c r="S86" s="120"/>
      <x:c r="T86" s="120"/>
      <x:c r="U86" s="48"/>
      <x:c r="V86" s="48"/>
      <x:c r="W86" s="48"/>
      <x:c r="X86" s="48"/>
      <x:c r="Y86" s="48"/>
      <x:c r="Z86" s="49"/>
      <x:c r="AA86" s="43"/>
      <x:c r="AB86" s="43"/>
      <x:c r="AC86" s="43"/>
      <x:c r="AD86" s="43"/>
      <x:c r="AE86" s="43"/>
      <x:c r="AF86" s="87" t="str">
        <x:f>IF(OR(H86="",I86="",I86&lt;H86),"",(I86-H86)*1440)</x:f>
      </x:c>
      <x:c r="AG86" s="87" t="str">
        <x:f>IF(OR(I86="",M86="",M86&lt;I86),"",(M86-I86)*1440)</x:f>
      </x:c>
      <x:c r="AH86" s="87" t="str">
        <x:f>IF(OR(M86="",N86="",N86&lt;M86),"",(N86-M86)*1440)</x:f>
      </x:c>
      <x:c r="AI86" s="87" t="str">
        <x:f>IF(OR(H86="",N86="",N86&lt;H86),"",(N86-H86)*1440)</x:f>
      </x:c>
      <x:c r="AJ86" s="87" t="str">
        <x:f>IF(OR(I86="",N86="",N86&lt;I86),"",(N86-I86)*1440)</x:f>
      </x:c>
      <x:c r="AK86" s="87" t="str">
        <x:f>IF(OR(N86="",O86="",O86&lt;N86),"",(O86-N86)*1440)</x:f>
      </x:c>
      <x:c r="AL86" s="87" t="str">
        <x:f>IF(OR(O86="",P86="",P86&lt;O86),"",(P86-O86)*1440)</x:f>
      </x:c>
      <x:c r="AM86" s="87" t="str">
        <x:f>IF(OR(Q86="",R86="",R86&lt;Q86),"",(R86-Q86)*1440)</x:f>
      </x:c>
      <x:c r="AN86" s="87" t="str">
        <x:f>IF(OR(S86="",T86="",T86&lt;S86),"",(T86-S86)*1440)</x:f>
      </x:c>
      <x:c r="AO86" s="87" t="str">
        <x:f>IF(OR(U86="",V86=""),"",V86-U86)</x:f>
      </x:c>
      <x:c r="AP86" s="63" t="str">
        <x:f>IF(A86="","",IF(OR(B86="",H86="",N86=""),"Incompleto",IF(N86&lt;H86,"Revisar",IF(OR(G86="",G86="Não observado"),"Qualidade E0 ausente",IF(OR(G86="Sensor",G86="Marcação física"),"Válido — E0 observado",IF(G86="Cálculo","Válido — E0 calculado","Válido — E0 estimado"))))))</x:f>
      </x:c>
      <x:c r="AQ86" s="63" t="str">
        <x:f>IF(A86="","",IF(COUNTA(H86:T86)&lt;13,"Incompleta",IF(OR(I86&lt;H86,J86&lt;I86,K86&lt;J86,L86&lt;K86,M86&lt;L86,N86&lt;M86,O86&lt;N86,P86&lt;O86,Q86&lt;P86,R86&lt;Q86,S86&lt;R86,T86&lt;S86),"Revisar","Completa")))</x:f>
      </x:c>
      <x:c r="AR86" s="87" t="str">
        <x:f>IF(OR(V86="",W86="",Y86=""),"",Y86-(V86-W86))</x:f>
      </x:c>
      <x:c r="AS86" s="63" t="str">
        <x:f>IF(A86="","",IF(AND(E86&lt;&gt;"",F86&lt;&gt;"",G86&lt;&gt;"",Z86&lt;&gt;"",AA86&lt;&gt;"",AB86&lt;&gt;"",AC86&lt;&gt;""),"Completa","Incompleta"))</x:f>
      </x:c>
      <x:c r="AT86" s="63" t="str">
        <x:f>IF(A86="","",IF(COUNTIF($A$11:$A$410,A86)&gt;1,"ID duplicado",IF(AND(AR86&lt;&gt;"",ABS(AR86)&gt;0.01),"Revisar balanço",IF(AND(W86&lt;&gt;"",V86&lt;&gt;"",W86&gt;V86),"Retirada &gt; estoque",IF(AND(U86&lt;&gt;"",U86&lt;'Cenário Base'!$D$8*'Cenário Base'!$D$74),"E0 abaixo do gatilho",IF(AND(V86&lt;&gt;"",V86&gt;XLOOKUP(B86,$A$414:$A$418,$B$414:$B$418)),"Excedeu capacidade","Sem alerta"))))))</x:f>
      </x:c>
    </x:row>
    <x:row r="87">
      <x:c r="A87" s="43"/>
      <x:c r="B87" s="43"/>
      <x:c r="C87" s="43"/>
      <x:c r="D87" s="43"/>
      <x:c r="E87" s="43"/>
      <x:c r="F87" s="43"/>
      <x:c r="G87" s="43"/>
      <x:c r="H87" s="120"/>
      <x:c r="I87" s="120"/>
      <x:c r="J87" s="120"/>
      <x:c r="K87" s="120"/>
      <x:c r="L87" s="120"/>
      <x:c r="M87" s="120"/>
      <x:c r="N87" s="120"/>
      <x:c r="O87" s="120"/>
      <x:c r="P87" s="120"/>
      <x:c r="Q87" s="120"/>
      <x:c r="R87" s="120"/>
      <x:c r="S87" s="120"/>
      <x:c r="T87" s="120"/>
      <x:c r="U87" s="48"/>
      <x:c r="V87" s="48"/>
      <x:c r="W87" s="48"/>
      <x:c r="X87" s="48"/>
      <x:c r="Y87" s="48"/>
      <x:c r="Z87" s="49"/>
      <x:c r="AA87" s="43"/>
      <x:c r="AB87" s="43"/>
      <x:c r="AC87" s="43"/>
      <x:c r="AD87" s="43"/>
      <x:c r="AE87" s="43"/>
      <x:c r="AF87" s="87" t="str">
        <x:f>IF(OR(H87="",I87="",I87&lt;H87),"",(I87-H87)*1440)</x:f>
      </x:c>
      <x:c r="AG87" s="87" t="str">
        <x:f>IF(OR(I87="",M87="",M87&lt;I87),"",(M87-I87)*1440)</x:f>
      </x:c>
      <x:c r="AH87" s="87" t="str">
        <x:f>IF(OR(M87="",N87="",N87&lt;M87),"",(N87-M87)*1440)</x:f>
      </x:c>
      <x:c r="AI87" s="87" t="str">
        <x:f>IF(OR(H87="",N87="",N87&lt;H87),"",(N87-H87)*1440)</x:f>
      </x:c>
      <x:c r="AJ87" s="87" t="str">
        <x:f>IF(OR(I87="",N87="",N87&lt;I87),"",(N87-I87)*1440)</x:f>
      </x:c>
      <x:c r="AK87" s="87" t="str">
        <x:f>IF(OR(N87="",O87="",O87&lt;N87),"",(O87-N87)*1440)</x:f>
      </x:c>
      <x:c r="AL87" s="87" t="str">
        <x:f>IF(OR(O87="",P87="",P87&lt;O87),"",(P87-O87)*1440)</x:f>
      </x:c>
      <x:c r="AM87" s="87" t="str">
        <x:f>IF(OR(Q87="",R87="",R87&lt;Q87),"",(R87-Q87)*1440)</x:f>
      </x:c>
      <x:c r="AN87" s="87" t="str">
        <x:f>IF(OR(S87="",T87="",T87&lt;S87),"",(T87-S87)*1440)</x:f>
      </x:c>
      <x:c r="AO87" s="87" t="str">
        <x:f>IF(OR(U87="",V87=""),"",V87-U87)</x:f>
      </x:c>
      <x:c r="AP87" s="63" t="str">
        <x:f>IF(A87="","",IF(OR(B87="",H87="",N87=""),"Incompleto",IF(N87&lt;H87,"Revisar",IF(OR(G87="",G87="Não observado"),"Qualidade E0 ausente",IF(OR(G87="Sensor",G87="Marcação física"),"Válido — E0 observado",IF(G87="Cálculo","Válido — E0 calculado","Válido — E0 estimado"))))))</x:f>
      </x:c>
      <x:c r="AQ87" s="63" t="str">
        <x:f>IF(A87="","",IF(COUNTA(H87:T87)&lt;13,"Incompleta",IF(OR(I87&lt;H87,J87&lt;I87,K87&lt;J87,L87&lt;K87,M87&lt;L87,N87&lt;M87,O87&lt;N87,P87&lt;O87,Q87&lt;P87,R87&lt;Q87,S87&lt;R87,T87&lt;S87),"Revisar","Completa")))</x:f>
      </x:c>
      <x:c r="AR87" s="87" t="str">
        <x:f>IF(OR(V87="",W87="",Y87=""),"",Y87-(V87-W87))</x:f>
      </x:c>
      <x:c r="AS87" s="63" t="str">
        <x:f>IF(A87="","",IF(AND(E87&lt;&gt;"",F87&lt;&gt;"",G87&lt;&gt;"",Z87&lt;&gt;"",AA87&lt;&gt;"",AB87&lt;&gt;"",AC87&lt;&gt;""),"Completa","Incompleta"))</x:f>
      </x:c>
      <x:c r="AT87" s="63" t="str">
        <x:f>IF(A87="","",IF(COUNTIF($A$11:$A$410,A87)&gt;1,"ID duplicado",IF(AND(AR87&lt;&gt;"",ABS(AR87)&gt;0.01),"Revisar balanço",IF(AND(W87&lt;&gt;"",V87&lt;&gt;"",W87&gt;V87),"Retirada &gt; estoque",IF(AND(U87&lt;&gt;"",U87&lt;'Cenário Base'!$D$8*'Cenário Base'!$D$74),"E0 abaixo do gatilho",IF(AND(V87&lt;&gt;"",V87&gt;XLOOKUP(B87,$A$414:$A$418,$B$414:$B$418)),"Excedeu capacidade","Sem alerta"))))))</x:f>
      </x:c>
    </x:row>
    <x:row r="88">
      <x:c r="A88" s="43"/>
      <x:c r="B88" s="43"/>
      <x:c r="C88" s="43"/>
      <x:c r="D88" s="43"/>
      <x:c r="E88" s="43"/>
      <x:c r="F88" s="43"/>
      <x:c r="G88" s="43"/>
      <x:c r="H88" s="120"/>
      <x:c r="I88" s="120"/>
      <x:c r="J88" s="120"/>
      <x:c r="K88" s="120"/>
      <x:c r="L88" s="120"/>
      <x:c r="M88" s="120"/>
      <x:c r="N88" s="120"/>
      <x:c r="O88" s="120"/>
      <x:c r="P88" s="120"/>
      <x:c r="Q88" s="120"/>
      <x:c r="R88" s="120"/>
      <x:c r="S88" s="120"/>
      <x:c r="T88" s="120"/>
      <x:c r="U88" s="48"/>
      <x:c r="V88" s="48"/>
      <x:c r="W88" s="48"/>
      <x:c r="X88" s="48"/>
      <x:c r="Y88" s="48"/>
      <x:c r="Z88" s="49"/>
      <x:c r="AA88" s="43"/>
      <x:c r="AB88" s="43"/>
      <x:c r="AC88" s="43"/>
      <x:c r="AD88" s="43"/>
      <x:c r="AE88" s="43"/>
      <x:c r="AF88" s="87" t="str">
        <x:f>IF(OR(H88="",I88="",I88&lt;H88),"",(I88-H88)*1440)</x:f>
      </x:c>
      <x:c r="AG88" s="87" t="str">
        <x:f>IF(OR(I88="",M88="",M88&lt;I88),"",(M88-I88)*1440)</x:f>
      </x:c>
      <x:c r="AH88" s="87" t="str">
        <x:f>IF(OR(M88="",N88="",N88&lt;M88),"",(N88-M88)*1440)</x:f>
      </x:c>
      <x:c r="AI88" s="87" t="str">
        <x:f>IF(OR(H88="",N88="",N88&lt;H88),"",(N88-H88)*1440)</x:f>
      </x:c>
      <x:c r="AJ88" s="87" t="str">
        <x:f>IF(OR(I88="",N88="",N88&lt;I88),"",(N88-I88)*1440)</x:f>
      </x:c>
      <x:c r="AK88" s="87" t="str">
        <x:f>IF(OR(N88="",O88="",O88&lt;N88),"",(O88-N88)*1440)</x:f>
      </x:c>
      <x:c r="AL88" s="87" t="str">
        <x:f>IF(OR(O88="",P88="",P88&lt;O88),"",(P88-O88)*1440)</x:f>
      </x:c>
      <x:c r="AM88" s="87" t="str">
        <x:f>IF(OR(Q88="",R88="",R88&lt;Q88),"",(R88-Q88)*1440)</x:f>
      </x:c>
      <x:c r="AN88" s="87" t="str">
        <x:f>IF(OR(S88="",T88="",T88&lt;S88),"",(T88-S88)*1440)</x:f>
      </x:c>
      <x:c r="AO88" s="87" t="str">
        <x:f>IF(OR(U88="",V88=""),"",V88-U88)</x:f>
      </x:c>
      <x:c r="AP88" s="63" t="str">
        <x:f>IF(A88="","",IF(OR(B88="",H88="",N88=""),"Incompleto",IF(N88&lt;H88,"Revisar",IF(OR(G88="",G88="Não observado"),"Qualidade E0 ausente",IF(OR(G88="Sensor",G88="Marcação física"),"Válido — E0 observado",IF(G88="Cálculo","Válido — E0 calculado","Válido — E0 estimado"))))))</x:f>
      </x:c>
      <x:c r="AQ88" s="63" t="str">
        <x:f>IF(A88="","",IF(COUNTA(H88:T88)&lt;13,"Incompleta",IF(OR(I88&lt;H88,J88&lt;I88,K88&lt;J88,L88&lt;K88,M88&lt;L88,N88&lt;M88,O88&lt;N88,P88&lt;O88,Q88&lt;P88,R88&lt;Q88,S88&lt;R88,T88&lt;S88),"Revisar","Completa")))</x:f>
      </x:c>
      <x:c r="AR88" s="87" t="str">
        <x:f>IF(OR(V88="",W88="",Y88=""),"",Y88-(V88-W88))</x:f>
      </x:c>
      <x:c r="AS88" s="63" t="str">
        <x:f>IF(A88="","",IF(AND(E88&lt;&gt;"",F88&lt;&gt;"",G88&lt;&gt;"",Z88&lt;&gt;"",AA88&lt;&gt;"",AB88&lt;&gt;"",AC88&lt;&gt;""),"Completa","Incompleta"))</x:f>
      </x:c>
      <x:c r="AT88" s="63" t="str">
        <x:f>IF(A88="","",IF(COUNTIF($A$11:$A$410,A88)&gt;1,"ID duplicado",IF(AND(AR88&lt;&gt;"",ABS(AR88)&gt;0.01),"Revisar balanço",IF(AND(W88&lt;&gt;"",V88&lt;&gt;"",W88&gt;V88),"Retirada &gt; estoque",IF(AND(U88&lt;&gt;"",U88&lt;'Cenário Base'!$D$8*'Cenário Base'!$D$74),"E0 abaixo do gatilho",IF(AND(V88&lt;&gt;"",V88&gt;XLOOKUP(B88,$A$414:$A$418,$B$414:$B$418)),"Excedeu capacidade","Sem alerta"))))))</x:f>
      </x:c>
    </x:row>
    <x:row r="89">
      <x:c r="A89" s="43"/>
      <x:c r="B89" s="43"/>
      <x:c r="C89" s="43"/>
      <x:c r="D89" s="43"/>
      <x:c r="E89" s="43"/>
      <x:c r="F89" s="43"/>
      <x:c r="G89" s="43"/>
      <x:c r="H89" s="120"/>
      <x:c r="I89" s="120"/>
      <x:c r="J89" s="120"/>
      <x:c r="K89" s="120"/>
      <x:c r="L89" s="120"/>
      <x:c r="M89" s="120"/>
      <x:c r="N89" s="120"/>
      <x:c r="O89" s="120"/>
      <x:c r="P89" s="120"/>
      <x:c r="Q89" s="120"/>
      <x:c r="R89" s="120"/>
      <x:c r="S89" s="120"/>
      <x:c r="T89" s="120"/>
      <x:c r="U89" s="48"/>
      <x:c r="V89" s="48"/>
      <x:c r="W89" s="48"/>
      <x:c r="X89" s="48"/>
      <x:c r="Y89" s="48"/>
      <x:c r="Z89" s="49"/>
      <x:c r="AA89" s="43"/>
      <x:c r="AB89" s="43"/>
      <x:c r="AC89" s="43"/>
      <x:c r="AD89" s="43"/>
      <x:c r="AE89" s="43"/>
      <x:c r="AF89" s="87" t="str">
        <x:f>IF(OR(H89="",I89="",I89&lt;H89),"",(I89-H89)*1440)</x:f>
      </x:c>
      <x:c r="AG89" s="87" t="str">
        <x:f>IF(OR(I89="",M89="",M89&lt;I89),"",(M89-I89)*1440)</x:f>
      </x:c>
      <x:c r="AH89" s="87" t="str">
        <x:f>IF(OR(M89="",N89="",N89&lt;M89),"",(N89-M89)*1440)</x:f>
      </x:c>
      <x:c r="AI89" s="87" t="str">
        <x:f>IF(OR(H89="",N89="",N89&lt;H89),"",(N89-H89)*1440)</x:f>
      </x:c>
      <x:c r="AJ89" s="87" t="str">
        <x:f>IF(OR(I89="",N89="",N89&lt;I89),"",(N89-I89)*1440)</x:f>
      </x:c>
      <x:c r="AK89" s="87" t="str">
        <x:f>IF(OR(N89="",O89="",O89&lt;N89),"",(O89-N89)*1440)</x:f>
      </x:c>
      <x:c r="AL89" s="87" t="str">
        <x:f>IF(OR(O89="",P89="",P89&lt;O89),"",(P89-O89)*1440)</x:f>
      </x:c>
      <x:c r="AM89" s="87" t="str">
        <x:f>IF(OR(Q89="",R89="",R89&lt;Q89),"",(R89-Q89)*1440)</x:f>
      </x:c>
      <x:c r="AN89" s="87" t="str">
        <x:f>IF(OR(S89="",T89="",T89&lt;S89),"",(T89-S89)*1440)</x:f>
      </x:c>
      <x:c r="AO89" s="87" t="str">
        <x:f>IF(OR(U89="",V89=""),"",V89-U89)</x:f>
      </x:c>
      <x:c r="AP89" s="63" t="str">
        <x:f>IF(A89="","",IF(OR(B89="",H89="",N89=""),"Incompleto",IF(N89&lt;H89,"Revisar",IF(OR(G89="",G89="Não observado"),"Qualidade E0 ausente",IF(OR(G89="Sensor",G89="Marcação física"),"Válido — E0 observado",IF(G89="Cálculo","Válido — E0 calculado","Válido — E0 estimado"))))))</x:f>
      </x:c>
      <x:c r="AQ89" s="63" t="str">
        <x:f>IF(A89="","",IF(COUNTA(H89:T89)&lt;13,"Incompleta",IF(OR(I89&lt;H89,J89&lt;I89,K89&lt;J89,L89&lt;K89,M89&lt;L89,N89&lt;M89,O89&lt;N89,P89&lt;O89,Q89&lt;P89,R89&lt;Q89,S89&lt;R89,T89&lt;S89),"Revisar","Completa")))</x:f>
      </x:c>
      <x:c r="AR89" s="87" t="str">
        <x:f>IF(OR(V89="",W89="",Y89=""),"",Y89-(V89-W89))</x:f>
      </x:c>
      <x:c r="AS89" s="63" t="str">
        <x:f>IF(A89="","",IF(AND(E89&lt;&gt;"",F89&lt;&gt;"",G89&lt;&gt;"",Z89&lt;&gt;"",AA89&lt;&gt;"",AB89&lt;&gt;"",AC89&lt;&gt;""),"Completa","Incompleta"))</x:f>
      </x:c>
      <x:c r="AT89" s="63" t="str">
        <x:f>IF(A89="","",IF(COUNTIF($A$11:$A$410,A89)&gt;1,"ID duplicado",IF(AND(AR89&lt;&gt;"",ABS(AR89)&gt;0.01),"Revisar balanço",IF(AND(W89&lt;&gt;"",V89&lt;&gt;"",W89&gt;V89),"Retirada &gt; estoque",IF(AND(U89&lt;&gt;"",U89&lt;'Cenário Base'!$D$8*'Cenário Base'!$D$74),"E0 abaixo do gatilho",IF(AND(V89&lt;&gt;"",V89&gt;XLOOKUP(B89,$A$414:$A$418,$B$414:$B$418)),"Excedeu capacidade","Sem alerta"))))))</x:f>
      </x:c>
    </x:row>
    <x:row r="90">
      <x:c r="A90" s="43"/>
      <x:c r="B90" s="43"/>
      <x:c r="C90" s="43"/>
      <x:c r="D90" s="43"/>
      <x:c r="E90" s="43"/>
      <x:c r="F90" s="43"/>
      <x:c r="G90" s="43"/>
      <x:c r="H90" s="120"/>
      <x:c r="I90" s="120"/>
      <x:c r="J90" s="120"/>
      <x:c r="K90" s="120"/>
      <x:c r="L90" s="120"/>
      <x:c r="M90" s="120"/>
      <x:c r="N90" s="120"/>
      <x:c r="O90" s="120"/>
      <x:c r="P90" s="120"/>
      <x:c r="Q90" s="120"/>
      <x:c r="R90" s="120"/>
      <x:c r="S90" s="120"/>
      <x:c r="T90" s="120"/>
      <x:c r="U90" s="48"/>
      <x:c r="V90" s="48"/>
      <x:c r="W90" s="48"/>
      <x:c r="X90" s="48"/>
      <x:c r="Y90" s="48"/>
      <x:c r="Z90" s="49"/>
      <x:c r="AA90" s="43"/>
      <x:c r="AB90" s="43"/>
      <x:c r="AC90" s="43"/>
      <x:c r="AD90" s="43"/>
      <x:c r="AE90" s="43"/>
      <x:c r="AF90" s="87" t="str">
        <x:f>IF(OR(H90="",I90="",I90&lt;H90),"",(I90-H90)*1440)</x:f>
      </x:c>
      <x:c r="AG90" s="87" t="str">
        <x:f>IF(OR(I90="",M90="",M90&lt;I90),"",(M90-I90)*1440)</x:f>
      </x:c>
      <x:c r="AH90" s="87" t="str">
        <x:f>IF(OR(M90="",N90="",N90&lt;M90),"",(N90-M90)*1440)</x:f>
      </x:c>
      <x:c r="AI90" s="87" t="str">
        <x:f>IF(OR(H90="",N90="",N90&lt;H90),"",(N90-H90)*1440)</x:f>
      </x:c>
      <x:c r="AJ90" s="87" t="str">
        <x:f>IF(OR(I90="",N90="",N90&lt;I90),"",(N90-I90)*1440)</x:f>
      </x:c>
      <x:c r="AK90" s="87" t="str">
        <x:f>IF(OR(N90="",O90="",O90&lt;N90),"",(O90-N90)*1440)</x:f>
      </x:c>
      <x:c r="AL90" s="87" t="str">
        <x:f>IF(OR(O90="",P90="",P90&lt;O90),"",(P90-O90)*1440)</x:f>
      </x:c>
      <x:c r="AM90" s="87" t="str">
        <x:f>IF(OR(Q90="",R90="",R90&lt;Q90),"",(R90-Q90)*1440)</x:f>
      </x:c>
      <x:c r="AN90" s="87" t="str">
        <x:f>IF(OR(S90="",T90="",T90&lt;S90),"",(T90-S90)*1440)</x:f>
      </x:c>
      <x:c r="AO90" s="87" t="str">
        <x:f>IF(OR(U90="",V90=""),"",V90-U90)</x:f>
      </x:c>
      <x:c r="AP90" s="63" t="str">
        <x:f>IF(A90="","",IF(OR(B90="",H90="",N90=""),"Incompleto",IF(N90&lt;H90,"Revisar",IF(OR(G90="",G90="Não observado"),"Qualidade E0 ausente",IF(OR(G90="Sensor",G90="Marcação física"),"Válido — E0 observado",IF(G90="Cálculo","Válido — E0 calculado","Válido — E0 estimado"))))))</x:f>
      </x:c>
      <x:c r="AQ90" s="63" t="str">
        <x:f>IF(A90="","",IF(COUNTA(H90:T90)&lt;13,"Incompleta",IF(OR(I90&lt;H90,J90&lt;I90,K90&lt;J90,L90&lt;K90,M90&lt;L90,N90&lt;M90,O90&lt;N90,P90&lt;O90,Q90&lt;P90,R90&lt;Q90,S90&lt;R90,T90&lt;S90),"Revisar","Completa")))</x:f>
      </x:c>
      <x:c r="AR90" s="87" t="str">
        <x:f>IF(OR(V90="",W90="",Y90=""),"",Y90-(V90-W90))</x:f>
      </x:c>
      <x:c r="AS90" s="63" t="str">
        <x:f>IF(A90="","",IF(AND(E90&lt;&gt;"",F90&lt;&gt;"",G90&lt;&gt;"",Z90&lt;&gt;"",AA90&lt;&gt;"",AB90&lt;&gt;"",AC90&lt;&gt;""),"Completa","Incompleta"))</x:f>
      </x:c>
      <x:c r="AT90" s="63" t="str">
        <x:f>IF(A90="","",IF(COUNTIF($A$11:$A$410,A90)&gt;1,"ID duplicado",IF(AND(AR90&lt;&gt;"",ABS(AR90)&gt;0.01),"Revisar balanço",IF(AND(W90&lt;&gt;"",V90&lt;&gt;"",W90&gt;V90),"Retirada &gt; estoque",IF(AND(U90&lt;&gt;"",U90&lt;'Cenário Base'!$D$8*'Cenário Base'!$D$74),"E0 abaixo do gatilho",IF(AND(V90&lt;&gt;"",V90&gt;XLOOKUP(B90,$A$414:$A$418,$B$414:$B$418)),"Excedeu capacidade","Sem alerta"))))))</x:f>
      </x:c>
    </x:row>
    <x:row r="91">
      <x:c r="A91" s="43"/>
      <x:c r="B91" s="43"/>
      <x:c r="C91" s="43"/>
      <x:c r="D91" s="43"/>
      <x:c r="E91" s="43"/>
      <x:c r="F91" s="43"/>
      <x:c r="G91" s="43"/>
      <x:c r="H91" s="120"/>
      <x:c r="I91" s="120"/>
      <x:c r="J91" s="120"/>
      <x:c r="K91" s="120"/>
      <x:c r="L91" s="120"/>
      <x:c r="M91" s="120"/>
      <x:c r="N91" s="120"/>
      <x:c r="O91" s="120"/>
      <x:c r="P91" s="120"/>
      <x:c r="Q91" s="120"/>
      <x:c r="R91" s="120"/>
      <x:c r="S91" s="120"/>
      <x:c r="T91" s="120"/>
      <x:c r="U91" s="48"/>
      <x:c r="V91" s="48"/>
      <x:c r="W91" s="48"/>
      <x:c r="X91" s="48"/>
      <x:c r="Y91" s="48"/>
      <x:c r="Z91" s="49"/>
      <x:c r="AA91" s="43"/>
      <x:c r="AB91" s="43"/>
      <x:c r="AC91" s="43"/>
      <x:c r="AD91" s="43"/>
      <x:c r="AE91" s="43"/>
      <x:c r="AF91" s="87" t="str">
        <x:f>IF(OR(H91="",I91="",I91&lt;H91),"",(I91-H91)*1440)</x:f>
      </x:c>
      <x:c r="AG91" s="87" t="str">
        <x:f>IF(OR(I91="",M91="",M91&lt;I91),"",(M91-I91)*1440)</x:f>
      </x:c>
      <x:c r="AH91" s="87" t="str">
        <x:f>IF(OR(M91="",N91="",N91&lt;M91),"",(N91-M91)*1440)</x:f>
      </x:c>
      <x:c r="AI91" s="87" t="str">
        <x:f>IF(OR(H91="",N91="",N91&lt;H91),"",(N91-H91)*1440)</x:f>
      </x:c>
      <x:c r="AJ91" s="87" t="str">
        <x:f>IF(OR(I91="",N91="",N91&lt;I91),"",(N91-I91)*1440)</x:f>
      </x:c>
      <x:c r="AK91" s="87" t="str">
        <x:f>IF(OR(N91="",O91="",O91&lt;N91),"",(O91-N91)*1440)</x:f>
      </x:c>
      <x:c r="AL91" s="87" t="str">
        <x:f>IF(OR(O91="",P91="",P91&lt;O91),"",(P91-O91)*1440)</x:f>
      </x:c>
      <x:c r="AM91" s="87" t="str">
        <x:f>IF(OR(Q91="",R91="",R91&lt;Q91),"",(R91-Q91)*1440)</x:f>
      </x:c>
      <x:c r="AN91" s="87" t="str">
        <x:f>IF(OR(S91="",T91="",T91&lt;S91),"",(T91-S91)*1440)</x:f>
      </x:c>
      <x:c r="AO91" s="87" t="str">
        <x:f>IF(OR(U91="",V91=""),"",V91-U91)</x:f>
      </x:c>
      <x:c r="AP91" s="63" t="str">
        <x:f>IF(A91="","",IF(OR(B91="",H91="",N91=""),"Incompleto",IF(N91&lt;H91,"Revisar",IF(OR(G91="",G91="Não observado"),"Qualidade E0 ausente",IF(OR(G91="Sensor",G91="Marcação física"),"Válido — E0 observado",IF(G91="Cálculo","Válido — E0 calculado","Válido — E0 estimado"))))))</x:f>
      </x:c>
      <x:c r="AQ91" s="63" t="str">
        <x:f>IF(A91="","",IF(COUNTA(H91:T91)&lt;13,"Incompleta",IF(OR(I91&lt;H91,J91&lt;I91,K91&lt;J91,L91&lt;K91,M91&lt;L91,N91&lt;M91,O91&lt;N91,P91&lt;O91,Q91&lt;P91,R91&lt;Q91,S91&lt;R91,T91&lt;S91),"Revisar","Completa")))</x:f>
      </x:c>
      <x:c r="AR91" s="87" t="str">
        <x:f>IF(OR(V91="",W91="",Y91=""),"",Y91-(V91-W91))</x:f>
      </x:c>
      <x:c r="AS91" s="63" t="str">
        <x:f>IF(A91="","",IF(AND(E91&lt;&gt;"",F91&lt;&gt;"",G91&lt;&gt;"",Z91&lt;&gt;"",AA91&lt;&gt;"",AB91&lt;&gt;"",AC91&lt;&gt;""),"Completa","Incompleta"))</x:f>
      </x:c>
      <x:c r="AT91" s="63" t="str">
        <x:f>IF(A91="","",IF(COUNTIF($A$11:$A$410,A91)&gt;1,"ID duplicado",IF(AND(AR91&lt;&gt;"",ABS(AR91)&gt;0.01),"Revisar balanço",IF(AND(W91&lt;&gt;"",V91&lt;&gt;"",W91&gt;V91),"Retirada &gt; estoque",IF(AND(U91&lt;&gt;"",U91&lt;'Cenário Base'!$D$8*'Cenário Base'!$D$74),"E0 abaixo do gatilho",IF(AND(V91&lt;&gt;"",V91&gt;XLOOKUP(B91,$A$414:$A$418,$B$414:$B$418)),"Excedeu capacidade","Sem alerta"))))))</x:f>
      </x:c>
    </x:row>
    <x:row r="92">
      <x:c r="A92" s="43"/>
      <x:c r="B92" s="43"/>
      <x:c r="C92" s="43"/>
      <x:c r="D92" s="43"/>
      <x:c r="E92" s="43"/>
      <x:c r="F92" s="43"/>
      <x:c r="G92" s="43"/>
      <x:c r="H92" s="120"/>
      <x:c r="I92" s="120"/>
      <x:c r="J92" s="120"/>
      <x:c r="K92" s="120"/>
      <x:c r="L92" s="120"/>
      <x:c r="M92" s="120"/>
      <x:c r="N92" s="120"/>
      <x:c r="O92" s="120"/>
      <x:c r="P92" s="120"/>
      <x:c r="Q92" s="120"/>
      <x:c r="R92" s="120"/>
      <x:c r="S92" s="120"/>
      <x:c r="T92" s="120"/>
      <x:c r="U92" s="48"/>
      <x:c r="V92" s="48"/>
      <x:c r="W92" s="48"/>
      <x:c r="X92" s="48"/>
      <x:c r="Y92" s="48"/>
      <x:c r="Z92" s="49"/>
      <x:c r="AA92" s="43"/>
      <x:c r="AB92" s="43"/>
      <x:c r="AC92" s="43"/>
      <x:c r="AD92" s="43"/>
      <x:c r="AE92" s="43"/>
      <x:c r="AF92" s="87" t="str">
        <x:f>IF(OR(H92="",I92="",I92&lt;H92),"",(I92-H92)*1440)</x:f>
      </x:c>
      <x:c r="AG92" s="87" t="str">
        <x:f>IF(OR(I92="",M92="",M92&lt;I92),"",(M92-I92)*1440)</x:f>
      </x:c>
      <x:c r="AH92" s="87" t="str">
        <x:f>IF(OR(M92="",N92="",N92&lt;M92),"",(N92-M92)*1440)</x:f>
      </x:c>
      <x:c r="AI92" s="87" t="str">
        <x:f>IF(OR(H92="",N92="",N92&lt;H92),"",(N92-H92)*1440)</x:f>
      </x:c>
      <x:c r="AJ92" s="87" t="str">
        <x:f>IF(OR(I92="",N92="",N92&lt;I92),"",(N92-I92)*1440)</x:f>
      </x:c>
      <x:c r="AK92" s="87" t="str">
        <x:f>IF(OR(N92="",O92="",O92&lt;N92),"",(O92-N92)*1440)</x:f>
      </x:c>
      <x:c r="AL92" s="87" t="str">
        <x:f>IF(OR(O92="",P92="",P92&lt;O92),"",(P92-O92)*1440)</x:f>
      </x:c>
      <x:c r="AM92" s="87" t="str">
        <x:f>IF(OR(Q92="",R92="",R92&lt;Q92),"",(R92-Q92)*1440)</x:f>
      </x:c>
      <x:c r="AN92" s="87" t="str">
        <x:f>IF(OR(S92="",T92="",T92&lt;S92),"",(T92-S92)*1440)</x:f>
      </x:c>
      <x:c r="AO92" s="87" t="str">
        <x:f>IF(OR(U92="",V92=""),"",V92-U92)</x:f>
      </x:c>
      <x:c r="AP92" s="63" t="str">
        <x:f>IF(A92="","",IF(OR(B92="",H92="",N92=""),"Incompleto",IF(N92&lt;H92,"Revisar",IF(OR(G92="",G92="Não observado"),"Qualidade E0 ausente",IF(OR(G92="Sensor",G92="Marcação física"),"Válido — E0 observado",IF(G92="Cálculo","Válido — E0 calculado","Válido — E0 estimado"))))))</x:f>
      </x:c>
      <x:c r="AQ92" s="63" t="str">
        <x:f>IF(A92="","",IF(COUNTA(H92:T92)&lt;13,"Incompleta",IF(OR(I92&lt;H92,J92&lt;I92,K92&lt;J92,L92&lt;K92,M92&lt;L92,N92&lt;M92,O92&lt;N92,P92&lt;O92,Q92&lt;P92,R92&lt;Q92,S92&lt;R92,T92&lt;S92),"Revisar","Completa")))</x:f>
      </x:c>
      <x:c r="AR92" s="87" t="str">
        <x:f>IF(OR(V92="",W92="",Y92=""),"",Y92-(V92-W92))</x:f>
      </x:c>
      <x:c r="AS92" s="63" t="str">
        <x:f>IF(A92="","",IF(AND(E92&lt;&gt;"",F92&lt;&gt;"",G92&lt;&gt;"",Z92&lt;&gt;"",AA92&lt;&gt;"",AB92&lt;&gt;"",AC92&lt;&gt;""),"Completa","Incompleta"))</x:f>
      </x:c>
      <x:c r="AT92" s="63" t="str">
        <x:f>IF(A92="","",IF(COUNTIF($A$11:$A$410,A92)&gt;1,"ID duplicado",IF(AND(AR92&lt;&gt;"",ABS(AR92)&gt;0.01),"Revisar balanço",IF(AND(W92&lt;&gt;"",V92&lt;&gt;"",W92&gt;V92),"Retirada &gt; estoque",IF(AND(U92&lt;&gt;"",U92&lt;'Cenário Base'!$D$8*'Cenário Base'!$D$74),"E0 abaixo do gatilho",IF(AND(V92&lt;&gt;"",V92&gt;XLOOKUP(B92,$A$414:$A$418,$B$414:$B$418)),"Excedeu capacidade","Sem alerta"))))))</x:f>
      </x:c>
    </x:row>
    <x:row r="93">
      <x:c r="A93" s="43"/>
      <x:c r="B93" s="43"/>
      <x:c r="C93" s="43"/>
      <x:c r="D93" s="43"/>
      <x:c r="E93" s="43"/>
      <x:c r="F93" s="43"/>
      <x:c r="G93" s="43"/>
      <x:c r="H93" s="120"/>
      <x:c r="I93" s="120"/>
      <x:c r="J93" s="120"/>
      <x:c r="K93" s="120"/>
      <x:c r="L93" s="120"/>
      <x:c r="M93" s="120"/>
      <x:c r="N93" s="120"/>
      <x:c r="O93" s="120"/>
      <x:c r="P93" s="120"/>
      <x:c r="Q93" s="120"/>
      <x:c r="R93" s="120"/>
      <x:c r="S93" s="120"/>
      <x:c r="T93" s="120"/>
      <x:c r="U93" s="48"/>
      <x:c r="V93" s="48"/>
      <x:c r="W93" s="48"/>
      <x:c r="X93" s="48"/>
      <x:c r="Y93" s="48"/>
      <x:c r="Z93" s="49"/>
      <x:c r="AA93" s="43"/>
      <x:c r="AB93" s="43"/>
      <x:c r="AC93" s="43"/>
      <x:c r="AD93" s="43"/>
      <x:c r="AE93" s="43"/>
      <x:c r="AF93" s="87" t="str">
        <x:f>IF(OR(H93="",I93="",I93&lt;H93),"",(I93-H93)*1440)</x:f>
      </x:c>
      <x:c r="AG93" s="87" t="str">
        <x:f>IF(OR(I93="",M93="",M93&lt;I93),"",(M93-I93)*1440)</x:f>
      </x:c>
      <x:c r="AH93" s="87" t="str">
        <x:f>IF(OR(M93="",N93="",N93&lt;M93),"",(N93-M93)*1440)</x:f>
      </x:c>
      <x:c r="AI93" s="87" t="str">
        <x:f>IF(OR(H93="",N93="",N93&lt;H93),"",(N93-H93)*1440)</x:f>
      </x:c>
      <x:c r="AJ93" s="87" t="str">
        <x:f>IF(OR(I93="",N93="",N93&lt;I93),"",(N93-I93)*1440)</x:f>
      </x:c>
      <x:c r="AK93" s="87" t="str">
        <x:f>IF(OR(N93="",O93="",O93&lt;N93),"",(O93-N93)*1440)</x:f>
      </x:c>
      <x:c r="AL93" s="87" t="str">
        <x:f>IF(OR(O93="",P93="",P93&lt;O93),"",(P93-O93)*1440)</x:f>
      </x:c>
      <x:c r="AM93" s="87" t="str">
        <x:f>IF(OR(Q93="",R93="",R93&lt;Q93),"",(R93-Q93)*1440)</x:f>
      </x:c>
      <x:c r="AN93" s="87" t="str">
        <x:f>IF(OR(S93="",T93="",T93&lt;S93),"",(T93-S93)*1440)</x:f>
      </x:c>
      <x:c r="AO93" s="87" t="str">
        <x:f>IF(OR(U93="",V93=""),"",V93-U93)</x:f>
      </x:c>
      <x:c r="AP93" s="63" t="str">
        <x:f>IF(A93="","",IF(OR(B93="",H93="",N93=""),"Incompleto",IF(N93&lt;H93,"Revisar",IF(OR(G93="",G93="Não observado"),"Qualidade E0 ausente",IF(OR(G93="Sensor",G93="Marcação física"),"Válido — E0 observado",IF(G93="Cálculo","Válido — E0 calculado","Válido — E0 estimado"))))))</x:f>
      </x:c>
      <x:c r="AQ93" s="63" t="str">
        <x:f>IF(A93="","",IF(COUNTA(H93:T93)&lt;13,"Incompleta",IF(OR(I93&lt;H93,J93&lt;I93,K93&lt;J93,L93&lt;K93,M93&lt;L93,N93&lt;M93,O93&lt;N93,P93&lt;O93,Q93&lt;P93,R93&lt;Q93,S93&lt;R93,T93&lt;S93),"Revisar","Completa")))</x:f>
      </x:c>
      <x:c r="AR93" s="87" t="str">
        <x:f>IF(OR(V93="",W93="",Y93=""),"",Y93-(V93-W93))</x:f>
      </x:c>
      <x:c r="AS93" s="63" t="str">
        <x:f>IF(A93="","",IF(AND(E93&lt;&gt;"",F93&lt;&gt;"",G93&lt;&gt;"",Z93&lt;&gt;"",AA93&lt;&gt;"",AB93&lt;&gt;"",AC93&lt;&gt;""),"Completa","Incompleta"))</x:f>
      </x:c>
      <x:c r="AT93" s="63" t="str">
        <x:f>IF(A93="","",IF(COUNTIF($A$11:$A$410,A93)&gt;1,"ID duplicado",IF(AND(AR93&lt;&gt;"",ABS(AR93)&gt;0.01),"Revisar balanço",IF(AND(W93&lt;&gt;"",V93&lt;&gt;"",W93&gt;V93),"Retirada &gt; estoque",IF(AND(U93&lt;&gt;"",U93&lt;'Cenário Base'!$D$8*'Cenário Base'!$D$74),"E0 abaixo do gatilho",IF(AND(V93&lt;&gt;"",V93&gt;XLOOKUP(B93,$A$414:$A$418,$B$414:$B$418)),"Excedeu capacidade","Sem alerta"))))))</x:f>
      </x:c>
    </x:row>
    <x:row r="94">
      <x:c r="A94" s="43"/>
      <x:c r="B94" s="43"/>
      <x:c r="C94" s="43"/>
      <x:c r="D94" s="43"/>
      <x:c r="E94" s="43"/>
      <x:c r="F94" s="43"/>
      <x:c r="G94" s="43"/>
      <x:c r="H94" s="120"/>
      <x:c r="I94" s="120"/>
      <x:c r="J94" s="120"/>
      <x:c r="K94" s="120"/>
      <x:c r="L94" s="120"/>
      <x:c r="M94" s="120"/>
      <x:c r="N94" s="120"/>
      <x:c r="O94" s="120"/>
      <x:c r="P94" s="120"/>
      <x:c r="Q94" s="120"/>
      <x:c r="R94" s="120"/>
      <x:c r="S94" s="120"/>
      <x:c r="T94" s="120"/>
      <x:c r="U94" s="48"/>
      <x:c r="V94" s="48"/>
      <x:c r="W94" s="48"/>
      <x:c r="X94" s="48"/>
      <x:c r="Y94" s="48"/>
      <x:c r="Z94" s="49"/>
      <x:c r="AA94" s="43"/>
      <x:c r="AB94" s="43"/>
      <x:c r="AC94" s="43"/>
      <x:c r="AD94" s="43"/>
      <x:c r="AE94" s="43"/>
      <x:c r="AF94" s="87" t="str">
        <x:f>IF(OR(H94="",I94="",I94&lt;H94),"",(I94-H94)*1440)</x:f>
      </x:c>
      <x:c r="AG94" s="87" t="str">
        <x:f>IF(OR(I94="",M94="",M94&lt;I94),"",(M94-I94)*1440)</x:f>
      </x:c>
      <x:c r="AH94" s="87" t="str">
        <x:f>IF(OR(M94="",N94="",N94&lt;M94),"",(N94-M94)*1440)</x:f>
      </x:c>
      <x:c r="AI94" s="87" t="str">
        <x:f>IF(OR(H94="",N94="",N94&lt;H94),"",(N94-H94)*1440)</x:f>
      </x:c>
      <x:c r="AJ94" s="87" t="str">
        <x:f>IF(OR(I94="",N94="",N94&lt;I94),"",(N94-I94)*1440)</x:f>
      </x:c>
      <x:c r="AK94" s="87" t="str">
        <x:f>IF(OR(N94="",O94="",O94&lt;N94),"",(O94-N94)*1440)</x:f>
      </x:c>
      <x:c r="AL94" s="87" t="str">
        <x:f>IF(OR(O94="",P94="",P94&lt;O94),"",(P94-O94)*1440)</x:f>
      </x:c>
      <x:c r="AM94" s="87" t="str">
        <x:f>IF(OR(Q94="",R94="",R94&lt;Q94),"",(R94-Q94)*1440)</x:f>
      </x:c>
      <x:c r="AN94" s="87" t="str">
        <x:f>IF(OR(S94="",T94="",T94&lt;S94),"",(T94-S94)*1440)</x:f>
      </x:c>
      <x:c r="AO94" s="87" t="str">
        <x:f>IF(OR(U94="",V94=""),"",V94-U94)</x:f>
      </x:c>
      <x:c r="AP94" s="63" t="str">
        <x:f>IF(A94="","",IF(OR(B94="",H94="",N94=""),"Incompleto",IF(N94&lt;H94,"Revisar",IF(OR(G94="",G94="Não observado"),"Qualidade E0 ausente",IF(OR(G94="Sensor",G94="Marcação física"),"Válido — E0 observado",IF(G94="Cálculo","Válido — E0 calculado","Válido — E0 estimado"))))))</x:f>
      </x:c>
      <x:c r="AQ94" s="63" t="str">
        <x:f>IF(A94="","",IF(COUNTA(H94:T94)&lt;13,"Incompleta",IF(OR(I94&lt;H94,J94&lt;I94,K94&lt;J94,L94&lt;K94,M94&lt;L94,N94&lt;M94,O94&lt;N94,P94&lt;O94,Q94&lt;P94,R94&lt;Q94,S94&lt;R94,T94&lt;S94),"Revisar","Completa")))</x:f>
      </x:c>
      <x:c r="AR94" s="87" t="str">
        <x:f>IF(OR(V94="",W94="",Y94=""),"",Y94-(V94-W94))</x:f>
      </x:c>
      <x:c r="AS94" s="63" t="str">
        <x:f>IF(A94="","",IF(AND(E94&lt;&gt;"",F94&lt;&gt;"",G94&lt;&gt;"",Z94&lt;&gt;"",AA94&lt;&gt;"",AB94&lt;&gt;"",AC94&lt;&gt;""),"Completa","Incompleta"))</x:f>
      </x:c>
      <x:c r="AT94" s="63" t="str">
        <x:f>IF(A94="","",IF(COUNTIF($A$11:$A$410,A94)&gt;1,"ID duplicado",IF(AND(AR94&lt;&gt;"",ABS(AR94)&gt;0.01),"Revisar balanço",IF(AND(W94&lt;&gt;"",V94&lt;&gt;"",W94&gt;V94),"Retirada &gt; estoque",IF(AND(U94&lt;&gt;"",U94&lt;'Cenário Base'!$D$8*'Cenário Base'!$D$74),"E0 abaixo do gatilho",IF(AND(V94&lt;&gt;"",V94&gt;XLOOKUP(B94,$A$414:$A$418,$B$414:$B$418)),"Excedeu capacidade","Sem alerta"))))))</x:f>
      </x:c>
    </x:row>
    <x:row r="95">
      <x:c r="A95" s="43"/>
      <x:c r="B95" s="43"/>
      <x:c r="C95" s="43"/>
      <x:c r="D95" s="43"/>
      <x:c r="E95" s="43"/>
      <x:c r="F95" s="43"/>
      <x:c r="G95" s="43"/>
      <x:c r="H95" s="120"/>
      <x:c r="I95" s="120"/>
      <x:c r="J95" s="120"/>
      <x:c r="K95" s="120"/>
      <x:c r="L95" s="120"/>
      <x:c r="M95" s="120"/>
      <x:c r="N95" s="120"/>
      <x:c r="O95" s="120"/>
      <x:c r="P95" s="120"/>
      <x:c r="Q95" s="120"/>
      <x:c r="R95" s="120"/>
      <x:c r="S95" s="120"/>
      <x:c r="T95" s="120"/>
      <x:c r="U95" s="48"/>
      <x:c r="V95" s="48"/>
      <x:c r="W95" s="48"/>
      <x:c r="X95" s="48"/>
      <x:c r="Y95" s="48"/>
      <x:c r="Z95" s="49"/>
      <x:c r="AA95" s="43"/>
      <x:c r="AB95" s="43"/>
      <x:c r="AC95" s="43"/>
      <x:c r="AD95" s="43"/>
      <x:c r="AE95" s="43"/>
      <x:c r="AF95" s="87" t="str">
        <x:f>IF(OR(H95="",I95="",I95&lt;H95),"",(I95-H95)*1440)</x:f>
      </x:c>
      <x:c r="AG95" s="87" t="str">
        <x:f>IF(OR(I95="",M95="",M95&lt;I95),"",(M95-I95)*1440)</x:f>
      </x:c>
      <x:c r="AH95" s="87" t="str">
        <x:f>IF(OR(M95="",N95="",N95&lt;M95),"",(N95-M95)*1440)</x:f>
      </x:c>
      <x:c r="AI95" s="87" t="str">
        <x:f>IF(OR(H95="",N95="",N95&lt;H95),"",(N95-H95)*1440)</x:f>
      </x:c>
      <x:c r="AJ95" s="87" t="str">
        <x:f>IF(OR(I95="",N95="",N95&lt;I95),"",(N95-I95)*1440)</x:f>
      </x:c>
      <x:c r="AK95" s="87" t="str">
        <x:f>IF(OR(N95="",O95="",O95&lt;N95),"",(O95-N95)*1440)</x:f>
      </x:c>
      <x:c r="AL95" s="87" t="str">
        <x:f>IF(OR(O95="",P95="",P95&lt;O95),"",(P95-O95)*1440)</x:f>
      </x:c>
      <x:c r="AM95" s="87" t="str">
        <x:f>IF(OR(Q95="",R95="",R95&lt;Q95),"",(R95-Q95)*1440)</x:f>
      </x:c>
      <x:c r="AN95" s="87" t="str">
        <x:f>IF(OR(S95="",T95="",T95&lt;S95),"",(T95-S95)*1440)</x:f>
      </x:c>
      <x:c r="AO95" s="87" t="str">
        <x:f>IF(OR(U95="",V95=""),"",V95-U95)</x:f>
      </x:c>
      <x:c r="AP95" s="63" t="str">
        <x:f>IF(A95="","",IF(OR(B95="",H95="",N95=""),"Incompleto",IF(N95&lt;H95,"Revisar",IF(OR(G95="",G95="Não observado"),"Qualidade E0 ausente",IF(OR(G95="Sensor",G95="Marcação física"),"Válido — E0 observado",IF(G95="Cálculo","Válido — E0 calculado","Válido — E0 estimado"))))))</x:f>
      </x:c>
      <x:c r="AQ95" s="63" t="str">
        <x:f>IF(A95="","",IF(COUNTA(H95:T95)&lt;13,"Incompleta",IF(OR(I95&lt;H95,J95&lt;I95,K95&lt;J95,L95&lt;K95,M95&lt;L95,N95&lt;M95,O95&lt;N95,P95&lt;O95,Q95&lt;P95,R95&lt;Q95,S95&lt;R95,T95&lt;S95),"Revisar","Completa")))</x:f>
      </x:c>
      <x:c r="AR95" s="87" t="str">
        <x:f>IF(OR(V95="",W95="",Y95=""),"",Y95-(V95-W95))</x:f>
      </x:c>
      <x:c r="AS95" s="63" t="str">
        <x:f>IF(A95="","",IF(AND(E95&lt;&gt;"",F95&lt;&gt;"",G95&lt;&gt;"",Z95&lt;&gt;"",AA95&lt;&gt;"",AB95&lt;&gt;"",AC95&lt;&gt;""),"Completa","Incompleta"))</x:f>
      </x:c>
      <x:c r="AT95" s="63" t="str">
        <x:f>IF(A95="","",IF(COUNTIF($A$11:$A$410,A95)&gt;1,"ID duplicado",IF(AND(AR95&lt;&gt;"",ABS(AR95)&gt;0.01),"Revisar balanço",IF(AND(W95&lt;&gt;"",V95&lt;&gt;"",W95&gt;V95),"Retirada &gt; estoque",IF(AND(U95&lt;&gt;"",U95&lt;'Cenário Base'!$D$8*'Cenário Base'!$D$74),"E0 abaixo do gatilho",IF(AND(V95&lt;&gt;"",V95&gt;XLOOKUP(B95,$A$414:$A$418,$B$414:$B$418)),"Excedeu capacidade","Sem alerta"))))))</x:f>
      </x:c>
    </x:row>
    <x:row r="96">
      <x:c r="A96" s="43"/>
      <x:c r="B96" s="43"/>
      <x:c r="C96" s="43"/>
      <x:c r="D96" s="43"/>
      <x:c r="E96" s="43"/>
      <x:c r="F96" s="43"/>
      <x:c r="G96" s="43"/>
      <x:c r="H96" s="120"/>
      <x:c r="I96" s="120"/>
      <x:c r="J96" s="120"/>
      <x:c r="K96" s="120"/>
      <x:c r="L96" s="120"/>
      <x:c r="M96" s="120"/>
      <x:c r="N96" s="120"/>
      <x:c r="O96" s="120"/>
      <x:c r="P96" s="120"/>
      <x:c r="Q96" s="120"/>
      <x:c r="R96" s="120"/>
      <x:c r="S96" s="120"/>
      <x:c r="T96" s="120"/>
      <x:c r="U96" s="48"/>
      <x:c r="V96" s="48"/>
      <x:c r="W96" s="48"/>
      <x:c r="X96" s="48"/>
      <x:c r="Y96" s="48"/>
      <x:c r="Z96" s="49"/>
      <x:c r="AA96" s="43"/>
      <x:c r="AB96" s="43"/>
      <x:c r="AC96" s="43"/>
      <x:c r="AD96" s="43"/>
      <x:c r="AE96" s="43"/>
      <x:c r="AF96" s="87" t="str">
        <x:f>IF(OR(H96="",I96="",I96&lt;H96),"",(I96-H96)*1440)</x:f>
      </x:c>
      <x:c r="AG96" s="87" t="str">
        <x:f>IF(OR(I96="",M96="",M96&lt;I96),"",(M96-I96)*1440)</x:f>
      </x:c>
      <x:c r="AH96" s="87" t="str">
        <x:f>IF(OR(M96="",N96="",N96&lt;M96),"",(N96-M96)*1440)</x:f>
      </x:c>
      <x:c r="AI96" s="87" t="str">
        <x:f>IF(OR(H96="",N96="",N96&lt;H96),"",(N96-H96)*1440)</x:f>
      </x:c>
      <x:c r="AJ96" s="87" t="str">
        <x:f>IF(OR(I96="",N96="",N96&lt;I96),"",(N96-I96)*1440)</x:f>
      </x:c>
      <x:c r="AK96" s="87" t="str">
        <x:f>IF(OR(N96="",O96="",O96&lt;N96),"",(O96-N96)*1440)</x:f>
      </x:c>
      <x:c r="AL96" s="87" t="str">
        <x:f>IF(OR(O96="",P96="",P96&lt;O96),"",(P96-O96)*1440)</x:f>
      </x:c>
      <x:c r="AM96" s="87" t="str">
        <x:f>IF(OR(Q96="",R96="",R96&lt;Q96),"",(R96-Q96)*1440)</x:f>
      </x:c>
      <x:c r="AN96" s="87" t="str">
        <x:f>IF(OR(S96="",T96="",T96&lt;S96),"",(T96-S96)*1440)</x:f>
      </x:c>
      <x:c r="AO96" s="87" t="str">
        <x:f>IF(OR(U96="",V96=""),"",V96-U96)</x:f>
      </x:c>
      <x:c r="AP96" s="63" t="str">
        <x:f>IF(A96="","",IF(OR(B96="",H96="",N96=""),"Incompleto",IF(N96&lt;H96,"Revisar",IF(OR(G96="",G96="Não observado"),"Qualidade E0 ausente",IF(OR(G96="Sensor",G96="Marcação física"),"Válido — E0 observado",IF(G96="Cálculo","Válido — E0 calculado","Válido — E0 estimado"))))))</x:f>
      </x:c>
      <x:c r="AQ96" s="63" t="str">
        <x:f>IF(A96="","",IF(COUNTA(H96:T96)&lt;13,"Incompleta",IF(OR(I96&lt;H96,J96&lt;I96,K96&lt;J96,L96&lt;K96,M96&lt;L96,N96&lt;M96,O96&lt;N96,P96&lt;O96,Q96&lt;P96,R96&lt;Q96,S96&lt;R96,T96&lt;S96),"Revisar","Completa")))</x:f>
      </x:c>
      <x:c r="AR96" s="87" t="str">
        <x:f>IF(OR(V96="",W96="",Y96=""),"",Y96-(V96-W96))</x:f>
      </x:c>
      <x:c r="AS96" s="63" t="str">
        <x:f>IF(A96="","",IF(AND(E96&lt;&gt;"",F96&lt;&gt;"",G96&lt;&gt;"",Z96&lt;&gt;"",AA96&lt;&gt;"",AB96&lt;&gt;"",AC96&lt;&gt;""),"Completa","Incompleta"))</x:f>
      </x:c>
      <x:c r="AT96" s="63" t="str">
        <x:f>IF(A96="","",IF(COUNTIF($A$11:$A$410,A96)&gt;1,"ID duplicado",IF(AND(AR96&lt;&gt;"",ABS(AR96)&gt;0.01),"Revisar balanço",IF(AND(W96&lt;&gt;"",V96&lt;&gt;"",W96&gt;V96),"Retirada &gt; estoque",IF(AND(U96&lt;&gt;"",U96&lt;'Cenário Base'!$D$8*'Cenário Base'!$D$74),"E0 abaixo do gatilho",IF(AND(V96&lt;&gt;"",V96&gt;XLOOKUP(B96,$A$414:$A$418,$B$414:$B$418)),"Excedeu capacidade","Sem alerta"))))))</x:f>
      </x:c>
    </x:row>
    <x:row r="97">
      <x:c r="A97" s="43"/>
      <x:c r="B97" s="43"/>
      <x:c r="C97" s="43"/>
      <x:c r="D97" s="43"/>
      <x:c r="E97" s="43"/>
      <x:c r="F97" s="43"/>
      <x:c r="G97" s="43"/>
      <x:c r="H97" s="120"/>
      <x:c r="I97" s="120"/>
      <x:c r="J97" s="120"/>
      <x:c r="K97" s="120"/>
      <x:c r="L97" s="120"/>
      <x:c r="M97" s="120"/>
      <x:c r="N97" s="120"/>
      <x:c r="O97" s="120"/>
      <x:c r="P97" s="120"/>
      <x:c r="Q97" s="120"/>
      <x:c r="R97" s="120"/>
      <x:c r="S97" s="120"/>
      <x:c r="T97" s="120"/>
      <x:c r="U97" s="48"/>
      <x:c r="V97" s="48"/>
      <x:c r="W97" s="48"/>
      <x:c r="X97" s="48"/>
      <x:c r="Y97" s="48"/>
      <x:c r="Z97" s="49"/>
      <x:c r="AA97" s="43"/>
      <x:c r="AB97" s="43"/>
      <x:c r="AC97" s="43"/>
      <x:c r="AD97" s="43"/>
      <x:c r="AE97" s="43"/>
      <x:c r="AF97" s="87" t="str">
        <x:f>IF(OR(H97="",I97="",I97&lt;H97),"",(I97-H97)*1440)</x:f>
      </x:c>
      <x:c r="AG97" s="87" t="str">
        <x:f>IF(OR(I97="",M97="",M97&lt;I97),"",(M97-I97)*1440)</x:f>
      </x:c>
      <x:c r="AH97" s="87" t="str">
        <x:f>IF(OR(M97="",N97="",N97&lt;M97),"",(N97-M97)*1440)</x:f>
      </x:c>
      <x:c r="AI97" s="87" t="str">
        <x:f>IF(OR(H97="",N97="",N97&lt;H97),"",(N97-H97)*1440)</x:f>
      </x:c>
      <x:c r="AJ97" s="87" t="str">
        <x:f>IF(OR(I97="",N97="",N97&lt;I97),"",(N97-I97)*1440)</x:f>
      </x:c>
      <x:c r="AK97" s="87" t="str">
        <x:f>IF(OR(N97="",O97="",O97&lt;N97),"",(O97-N97)*1440)</x:f>
      </x:c>
      <x:c r="AL97" s="87" t="str">
        <x:f>IF(OR(O97="",P97="",P97&lt;O97),"",(P97-O97)*1440)</x:f>
      </x:c>
      <x:c r="AM97" s="87" t="str">
        <x:f>IF(OR(Q97="",R97="",R97&lt;Q97),"",(R97-Q97)*1440)</x:f>
      </x:c>
      <x:c r="AN97" s="87" t="str">
        <x:f>IF(OR(S97="",T97="",T97&lt;S97),"",(T97-S97)*1440)</x:f>
      </x:c>
      <x:c r="AO97" s="87" t="str">
        <x:f>IF(OR(U97="",V97=""),"",V97-U97)</x:f>
      </x:c>
      <x:c r="AP97" s="63" t="str">
        <x:f>IF(A97="","",IF(OR(B97="",H97="",N97=""),"Incompleto",IF(N97&lt;H97,"Revisar",IF(OR(G97="",G97="Não observado"),"Qualidade E0 ausente",IF(OR(G97="Sensor",G97="Marcação física"),"Válido — E0 observado",IF(G97="Cálculo","Válido — E0 calculado","Válido — E0 estimado"))))))</x:f>
      </x:c>
      <x:c r="AQ97" s="63" t="str">
        <x:f>IF(A97="","",IF(COUNTA(H97:T97)&lt;13,"Incompleta",IF(OR(I97&lt;H97,J97&lt;I97,K97&lt;J97,L97&lt;K97,M97&lt;L97,N97&lt;M97,O97&lt;N97,P97&lt;O97,Q97&lt;P97,R97&lt;Q97,S97&lt;R97,T97&lt;S97),"Revisar","Completa")))</x:f>
      </x:c>
      <x:c r="AR97" s="87" t="str">
        <x:f>IF(OR(V97="",W97="",Y97=""),"",Y97-(V97-W97))</x:f>
      </x:c>
      <x:c r="AS97" s="63" t="str">
        <x:f>IF(A97="","",IF(AND(E97&lt;&gt;"",F97&lt;&gt;"",G97&lt;&gt;"",Z97&lt;&gt;"",AA97&lt;&gt;"",AB97&lt;&gt;"",AC97&lt;&gt;""),"Completa","Incompleta"))</x:f>
      </x:c>
      <x:c r="AT97" s="63" t="str">
        <x:f>IF(A97="","",IF(COUNTIF($A$11:$A$410,A97)&gt;1,"ID duplicado",IF(AND(AR97&lt;&gt;"",ABS(AR97)&gt;0.01),"Revisar balanço",IF(AND(W97&lt;&gt;"",V97&lt;&gt;"",W97&gt;V97),"Retirada &gt; estoque",IF(AND(U97&lt;&gt;"",U97&lt;'Cenário Base'!$D$8*'Cenário Base'!$D$74),"E0 abaixo do gatilho",IF(AND(V97&lt;&gt;"",V97&gt;XLOOKUP(B97,$A$414:$A$418,$B$414:$B$418)),"Excedeu capacidade","Sem alerta"))))))</x:f>
      </x:c>
    </x:row>
    <x:row r="98">
      <x:c r="A98" s="43"/>
      <x:c r="B98" s="43"/>
      <x:c r="C98" s="43"/>
      <x:c r="D98" s="43"/>
      <x:c r="E98" s="43"/>
      <x:c r="F98" s="43"/>
      <x:c r="G98" s="43"/>
      <x:c r="H98" s="120"/>
      <x:c r="I98" s="120"/>
      <x:c r="J98" s="120"/>
      <x:c r="K98" s="120"/>
      <x:c r="L98" s="120"/>
      <x:c r="M98" s="120"/>
      <x:c r="N98" s="120"/>
      <x:c r="O98" s="120"/>
      <x:c r="P98" s="120"/>
      <x:c r="Q98" s="120"/>
      <x:c r="R98" s="120"/>
      <x:c r="S98" s="120"/>
      <x:c r="T98" s="120"/>
      <x:c r="U98" s="48"/>
      <x:c r="V98" s="48"/>
      <x:c r="W98" s="48"/>
      <x:c r="X98" s="48"/>
      <x:c r="Y98" s="48"/>
      <x:c r="Z98" s="49"/>
      <x:c r="AA98" s="43"/>
      <x:c r="AB98" s="43"/>
      <x:c r="AC98" s="43"/>
      <x:c r="AD98" s="43"/>
      <x:c r="AE98" s="43"/>
      <x:c r="AF98" s="87" t="str">
        <x:f>IF(OR(H98="",I98="",I98&lt;H98),"",(I98-H98)*1440)</x:f>
      </x:c>
      <x:c r="AG98" s="87" t="str">
        <x:f>IF(OR(I98="",M98="",M98&lt;I98),"",(M98-I98)*1440)</x:f>
      </x:c>
      <x:c r="AH98" s="87" t="str">
        <x:f>IF(OR(M98="",N98="",N98&lt;M98),"",(N98-M98)*1440)</x:f>
      </x:c>
      <x:c r="AI98" s="87" t="str">
        <x:f>IF(OR(H98="",N98="",N98&lt;H98),"",(N98-H98)*1440)</x:f>
      </x:c>
      <x:c r="AJ98" s="87" t="str">
        <x:f>IF(OR(I98="",N98="",N98&lt;I98),"",(N98-I98)*1440)</x:f>
      </x:c>
      <x:c r="AK98" s="87" t="str">
        <x:f>IF(OR(N98="",O98="",O98&lt;N98),"",(O98-N98)*1440)</x:f>
      </x:c>
      <x:c r="AL98" s="87" t="str">
        <x:f>IF(OR(O98="",P98="",P98&lt;O98),"",(P98-O98)*1440)</x:f>
      </x:c>
      <x:c r="AM98" s="87" t="str">
        <x:f>IF(OR(Q98="",R98="",R98&lt;Q98),"",(R98-Q98)*1440)</x:f>
      </x:c>
      <x:c r="AN98" s="87" t="str">
        <x:f>IF(OR(S98="",T98="",T98&lt;S98),"",(T98-S98)*1440)</x:f>
      </x:c>
      <x:c r="AO98" s="87" t="str">
        <x:f>IF(OR(U98="",V98=""),"",V98-U98)</x:f>
      </x:c>
      <x:c r="AP98" s="63" t="str">
        <x:f>IF(A98="","",IF(OR(B98="",H98="",N98=""),"Incompleto",IF(N98&lt;H98,"Revisar",IF(OR(G98="",G98="Não observado"),"Qualidade E0 ausente",IF(OR(G98="Sensor",G98="Marcação física"),"Válido — E0 observado",IF(G98="Cálculo","Válido — E0 calculado","Válido — E0 estimado"))))))</x:f>
      </x:c>
      <x:c r="AQ98" s="63" t="str">
        <x:f>IF(A98="","",IF(COUNTA(H98:T98)&lt;13,"Incompleta",IF(OR(I98&lt;H98,J98&lt;I98,K98&lt;J98,L98&lt;K98,M98&lt;L98,N98&lt;M98,O98&lt;N98,P98&lt;O98,Q98&lt;P98,R98&lt;Q98,S98&lt;R98,T98&lt;S98),"Revisar","Completa")))</x:f>
      </x:c>
      <x:c r="AR98" s="87" t="str">
        <x:f>IF(OR(V98="",W98="",Y98=""),"",Y98-(V98-W98))</x:f>
      </x:c>
      <x:c r="AS98" s="63" t="str">
        <x:f>IF(A98="","",IF(AND(E98&lt;&gt;"",F98&lt;&gt;"",G98&lt;&gt;"",Z98&lt;&gt;"",AA98&lt;&gt;"",AB98&lt;&gt;"",AC98&lt;&gt;""),"Completa","Incompleta"))</x:f>
      </x:c>
      <x:c r="AT98" s="63" t="str">
        <x:f>IF(A98="","",IF(COUNTIF($A$11:$A$410,A98)&gt;1,"ID duplicado",IF(AND(AR98&lt;&gt;"",ABS(AR98)&gt;0.01),"Revisar balanço",IF(AND(W98&lt;&gt;"",V98&lt;&gt;"",W98&gt;V98),"Retirada &gt; estoque",IF(AND(U98&lt;&gt;"",U98&lt;'Cenário Base'!$D$8*'Cenário Base'!$D$74),"E0 abaixo do gatilho",IF(AND(V98&lt;&gt;"",V98&gt;XLOOKUP(B98,$A$414:$A$418,$B$414:$B$418)),"Excedeu capacidade","Sem alerta"))))))</x:f>
      </x:c>
    </x:row>
    <x:row r="99">
      <x:c r="A99" s="43"/>
      <x:c r="B99" s="43"/>
      <x:c r="C99" s="43"/>
      <x:c r="D99" s="43"/>
      <x:c r="E99" s="43"/>
      <x:c r="F99" s="43"/>
      <x:c r="G99" s="43"/>
      <x:c r="H99" s="120"/>
      <x:c r="I99" s="120"/>
      <x:c r="J99" s="120"/>
      <x:c r="K99" s="120"/>
      <x:c r="L99" s="120"/>
      <x:c r="M99" s="120"/>
      <x:c r="N99" s="120"/>
      <x:c r="O99" s="120"/>
      <x:c r="P99" s="120"/>
      <x:c r="Q99" s="120"/>
      <x:c r="R99" s="120"/>
      <x:c r="S99" s="120"/>
      <x:c r="T99" s="120"/>
      <x:c r="U99" s="48"/>
      <x:c r="V99" s="48"/>
      <x:c r="W99" s="48"/>
      <x:c r="X99" s="48"/>
      <x:c r="Y99" s="48"/>
      <x:c r="Z99" s="49"/>
      <x:c r="AA99" s="43"/>
      <x:c r="AB99" s="43"/>
      <x:c r="AC99" s="43"/>
      <x:c r="AD99" s="43"/>
      <x:c r="AE99" s="43"/>
      <x:c r="AF99" s="87" t="str">
        <x:f>IF(OR(H99="",I99="",I99&lt;H99),"",(I99-H99)*1440)</x:f>
      </x:c>
      <x:c r="AG99" s="87" t="str">
        <x:f>IF(OR(I99="",M99="",M99&lt;I99),"",(M99-I99)*1440)</x:f>
      </x:c>
      <x:c r="AH99" s="87" t="str">
        <x:f>IF(OR(M99="",N99="",N99&lt;M99),"",(N99-M99)*1440)</x:f>
      </x:c>
      <x:c r="AI99" s="87" t="str">
        <x:f>IF(OR(H99="",N99="",N99&lt;H99),"",(N99-H99)*1440)</x:f>
      </x:c>
      <x:c r="AJ99" s="87" t="str">
        <x:f>IF(OR(I99="",N99="",N99&lt;I99),"",(N99-I99)*1440)</x:f>
      </x:c>
      <x:c r="AK99" s="87" t="str">
        <x:f>IF(OR(N99="",O99="",O99&lt;N99),"",(O99-N99)*1440)</x:f>
      </x:c>
      <x:c r="AL99" s="87" t="str">
        <x:f>IF(OR(O99="",P99="",P99&lt;O99),"",(P99-O99)*1440)</x:f>
      </x:c>
      <x:c r="AM99" s="87" t="str">
        <x:f>IF(OR(Q99="",R99="",R99&lt;Q99),"",(R99-Q99)*1440)</x:f>
      </x:c>
      <x:c r="AN99" s="87" t="str">
        <x:f>IF(OR(S99="",T99="",T99&lt;S99),"",(T99-S99)*1440)</x:f>
      </x:c>
      <x:c r="AO99" s="87" t="str">
        <x:f>IF(OR(U99="",V99=""),"",V99-U99)</x:f>
      </x:c>
      <x:c r="AP99" s="63" t="str">
        <x:f>IF(A99="","",IF(OR(B99="",H99="",N99=""),"Incompleto",IF(N99&lt;H99,"Revisar",IF(OR(G99="",G99="Não observado"),"Qualidade E0 ausente",IF(OR(G99="Sensor",G99="Marcação física"),"Válido — E0 observado",IF(G99="Cálculo","Válido — E0 calculado","Válido — E0 estimado"))))))</x:f>
      </x:c>
      <x:c r="AQ99" s="63" t="str">
        <x:f>IF(A99="","",IF(COUNTA(H99:T99)&lt;13,"Incompleta",IF(OR(I99&lt;H99,J99&lt;I99,K99&lt;J99,L99&lt;K99,M99&lt;L99,N99&lt;M99,O99&lt;N99,P99&lt;O99,Q99&lt;P99,R99&lt;Q99,S99&lt;R99,T99&lt;S99),"Revisar","Completa")))</x:f>
      </x:c>
      <x:c r="AR99" s="87" t="str">
        <x:f>IF(OR(V99="",W99="",Y99=""),"",Y99-(V99-W99))</x:f>
      </x:c>
      <x:c r="AS99" s="63" t="str">
        <x:f>IF(A99="","",IF(AND(E99&lt;&gt;"",F99&lt;&gt;"",G99&lt;&gt;"",Z99&lt;&gt;"",AA99&lt;&gt;"",AB99&lt;&gt;"",AC99&lt;&gt;""),"Completa","Incompleta"))</x:f>
      </x:c>
      <x:c r="AT99" s="63" t="str">
        <x:f>IF(A99="","",IF(COUNTIF($A$11:$A$410,A99)&gt;1,"ID duplicado",IF(AND(AR99&lt;&gt;"",ABS(AR99)&gt;0.01),"Revisar balanço",IF(AND(W99&lt;&gt;"",V99&lt;&gt;"",W99&gt;V99),"Retirada &gt; estoque",IF(AND(U99&lt;&gt;"",U99&lt;'Cenário Base'!$D$8*'Cenário Base'!$D$74),"E0 abaixo do gatilho",IF(AND(V99&lt;&gt;"",V99&gt;XLOOKUP(B99,$A$414:$A$418,$B$414:$B$418)),"Excedeu capacidade","Sem alerta"))))))</x:f>
      </x:c>
    </x:row>
    <x:row r="100">
      <x:c r="A100" s="43"/>
      <x:c r="B100" s="43"/>
      <x:c r="C100" s="43"/>
      <x:c r="D100" s="43"/>
      <x:c r="E100" s="43"/>
      <x:c r="F100" s="43"/>
      <x:c r="G100" s="43"/>
      <x:c r="H100" s="120"/>
      <x:c r="I100" s="120"/>
      <x:c r="J100" s="120"/>
      <x:c r="K100" s="120"/>
      <x:c r="L100" s="120"/>
      <x:c r="M100" s="120"/>
      <x:c r="N100" s="120"/>
      <x:c r="O100" s="120"/>
      <x:c r="P100" s="120"/>
      <x:c r="Q100" s="120"/>
      <x:c r="R100" s="120"/>
      <x:c r="S100" s="120"/>
      <x:c r="T100" s="120"/>
      <x:c r="U100" s="48"/>
      <x:c r="V100" s="48"/>
      <x:c r="W100" s="48"/>
      <x:c r="X100" s="48"/>
      <x:c r="Y100" s="48"/>
      <x:c r="Z100" s="49"/>
      <x:c r="AA100" s="43"/>
      <x:c r="AB100" s="43"/>
      <x:c r="AC100" s="43"/>
      <x:c r="AD100" s="43"/>
      <x:c r="AE100" s="43"/>
      <x:c r="AF100" s="87" t="str">
        <x:f>IF(OR(H100="",I100="",I100&lt;H100),"",(I100-H100)*1440)</x:f>
      </x:c>
      <x:c r="AG100" s="87" t="str">
        <x:f>IF(OR(I100="",M100="",M100&lt;I100),"",(M100-I100)*1440)</x:f>
      </x:c>
      <x:c r="AH100" s="87" t="str">
        <x:f>IF(OR(M100="",N100="",N100&lt;M100),"",(N100-M100)*1440)</x:f>
      </x:c>
      <x:c r="AI100" s="87" t="str">
        <x:f>IF(OR(H100="",N100="",N100&lt;H100),"",(N100-H100)*1440)</x:f>
      </x:c>
      <x:c r="AJ100" s="87" t="str">
        <x:f>IF(OR(I100="",N100="",N100&lt;I100),"",(N100-I100)*1440)</x:f>
      </x:c>
      <x:c r="AK100" s="87" t="str">
        <x:f>IF(OR(N100="",O100="",O100&lt;N100),"",(O100-N100)*1440)</x:f>
      </x:c>
      <x:c r="AL100" s="87" t="str">
        <x:f>IF(OR(O100="",P100="",P100&lt;O100),"",(P100-O100)*1440)</x:f>
      </x:c>
      <x:c r="AM100" s="87" t="str">
        <x:f>IF(OR(Q100="",R100="",R100&lt;Q100),"",(R100-Q100)*1440)</x:f>
      </x:c>
      <x:c r="AN100" s="87" t="str">
        <x:f>IF(OR(S100="",T100="",T100&lt;S100),"",(T100-S100)*1440)</x:f>
      </x:c>
      <x:c r="AO100" s="87" t="str">
        <x:f>IF(OR(U100="",V100=""),"",V100-U100)</x:f>
      </x:c>
      <x:c r="AP100" s="63" t="str">
        <x:f>IF(A100="","",IF(OR(B100="",H100="",N100=""),"Incompleto",IF(N100&lt;H100,"Revisar",IF(OR(G100="",G100="Não observado"),"Qualidade E0 ausente",IF(OR(G100="Sensor",G100="Marcação física"),"Válido — E0 observado",IF(G100="Cálculo","Válido — E0 calculado","Válido — E0 estimado"))))))</x:f>
      </x:c>
      <x:c r="AQ100" s="63" t="str">
        <x:f>IF(A100="","",IF(COUNTA(H100:T100)&lt;13,"Incompleta",IF(OR(I100&lt;H100,J100&lt;I100,K100&lt;J100,L100&lt;K100,M100&lt;L100,N100&lt;M100,O100&lt;N100,P100&lt;O100,Q100&lt;P100,R100&lt;Q100,S100&lt;R100,T100&lt;S100),"Revisar","Completa")))</x:f>
      </x:c>
      <x:c r="AR100" s="87" t="str">
        <x:f>IF(OR(V100="",W100="",Y100=""),"",Y100-(V100-W100))</x:f>
      </x:c>
      <x:c r="AS100" s="63" t="str">
        <x:f>IF(A100="","",IF(AND(E100&lt;&gt;"",F100&lt;&gt;"",G100&lt;&gt;"",Z100&lt;&gt;"",AA100&lt;&gt;"",AB100&lt;&gt;"",AC100&lt;&gt;""),"Completa","Incompleta"))</x:f>
      </x:c>
      <x:c r="AT100" s="63" t="str">
        <x:f>IF(A100="","",IF(COUNTIF($A$11:$A$410,A100)&gt;1,"ID duplicado",IF(AND(AR100&lt;&gt;"",ABS(AR100)&gt;0.01),"Revisar balanço",IF(AND(W100&lt;&gt;"",V100&lt;&gt;"",W100&gt;V100),"Retirada &gt; estoque",IF(AND(U100&lt;&gt;"",U100&lt;'Cenário Base'!$D$8*'Cenário Base'!$D$74),"E0 abaixo do gatilho",IF(AND(V100&lt;&gt;"",V100&gt;XLOOKUP(B100,$A$414:$A$418,$B$414:$B$418)),"Excedeu capacidade","Sem alerta"))))))</x:f>
      </x:c>
    </x:row>
    <x:row r="101">
      <x:c r="A101" s="43"/>
      <x:c r="B101" s="43"/>
      <x:c r="C101" s="43"/>
      <x:c r="D101" s="43"/>
      <x:c r="E101" s="43"/>
      <x:c r="F101" s="43"/>
      <x:c r="G101" s="43"/>
      <x:c r="H101" s="120"/>
      <x:c r="I101" s="120"/>
      <x:c r="J101" s="120"/>
      <x:c r="K101" s="120"/>
      <x:c r="L101" s="120"/>
      <x:c r="M101" s="120"/>
      <x:c r="N101" s="120"/>
      <x:c r="O101" s="120"/>
      <x:c r="P101" s="120"/>
      <x:c r="Q101" s="120"/>
      <x:c r="R101" s="120"/>
      <x:c r="S101" s="120"/>
      <x:c r="T101" s="120"/>
      <x:c r="U101" s="48"/>
      <x:c r="V101" s="48"/>
      <x:c r="W101" s="48"/>
      <x:c r="X101" s="48"/>
      <x:c r="Y101" s="48"/>
      <x:c r="Z101" s="49"/>
      <x:c r="AA101" s="43"/>
      <x:c r="AB101" s="43"/>
      <x:c r="AC101" s="43"/>
      <x:c r="AD101" s="43"/>
      <x:c r="AE101" s="43"/>
      <x:c r="AF101" s="87" t="str">
        <x:f>IF(OR(H101="",I101="",I101&lt;H101),"",(I101-H101)*1440)</x:f>
      </x:c>
      <x:c r="AG101" s="87" t="str">
        <x:f>IF(OR(I101="",M101="",M101&lt;I101),"",(M101-I101)*1440)</x:f>
      </x:c>
      <x:c r="AH101" s="87" t="str">
        <x:f>IF(OR(M101="",N101="",N101&lt;M101),"",(N101-M101)*1440)</x:f>
      </x:c>
      <x:c r="AI101" s="87" t="str">
        <x:f>IF(OR(H101="",N101="",N101&lt;H101),"",(N101-H101)*1440)</x:f>
      </x:c>
      <x:c r="AJ101" s="87" t="str">
        <x:f>IF(OR(I101="",N101="",N101&lt;I101),"",(N101-I101)*1440)</x:f>
      </x:c>
      <x:c r="AK101" s="87" t="str">
        <x:f>IF(OR(N101="",O101="",O101&lt;N101),"",(O101-N101)*1440)</x:f>
      </x:c>
      <x:c r="AL101" s="87" t="str">
        <x:f>IF(OR(O101="",P101="",P101&lt;O101),"",(P101-O101)*1440)</x:f>
      </x:c>
      <x:c r="AM101" s="87" t="str">
        <x:f>IF(OR(Q101="",R101="",R101&lt;Q101),"",(R101-Q101)*1440)</x:f>
      </x:c>
      <x:c r="AN101" s="87" t="str">
        <x:f>IF(OR(S101="",T101="",T101&lt;S101),"",(T101-S101)*1440)</x:f>
      </x:c>
      <x:c r="AO101" s="87" t="str">
        <x:f>IF(OR(U101="",V101=""),"",V101-U101)</x:f>
      </x:c>
      <x:c r="AP101" s="63" t="str">
        <x:f>IF(A101="","",IF(OR(B101="",H101="",N101=""),"Incompleto",IF(N101&lt;H101,"Revisar",IF(OR(G101="",G101="Não observado"),"Qualidade E0 ausente",IF(OR(G101="Sensor",G101="Marcação física"),"Válido — E0 observado",IF(G101="Cálculo","Válido — E0 calculado","Válido — E0 estimado"))))))</x:f>
      </x:c>
      <x:c r="AQ101" s="63" t="str">
        <x:f>IF(A101="","",IF(COUNTA(H101:T101)&lt;13,"Incompleta",IF(OR(I101&lt;H101,J101&lt;I101,K101&lt;J101,L101&lt;K101,M101&lt;L101,N101&lt;M101,O101&lt;N101,P101&lt;O101,Q101&lt;P101,R101&lt;Q101,S101&lt;R101,T101&lt;S101),"Revisar","Completa")))</x:f>
      </x:c>
      <x:c r="AR101" s="87" t="str">
        <x:f>IF(OR(V101="",W101="",Y101=""),"",Y101-(V101-W101))</x:f>
      </x:c>
      <x:c r="AS101" s="63" t="str">
        <x:f>IF(A101="","",IF(AND(E101&lt;&gt;"",F101&lt;&gt;"",G101&lt;&gt;"",Z101&lt;&gt;"",AA101&lt;&gt;"",AB101&lt;&gt;"",AC101&lt;&gt;""),"Completa","Incompleta"))</x:f>
      </x:c>
      <x:c r="AT101" s="63" t="str">
        <x:f>IF(A101="","",IF(COUNTIF($A$11:$A$410,A101)&gt;1,"ID duplicado",IF(AND(AR101&lt;&gt;"",ABS(AR101)&gt;0.01),"Revisar balanço",IF(AND(W101&lt;&gt;"",V101&lt;&gt;"",W101&gt;V101),"Retirada &gt; estoque",IF(AND(U101&lt;&gt;"",U101&lt;'Cenário Base'!$D$8*'Cenário Base'!$D$74),"E0 abaixo do gatilho",IF(AND(V101&lt;&gt;"",V101&gt;XLOOKUP(B101,$A$414:$A$418,$B$414:$B$418)),"Excedeu capacidade","Sem alerta"))))))</x:f>
      </x:c>
    </x:row>
    <x:row r="102">
      <x:c r="A102" s="43"/>
      <x:c r="B102" s="43"/>
      <x:c r="C102" s="43"/>
      <x:c r="D102" s="43"/>
      <x:c r="E102" s="43"/>
      <x:c r="F102" s="43"/>
      <x:c r="G102" s="43"/>
      <x:c r="H102" s="120"/>
      <x:c r="I102" s="120"/>
      <x:c r="J102" s="120"/>
      <x:c r="K102" s="120"/>
      <x:c r="L102" s="120"/>
      <x:c r="M102" s="120"/>
      <x:c r="N102" s="120"/>
      <x:c r="O102" s="120"/>
      <x:c r="P102" s="120"/>
      <x:c r="Q102" s="120"/>
      <x:c r="R102" s="120"/>
      <x:c r="S102" s="120"/>
      <x:c r="T102" s="120"/>
      <x:c r="U102" s="48"/>
      <x:c r="V102" s="48"/>
      <x:c r="W102" s="48"/>
      <x:c r="X102" s="48"/>
      <x:c r="Y102" s="48"/>
      <x:c r="Z102" s="49"/>
      <x:c r="AA102" s="43"/>
      <x:c r="AB102" s="43"/>
      <x:c r="AC102" s="43"/>
      <x:c r="AD102" s="43"/>
      <x:c r="AE102" s="43"/>
      <x:c r="AF102" s="87" t="str">
        <x:f>IF(OR(H102="",I102="",I102&lt;H102),"",(I102-H102)*1440)</x:f>
      </x:c>
      <x:c r="AG102" s="87" t="str">
        <x:f>IF(OR(I102="",M102="",M102&lt;I102),"",(M102-I102)*1440)</x:f>
      </x:c>
      <x:c r="AH102" s="87" t="str">
        <x:f>IF(OR(M102="",N102="",N102&lt;M102),"",(N102-M102)*1440)</x:f>
      </x:c>
      <x:c r="AI102" s="87" t="str">
        <x:f>IF(OR(H102="",N102="",N102&lt;H102),"",(N102-H102)*1440)</x:f>
      </x:c>
      <x:c r="AJ102" s="87" t="str">
        <x:f>IF(OR(I102="",N102="",N102&lt;I102),"",(N102-I102)*1440)</x:f>
      </x:c>
      <x:c r="AK102" s="87" t="str">
        <x:f>IF(OR(N102="",O102="",O102&lt;N102),"",(O102-N102)*1440)</x:f>
      </x:c>
      <x:c r="AL102" s="87" t="str">
        <x:f>IF(OR(O102="",P102="",P102&lt;O102),"",(P102-O102)*1440)</x:f>
      </x:c>
      <x:c r="AM102" s="87" t="str">
        <x:f>IF(OR(Q102="",R102="",R102&lt;Q102),"",(R102-Q102)*1440)</x:f>
      </x:c>
      <x:c r="AN102" s="87" t="str">
        <x:f>IF(OR(S102="",T102="",T102&lt;S102),"",(T102-S102)*1440)</x:f>
      </x:c>
      <x:c r="AO102" s="87" t="str">
        <x:f>IF(OR(U102="",V102=""),"",V102-U102)</x:f>
      </x:c>
      <x:c r="AP102" s="63" t="str">
        <x:f>IF(A102="","",IF(OR(B102="",H102="",N102=""),"Incompleto",IF(N102&lt;H102,"Revisar",IF(OR(G102="",G102="Não observado"),"Qualidade E0 ausente",IF(OR(G102="Sensor",G102="Marcação física"),"Válido — E0 observado",IF(G102="Cálculo","Válido — E0 calculado","Válido — E0 estimado"))))))</x:f>
      </x:c>
      <x:c r="AQ102" s="63" t="str">
        <x:f>IF(A102="","",IF(COUNTA(H102:T102)&lt;13,"Incompleta",IF(OR(I102&lt;H102,J102&lt;I102,K102&lt;J102,L102&lt;K102,M102&lt;L102,N102&lt;M102,O102&lt;N102,P102&lt;O102,Q102&lt;P102,R102&lt;Q102,S102&lt;R102,T102&lt;S102),"Revisar","Completa")))</x:f>
      </x:c>
      <x:c r="AR102" s="87" t="str">
        <x:f>IF(OR(V102="",W102="",Y102=""),"",Y102-(V102-W102))</x:f>
      </x:c>
      <x:c r="AS102" s="63" t="str">
        <x:f>IF(A102="","",IF(AND(E102&lt;&gt;"",F102&lt;&gt;"",G102&lt;&gt;"",Z102&lt;&gt;"",AA102&lt;&gt;"",AB102&lt;&gt;"",AC102&lt;&gt;""),"Completa","Incompleta"))</x:f>
      </x:c>
      <x:c r="AT102" s="63" t="str">
        <x:f>IF(A102="","",IF(COUNTIF($A$11:$A$410,A102)&gt;1,"ID duplicado",IF(AND(AR102&lt;&gt;"",ABS(AR102)&gt;0.01),"Revisar balanço",IF(AND(W102&lt;&gt;"",V102&lt;&gt;"",W102&gt;V102),"Retirada &gt; estoque",IF(AND(U102&lt;&gt;"",U102&lt;'Cenário Base'!$D$8*'Cenário Base'!$D$74),"E0 abaixo do gatilho",IF(AND(V102&lt;&gt;"",V102&gt;XLOOKUP(B102,$A$414:$A$418,$B$414:$B$418)),"Excedeu capacidade","Sem alerta"))))))</x:f>
      </x:c>
    </x:row>
    <x:row r="103">
      <x:c r="A103" s="43"/>
      <x:c r="B103" s="43"/>
      <x:c r="C103" s="43"/>
      <x:c r="D103" s="43"/>
      <x:c r="E103" s="43"/>
      <x:c r="F103" s="43"/>
      <x:c r="G103" s="43"/>
      <x:c r="H103" s="120"/>
      <x:c r="I103" s="120"/>
      <x:c r="J103" s="120"/>
      <x:c r="K103" s="120"/>
      <x:c r="L103" s="120"/>
      <x:c r="M103" s="120"/>
      <x:c r="N103" s="120"/>
      <x:c r="O103" s="120"/>
      <x:c r="P103" s="120"/>
      <x:c r="Q103" s="120"/>
      <x:c r="R103" s="120"/>
      <x:c r="S103" s="120"/>
      <x:c r="T103" s="120"/>
      <x:c r="U103" s="48"/>
      <x:c r="V103" s="48"/>
      <x:c r="W103" s="48"/>
      <x:c r="X103" s="48"/>
      <x:c r="Y103" s="48"/>
      <x:c r="Z103" s="49"/>
      <x:c r="AA103" s="43"/>
      <x:c r="AB103" s="43"/>
      <x:c r="AC103" s="43"/>
      <x:c r="AD103" s="43"/>
      <x:c r="AE103" s="43"/>
      <x:c r="AF103" s="87" t="str">
        <x:f>IF(OR(H103="",I103="",I103&lt;H103),"",(I103-H103)*1440)</x:f>
      </x:c>
      <x:c r="AG103" s="87" t="str">
        <x:f>IF(OR(I103="",M103="",M103&lt;I103),"",(M103-I103)*1440)</x:f>
      </x:c>
      <x:c r="AH103" s="87" t="str">
        <x:f>IF(OR(M103="",N103="",N103&lt;M103),"",(N103-M103)*1440)</x:f>
      </x:c>
      <x:c r="AI103" s="87" t="str">
        <x:f>IF(OR(H103="",N103="",N103&lt;H103),"",(N103-H103)*1440)</x:f>
      </x:c>
      <x:c r="AJ103" s="87" t="str">
        <x:f>IF(OR(I103="",N103="",N103&lt;I103),"",(N103-I103)*1440)</x:f>
      </x:c>
      <x:c r="AK103" s="87" t="str">
        <x:f>IF(OR(N103="",O103="",O103&lt;N103),"",(O103-N103)*1440)</x:f>
      </x:c>
      <x:c r="AL103" s="87" t="str">
        <x:f>IF(OR(O103="",P103="",P103&lt;O103),"",(P103-O103)*1440)</x:f>
      </x:c>
      <x:c r="AM103" s="87" t="str">
        <x:f>IF(OR(Q103="",R103="",R103&lt;Q103),"",(R103-Q103)*1440)</x:f>
      </x:c>
      <x:c r="AN103" s="87" t="str">
        <x:f>IF(OR(S103="",T103="",T103&lt;S103),"",(T103-S103)*1440)</x:f>
      </x:c>
      <x:c r="AO103" s="87" t="str">
        <x:f>IF(OR(U103="",V103=""),"",V103-U103)</x:f>
      </x:c>
      <x:c r="AP103" s="63" t="str">
        <x:f>IF(A103="","",IF(OR(B103="",H103="",N103=""),"Incompleto",IF(N103&lt;H103,"Revisar",IF(OR(G103="",G103="Não observado"),"Qualidade E0 ausente",IF(OR(G103="Sensor",G103="Marcação física"),"Válido — E0 observado",IF(G103="Cálculo","Válido — E0 calculado","Válido — E0 estimado"))))))</x:f>
      </x:c>
      <x:c r="AQ103" s="63" t="str">
        <x:f>IF(A103="","",IF(COUNTA(H103:T103)&lt;13,"Incompleta",IF(OR(I103&lt;H103,J103&lt;I103,K103&lt;J103,L103&lt;K103,M103&lt;L103,N103&lt;M103,O103&lt;N103,P103&lt;O103,Q103&lt;P103,R103&lt;Q103,S103&lt;R103,T103&lt;S103),"Revisar","Completa")))</x:f>
      </x:c>
      <x:c r="AR103" s="87" t="str">
        <x:f>IF(OR(V103="",W103="",Y103=""),"",Y103-(V103-W103))</x:f>
      </x:c>
      <x:c r="AS103" s="63" t="str">
        <x:f>IF(A103="","",IF(AND(E103&lt;&gt;"",F103&lt;&gt;"",G103&lt;&gt;"",Z103&lt;&gt;"",AA103&lt;&gt;"",AB103&lt;&gt;"",AC103&lt;&gt;""),"Completa","Incompleta"))</x:f>
      </x:c>
      <x:c r="AT103" s="63" t="str">
        <x:f>IF(A103="","",IF(COUNTIF($A$11:$A$410,A103)&gt;1,"ID duplicado",IF(AND(AR103&lt;&gt;"",ABS(AR103)&gt;0.01),"Revisar balanço",IF(AND(W103&lt;&gt;"",V103&lt;&gt;"",W103&gt;V103),"Retirada &gt; estoque",IF(AND(U103&lt;&gt;"",U103&lt;'Cenário Base'!$D$8*'Cenário Base'!$D$74),"E0 abaixo do gatilho",IF(AND(V103&lt;&gt;"",V103&gt;XLOOKUP(B103,$A$414:$A$418,$B$414:$B$418)),"Excedeu capacidade","Sem alerta"))))))</x:f>
      </x:c>
    </x:row>
    <x:row r="104">
      <x:c r="A104" s="43"/>
      <x:c r="B104" s="43"/>
      <x:c r="C104" s="43"/>
      <x:c r="D104" s="43"/>
      <x:c r="E104" s="43"/>
      <x:c r="F104" s="43"/>
      <x:c r="G104" s="43"/>
      <x:c r="H104" s="120"/>
      <x:c r="I104" s="120"/>
      <x:c r="J104" s="120"/>
      <x:c r="K104" s="120"/>
      <x:c r="L104" s="120"/>
      <x:c r="M104" s="120"/>
      <x:c r="N104" s="120"/>
      <x:c r="O104" s="120"/>
      <x:c r="P104" s="120"/>
      <x:c r="Q104" s="120"/>
      <x:c r="R104" s="120"/>
      <x:c r="S104" s="120"/>
      <x:c r="T104" s="120"/>
      <x:c r="U104" s="48"/>
      <x:c r="V104" s="48"/>
      <x:c r="W104" s="48"/>
      <x:c r="X104" s="48"/>
      <x:c r="Y104" s="48"/>
      <x:c r="Z104" s="49"/>
      <x:c r="AA104" s="43"/>
      <x:c r="AB104" s="43"/>
      <x:c r="AC104" s="43"/>
      <x:c r="AD104" s="43"/>
      <x:c r="AE104" s="43"/>
      <x:c r="AF104" s="87" t="str">
        <x:f>IF(OR(H104="",I104="",I104&lt;H104),"",(I104-H104)*1440)</x:f>
      </x:c>
      <x:c r="AG104" s="87" t="str">
        <x:f>IF(OR(I104="",M104="",M104&lt;I104),"",(M104-I104)*1440)</x:f>
      </x:c>
      <x:c r="AH104" s="87" t="str">
        <x:f>IF(OR(M104="",N104="",N104&lt;M104),"",(N104-M104)*1440)</x:f>
      </x:c>
      <x:c r="AI104" s="87" t="str">
        <x:f>IF(OR(H104="",N104="",N104&lt;H104),"",(N104-H104)*1440)</x:f>
      </x:c>
      <x:c r="AJ104" s="87" t="str">
        <x:f>IF(OR(I104="",N104="",N104&lt;I104),"",(N104-I104)*1440)</x:f>
      </x:c>
      <x:c r="AK104" s="87" t="str">
        <x:f>IF(OR(N104="",O104="",O104&lt;N104),"",(O104-N104)*1440)</x:f>
      </x:c>
      <x:c r="AL104" s="87" t="str">
        <x:f>IF(OR(O104="",P104="",P104&lt;O104),"",(P104-O104)*1440)</x:f>
      </x:c>
      <x:c r="AM104" s="87" t="str">
        <x:f>IF(OR(Q104="",R104="",R104&lt;Q104),"",(R104-Q104)*1440)</x:f>
      </x:c>
      <x:c r="AN104" s="87" t="str">
        <x:f>IF(OR(S104="",T104="",T104&lt;S104),"",(T104-S104)*1440)</x:f>
      </x:c>
      <x:c r="AO104" s="87" t="str">
        <x:f>IF(OR(U104="",V104=""),"",V104-U104)</x:f>
      </x:c>
      <x:c r="AP104" s="63" t="str">
        <x:f>IF(A104="","",IF(OR(B104="",H104="",N104=""),"Incompleto",IF(N104&lt;H104,"Revisar",IF(OR(G104="",G104="Não observado"),"Qualidade E0 ausente",IF(OR(G104="Sensor",G104="Marcação física"),"Válido — E0 observado",IF(G104="Cálculo","Válido — E0 calculado","Válido — E0 estimado"))))))</x:f>
      </x:c>
      <x:c r="AQ104" s="63" t="str">
        <x:f>IF(A104="","",IF(COUNTA(H104:T104)&lt;13,"Incompleta",IF(OR(I104&lt;H104,J104&lt;I104,K104&lt;J104,L104&lt;K104,M104&lt;L104,N104&lt;M104,O104&lt;N104,P104&lt;O104,Q104&lt;P104,R104&lt;Q104,S104&lt;R104,T104&lt;S104),"Revisar","Completa")))</x:f>
      </x:c>
      <x:c r="AR104" s="87" t="str">
        <x:f>IF(OR(V104="",W104="",Y104=""),"",Y104-(V104-W104))</x:f>
      </x:c>
      <x:c r="AS104" s="63" t="str">
        <x:f>IF(A104="","",IF(AND(E104&lt;&gt;"",F104&lt;&gt;"",G104&lt;&gt;"",Z104&lt;&gt;"",AA104&lt;&gt;"",AB104&lt;&gt;"",AC104&lt;&gt;""),"Completa","Incompleta"))</x:f>
      </x:c>
      <x:c r="AT104" s="63" t="str">
        <x:f>IF(A104="","",IF(COUNTIF($A$11:$A$410,A104)&gt;1,"ID duplicado",IF(AND(AR104&lt;&gt;"",ABS(AR104)&gt;0.01),"Revisar balanço",IF(AND(W104&lt;&gt;"",V104&lt;&gt;"",W104&gt;V104),"Retirada &gt; estoque",IF(AND(U104&lt;&gt;"",U104&lt;'Cenário Base'!$D$8*'Cenário Base'!$D$74),"E0 abaixo do gatilho",IF(AND(V104&lt;&gt;"",V104&gt;XLOOKUP(B104,$A$414:$A$418,$B$414:$B$418)),"Excedeu capacidade","Sem alerta"))))))</x:f>
      </x:c>
    </x:row>
    <x:row r="105">
      <x:c r="A105" s="43"/>
      <x:c r="B105" s="43"/>
      <x:c r="C105" s="43"/>
      <x:c r="D105" s="43"/>
      <x:c r="E105" s="43"/>
      <x:c r="F105" s="43"/>
      <x:c r="G105" s="43"/>
      <x:c r="H105" s="120"/>
      <x:c r="I105" s="120"/>
      <x:c r="J105" s="120"/>
      <x:c r="K105" s="120"/>
      <x:c r="L105" s="120"/>
      <x:c r="M105" s="120"/>
      <x:c r="N105" s="120"/>
      <x:c r="O105" s="120"/>
      <x:c r="P105" s="120"/>
      <x:c r="Q105" s="120"/>
      <x:c r="R105" s="120"/>
      <x:c r="S105" s="120"/>
      <x:c r="T105" s="120"/>
      <x:c r="U105" s="48"/>
      <x:c r="V105" s="48"/>
      <x:c r="W105" s="48"/>
      <x:c r="X105" s="48"/>
      <x:c r="Y105" s="48"/>
      <x:c r="Z105" s="49"/>
      <x:c r="AA105" s="43"/>
      <x:c r="AB105" s="43"/>
      <x:c r="AC105" s="43"/>
      <x:c r="AD105" s="43"/>
      <x:c r="AE105" s="43"/>
      <x:c r="AF105" s="87" t="str">
        <x:f>IF(OR(H105="",I105="",I105&lt;H105),"",(I105-H105)*1440)</x:f>
      </x:c>
      <x:c r="AG105" s="87" t="str">
        <x:f>IF(OR(I105="",M105="",M105&lt;I105),"",(M105-I105)*1440)</x:f>
      </x:c>
      <x:c r="AH105" s="87" t="str">
        <x:f>IF(OR(M105="",N105="",N105&lt;M105),"",(N105-M105)*1440)</x:f>
      </x:c>
      <x:c r="AI105" s="87" t="str">
        <x:f>IF(OR(H105="",N105="",N105&lt;H105),"",(N105-H105)*1440)</x:f>
      </x:c>
      <x:c r="AJ105" s="87" t="str">
        <x:f>IF(OR(I105="",N105="",N105&lt;I105),"",(N105-I105)*1440)</x:f>
      </x:c>
      <x:c r="AK105" s="87" t="str">
        <x:f>IF(OR(N105="",O105="",O105&lt;N105),"",(O105-N105)*1440)</x:f>
      </x:c>
      <x:c r="AL105" s="87" t="str">
        <x:f>IF(OR(O105="",P105="",P105&lt;O105),"",(P105-O105)*1440)</x:f>
      </x:c>
      <x:c r="AM105" s="87" t="str">
        <x:f>IF(OR(Q105="",R105="",R105&lt;Q105),"",(R105-Q105)*1440)</x:f>
      </x:c>
      <x:c r="AN105" s="87" t="str">
        <x:f>IF(OR(S105="",T105="",T105&lt;S105),"",(T105-S105)*1440)</x:f>
      </x:c>
      <x:c r="AO105" s="87" t="str">
        <x:f>IF(OR(U105="",V105=""),"",V105-U105)</x:f>
      </x:c>
      <x:c r="AP105" s="63" t="str">
        <x:f>IF(A105="","",IF(OR(B105="",H105="",N105=""),"Incompleto",IF(N105&lt;H105,"Revisar",IF(OR(G105="",G105="Não observado"),"Qualidade E0 ausente",IF(OR(G105="Sensor",G105="Marcação física"),"Válido — E0 observado",IF(G105="Cálculo","Válido — E0 calculado","Válido — E0 estimado"))))))</x:f>
      </x:c>
      <x:c r="AQ105" s="63" t="str">
        <x:f>IF(A105="","",IF(COUNTA(H105:T105)&lt;13,"Incompleta",IF(OR(I105&lt;H105,J105&lt;I105,K105&lt;J105,L105&lt;K105,M105&lt;L105,N105&lt;M105,O105&lt;N105,P105&lt;O105,Q105&lt;P105,R105&lt;Q105,S105&lt;R105,T105&lt;S105),"Revisar","Completa")))</x:f>
      </x:c>
      <x:c r="AR105" s="87" t="str">
        <x:f>IF(OR(V105="",W105="",Y105=""),"",Y105-(V105-W105))</x:f>
      </x:c>
      <x:c r="AS105" s="63" t="str">
        <x:f>IF(A105="","",IF(AND(E105&lt;&gt;"",F105&lt;&gt;"",G105&lt;&gt;"",Z105&lt;&gt;"",AA105&lt;&gt;"",AB105&lt;&gt;"",AC105&lt;&gt;""),"Completa","Incompleta"))</x:f>
      </x:c>
      <x:c r="AT105" s="63" t="str">
        <x:f>IF(A105="","",IF(COUNTIF($A$11:$A$410,A105)&gt;1,"ID duplicado",IF(AND(AR105&lt;&gt;"",ABS(AR105)&gt;0.01),"Revisar balanço",IF(AND(W105&lt;&gt;"",V105&lt;&gt;"",W105&gt;V105),"Retirada &gt; estoque",IF(AND(U105&lt;&gt;"",U105&lt;'Cenário Base'!$D$8*'Cenário Base'!$D$74),"E0 abaixo do gatilho",IF(AND(V105&lt;&gt;"",V105&gt;XLOOKUP(B105,$A$414:$A$418,$B$414:$B$418)),"Excedeu capacidade","Sem alerta"))))))</x:f>
      </x:c>
    </x:row>
    <x:row r="106">
      <x:c r="A106" s="43"/>
      <x:c r="B106" s="43"/>
      <x:c r="C106" s="43"/>
      <x:c r="D106" s="43"/>
      <x:c r="E106" s="43"/>
      <x:c r="F106" s="43"/>
      <x:c r="G106" s="43"/>
      <x:c r="H106" s="120"/>
      <x:c r="I106" s="120"/>
      <x:c r="J106" s="120"/>
      <x:c r="K106" s="120"/>
      <x:c r="L106" s="120"/>
      <x:c r="M106" s="120"/>
      <x:c r="N106" s="120"/>
      <x:c r="O106" s="120"/>
      <x:c r="P106" s="120"/>
      <x:c r="Q106" s="120"/>
      <x:c r="R106" s="120"/>
      <x:c r="S106" s="120"/>
      <x:c r="T106" s="120"/>
      <x:c r="U106" s="48"/>
      <x:c r="V106" s="48"/>
      <x:c r="W106" s="48"/>
      <x:c r="X106" s="48"/>
      <x:c r="Y106" s="48"/>
      <x:c r="Z106" s="49"/>
      <x:c r="AA106" s="43"/>
      <x:c r="AB106" s="43"/>
      <x:c r="AC106" s="43"/>
      <x:c r="AD106" s="43"/>
      <x:c r="AE106" s="43"/>
      <x:c r="AF106" s="87" t="str">
        <x:f>IF(OR(H106="",I106="",I106&lt;H106),"",(I106-H106)*1440)</x:f>
      </x:c>
      <x:c r="AG106" s="87" t="str">
        <x:f>IF(OR(I106="",M106="",M106&lt;I106),"",(M106-I106)*1440)</x:f>
      </x:c>
      <x:c r="AH106" s="87" t="str">
        <x:f>IF(OR(M106="",N106="",N106&lt;M106),"",(N106-M106)*1440)</x:f>
      </x:c>
      <x:c r="AI106" s="87" t="str">
        <x:f>IF(OR(H106="",N106="",N106&lt;H106),"",(N106-H106)*1440)</x:f>
      </x:c>
      <x:c r="AJ106" s="87" t="str">
        <x:f>IF(OR(I106="",N106="",N106&lt;I106),"",(N106-I106)*1440)</x:f>
      </x:c>
      <x:c r="AK106" s="87" t="str">
        <x:f>IF(OR(N106="",O106="",O106&lt;N106),"",(O106-N106)*1440)</x:f>
      </x:c>
      <x:c r="AL106" s="87" t="str">
        <x:f>IF(OR(O106="",P106="",P106&lt;O106),"",(P106-O106)*1440)</x:f>
      </x:c>
      <x:c r="AM106" s="87" t="str">
        <x:f>IF(OR(Q106="",R106="",R106&lt;Q106),"",(R106-Q106)*1440)</x:f>
      </x:c>
      <x:c r="AN106" s="87" t="str">
        <x:f>IF(OR(S106="",T106="",T106&lt;S106),"",(T106-S106)*1440)</x:f>
      </x:c>
      <x:c r="AO106" s="87" t="str">
        <x:f>IF(OR(U106="",V106=""),"",V106-U106)</x:f>
      </x:c>
      <x:c r="AP106" s="63" t="str">
        <x:f>IF(A106="","",IF(OR(B106="",H106="",N106=""),"Incompleto",IF(N106&lt;H106,"Revisar",IF(OR(G106="",G106="Não observado"),"Qualidade E0 ausente",IF(OR(G106="Sensor",G106="Marcação física"),"Válido — E0 observado",IF(G106="Cálculo","Válido — E0 calculado","Válido — E0 estimado"))))))</x:f>
      </x:c>
      <x:c r="AQ106" s="63" t="str">
        <x:f>IF(A106="","",IF(COUNTA(H106:T106)&lt;13,"Incompleta",IF(OR(I106&lt;H106,J106&lt;I106,K106&lt;J106,L106&lt;K106,M106&lt;L106,N106&lt;M106,O106&lt;N106,P106&lt;O106,Q106&lt;P106,R106&lt;Q106,S106&lt;R106,T106&lt;S106),"Revisar","Completa")))</x:f>
      </x:c>
      <x:c r="AR106" s="87" t="str">
        <x:f>IF(OR(V106="",W106="",Y106=""),"",Y106-(V106-W106))</x:f>
      </x:c>
      <x:c r="AS106" s="63" t="str">
        <x:f>IF(A106="","",IF(AND(E106&lt;&gt;"",F106&lt;&gt;"",G106&lt;&gt;"",Z106&lt;&gt;"",AA106&lt;&gt;"",AB106&lt;&gt;"",AC106&lt;&gt;""),"Completa","Incompleta"))</x:f>
      </x:c>
      <x:c r="AT106" s="63" t="str">
        <x:f>IF(A106="","",IF(COUNTIF($A$11:$A$410,A106)&gt;1,"ID duplicado",IF(AND(AR106&lt;&gt;"",ABS(AR106)&gt;0.01),"Revisar balanço",IF(AND(W106&lt;&gt;"",V106&lt;&gt;"",W106&gt;V106),"Retirada &gt; estoque",IF(AND(U106&lt;&gt;"",U106&lt;'Cenário Base'!$D$8*'Cenário Base'!$D$74),"E0 abaixo do gatilho",IF(AND(V106&lt;&gt;"",V106&gt;XLOOKUP(B106,$A$414:$A$418,$B$414:$B$418)),"Excedeu capacidade","Sem alerta"))))))</x:f>
      </x:c>
    </x:row>
    <x:row r="107">
      <x:c r="A107" s="43"/>
      <x:c r="B107" s="43"/>
      <x:c r="C107" s="43"/>
      <x:c r="D107" s="43"/>
      <x:c r="E107" s="43"/>
      <x:c r="F107" s="43"/>
      <x:c r="G107" s="43"/>
      <x:c r="H107" s="120"/>
      <x:c r="I107" s="120"/>
      <x:c r="J107" s="120"/>
      <x:c r="K107" s="120"/>
      <x:c r="L107" s="120"/>
      <x:c r="M107" s="120"/>
      <x:c r="N107" s="120"/>
      <x:c r="O107" s="120"/>
      <x:c r="P107" s="120"/>
      <x:c r="Q107" s="120"/>
      <x:c r="R107" s="120"/>
      <x:c r="S107" s="120"/>
      <x:c r="T107" s="120"/>
      <x:c r="U107" s="48"/>
      <x:c r="V107" s="48"/>
      <x:c r="W107" s="48"/>
      <x:c r="X107" s="48"/>
      <x:c r="Y107" s="48"/>
      <x:c r="Z107" s="49"/>
      <x:c r="AA107" s="43"/>
      <x:c r="AB107" s="43"/>
      <x:c r="AC107" s="43"/>
      <x:c r="AD107" s="43"/>
      <x:c r="AE107" s="43"/>
      <x:c r="AF107" s="87" t="str">
        <x:f>IF(OR(H107="",I107="",I107&lt;H107),"",(I107-H107)*1440)</x:f>
      </x:c>
      <x:c r="AG107" s="87" t="str">
        <x:f>IF(OR(I107="",M107="",M107&lt;I107),"",(M107-I107)*1440)</x:f>
      </x:c>
      <x:c r="AH107" s="87" t="str">
        <x:f>IF(OR(M107="",N107="",N107&lt;M107),"",(N107-M107)*1440)</x:f>
      </x:c>
      <x:c r="AI107" s="87" t="str">
        <x:f>IF(OR(H107="",N107="",N107&lt;H107),"",(N107-H107)*1440)</x:f>
      </x:c>
      <x:c r="AJ107" s="87" t="str">
        <x:f>IF(OR(I107="",N107="",N107&lt;I107),"",(N107-I107)*1440)</x:f>
      </x:c>
      <x:c r="AK107" s="87" t="str">
        <x:f>IF(OR(N107="",O107="",O107&lt;N107),"",(O107-N107)*1440)</x:f>
      </x:c>
      <x:c r="AL107" s="87" t="str">
        <x:f>IF(OR(O107="",P107="",P107&lt;O107),"",(P107-O107)*1440)</x:f>
      </x:c>
      <x:c r="AM107" s="87" t="str">
        <x:f>IF(OR(Q107="",R107="",R107&lt;Q107),"",(R107-Q107)*1440)</x:f>
      </x:c>
      <x:c r="AN107" s="87" t="str">
        <x:f>IF(OR(S107="",T107="",T107&lt;S107),"",(T107-S107)*1440)</x:f>
      </x:c>
      <x:c r="AO107" s="87" t="str">
        <x:f>IF(OR(U107="",V107=""),"",V107-U107)</x:f>
      </x:c>
      <x:c r="AP107" s="63" t="str">
        <x:f>IF(A107="","",IF(OR(B107="",H107="",N107=""),"Incompleto",IF(N107&lt;H107,"Revisar",IF(OR(G107="",G107="Não observado"),"Qualidade E0 ausente",IF(OR(G107="Sensor",G107="Marcação física"),"Válido — E0 observado",IF(G107="Cálculo","Válido — E0 calculado","Válido — E0 estimado"))))))</x:f>
      </x:c>
      <x:c r="AQ107" s="63" t="str">
        <x:f>IF(A107="","",IF(COUNTA(H107:T107)&lt;13,"Incompleta",IF(OR(I107&lt;H107,J107&lt;I107,K107&lt;J107,L107&lt;K107,M107&lt;L107,N107&lt;M107,O107&lt;N107,P107&lt;O107,Q107&lt;P107,R107&lt;Q107,S107&lt;R107,T107&lt;S107),"Revisar","Completa")))</x:f>
      </x:c>
      <x:c r="AR107" s="87" t="str">
        <x:f>IF(OR(V107="",W107="",Y107=""),"",Y107-(V107-W107))</x:f>
      </x:c>
      <x:c r="AS107" s="63" t="str">
        <x:f>IF(A107="","",IF(AND(E107&lt;&gt;"",F107&lt;&gt;"",G107&lt;&gt;"",Z107&lt;&gt;"",AA107&lt;&gt;"",AB107&lt;&gt;"",AC107&lt;&gt;""),"Completa","Incompleta"))</x:f>
      </x:c>
      <x:c r="AT107" s="63" t="str">
        <x:f>IF(A107="","",IF(COUNTIF($A$11:$A$410,A107)&gt;1,"ID duplicado",IF(AND(AR107&lt;&gt;"",ABS(AR107)&gt;0.01),"Revisar balanço",IF(AND(W107&lt;&gt;"",V107&lt;&gt;"",W107&gt;V107),"Retirada &gt; estoque",IF(AND(U107&lt;&gt;"",U107&lt;'Cenário Base'!$D$8*'Cenário Base'!$D$74),"E0 abaixo do gatilho",IF(AND(V107&lt;&gt;"",V107&gt;XLOOKUP(B107,$A$414:$A$418,$B$414:$B$418)),"Excedeu capacidade","Sem alerta"))))))</x:f>
      </x:c>
    </x:row>
    <x:row r="108">
      <x:c r="A108" s="43"/>
      <x:c r="B108" s="43"/>
      <x:c r="C108" s="43"/>
      <x:c r="D108" s="43"/>
      <x:c r="E108" s="43"/>
      <x:c r="F108" s="43"/>
      <x:c r="G108" s="43"/>
      <x:c r="H108" s="120"/>
      <x:c r="I108" s="120"/>
      <x:c r="J108" s="120"/>
      <x:c r="K108" s="120"/>
      <x:c r="L108" s="120"/>
      <x:c r="M108" s="120"/>
      <x:c r="N108" s="120"/>
      <x:c r="O108" s="120"/>
      <x:c r="P108" s="120"/>
      <x:c r="Q108" s="120"/>
      <x:c r="R108" s="120"/>
      <x:c r="S108" s="120"/>
      <x:c r="T108" s="120"/>
      <x:c r="U108" s="48"/>
      <x:c r="V108" s="48"/>
      <x:c r="W108" s="48"/>
      <x:c r="X108" s="48"/>
      <x:c r="Y108" s="48"/>
      <x:c r="Z108" s="49"/>
      <x:c r="AA108" s="43"/>
      <x:c r="AB108" s="43"/>
      <x:c r="AC108" s="43"/>
      <x:c r="AD108" s="43"/>
      <x:c r="AE108" s="43"/>
      <x:c r="AF108" s="87" t="str">
        <x:f>IF(OR(H108="",I108="",I108&lt;H108),"",(I108-H108)*1440)</x:f>
      </x:c>
      <x:c r="AG108" s="87" t="str">
        <x:f>IF(OR(I108="",M108="",M108&lt;I108),"",(M108-I108)*1440)</x:f>
      </x:c>
      <x:c r="AH108" s="87" t="str">
        <x:f>IF(OR(M108="",N108="",N108&lt;M108),"",(N108-M108)*1440)</x:f>
      </x:c>
      <x:c r="AI108" s="87" t="str">
        <x:f>IF(OR(H108="",N108="",N108&lt;H108),"",(N108-H108)*1440)</x:f>
      </x:c>
      <x:c r="AJ108" s="87" t="str">
        <x:f>IF(OR(I108="",N108="",N108&lt;I108),"",(N108-I108)*1440)</x:f>
      </x:c>
      <x:c r="AK108" s="87" t="str">
        <x:f>IF(OR(N108="",O108="",O108&lt;N108),"",(O108-N108)*1440)</x:f>
      </x:c>
      <x:c r="AL108" s="87" t="str">
        <x:f>IF(OR(O108="",P108="",P108&lt;O108),"",(P108-O108)*1440)</x:f>
      </x:c>
      <x:c r="AM108" s="87" t="str">
        <x:f>IF(OR(Q108="",R108="",R108&lt;Q108),"",(R108-Q108)*1440)</x:f>
      </x:c>
      <x:c r="AN108" s="87" t="str">
        <x:f>IF(OR(S108="",T108="",T108&lt;S108),"",(T108-S108)*1440)</x:f>
      </x:c>
      <x:c r="AO108" s="87" t="str">
        <x:f>IF(OR(U108="",V108=""),"",V108-U108)</x:f>
      </x:c>
      <x:c r="AP108" s="63" t="str">
        <x:f>IF(A108="","",IF(OR(B108="",H108="",N108=""),"Incompleto",IF(N108&lt;H108,"Revisar",IF(OR(G108="",G108="Não observado"),"Qualidade E0 ausente",IF(OR(G108="Sensor",G108="Marcação física"),"Válido — E0 observado",IF(G108="Cálculo","Válido — E0 calculado","Válido — E0 estimado"))))))</x:f>
      </x:c>
      <x:c r="AQ108" s="63" t="str">
        <x:f>IF(A108="","",IF(COUNTA(H108:T108)&lt;13,"Incompleta",IF(OR(I108&lt;H108,J108&lt;I108,K108&lt;J108,L108&lt;K108,M108&lt;L108,N108&lt;M108,O108&lt;N108,P108&lt;O108,Q108&lt;P108,R108&lt;Q108,S108&lt;R108,T108&lt;S108),"Revisar","Completa")))</x:f>
      </x:c>
      <x:c r="AR108" s="87" t="str">
        <x:f>IF(OR(V108="",W108="",Y108=""),"",Y108-(V108-W108))</x:f>
      </x:c>
      <x:c r="AS108" s="63" t="str">
        <x:f>IF(A108="","",IF(AND(E108&lt;&gt;"",F108&lt;&gt;"",G108&lt;&gt;"",Z108&lt;&gt;"",AA108&lt;&gt;"",AB108&lt;&gt;"",AC108&lt;&gt;""),"Completa","Incompleta"))</x:f>
      </x:c>
      <x:c r="AT108" s="63" t="str">
        <x:f>IF(A108="","",IF(COUNTIF($A$11:$A$410,A108)&gt;1,"ID duplicado",IF(AND(AR108&lt;&gt;"",ABS(AR108)&gt;0.01),"Revisar balanço",IF(AND(W108&lt;&gt;"",V108&lt;&gt;"",W108&gt;V108),"Retirada &gt; estoque",IF(AND(U108&lt;&gt;"",U108&lt;'Cenário Base'!$D$8*'Cenário Base'!$D$74),"E0 abaixo do gatilho",IF(AND(V108&lt;&gt;"",V108&gt;XLOOKUP(B108,$A$414:$A$418,$B$414:$B$418)),"Excedeu capacidade","Sem alerta"))))))</x:f>
      </x:c>
    </x:row>
    <x:row r="109">
      <x:c r="A109" s="43"/>
      <x:c r="B109" s="43"/>
      <x:c r="C109" s="43"/>
      <x:c r="D109" s="43"/>
      <x:c r="E109" s="43"/>
      <x:c r="F109" s="43"/>
      <x:c r="G109" s="43"/>
      <x:c r="H109" s="120"/>
      <x:c r="I109" s="120"/>
      <x:c r="J109" s="120"/>
      <x:c r="K109" s="120"/>
      <x:c r="L109" s="120"/>
      <x:c r="M109" s="120"/>
      <x:c r="N109" s="120"/>
      <x:c r="O109" s="120"/>
      <x:c r="P109" s="120"/>
      <x:c r="Q109" s="120"/>
      <x:c r="R109" s="120"/>
      <x:c r="S109" s="120"/>
      <x:c r="T109" s="120"/>
      <x:c r="U109" s="48"/>
      <x:c r="V109" s="48"/>
      <x:c r="W109" s="48"/>
      <x:c r="X109" s="48"/>
      <x:c r="Y109" s="48"/>
      <x:c r="Z109" s="49"/>
      <x:c r="AA109" s="43"/>
      <x:c r="AB109" s="43"/>
      <x:c r="AC109" s="43"/>
      <x:c r="AD109" s="43"/>
      <x:c r="AE109" s="43"/>
      <x:c r="AF109" s="87" t="str">
        <x:f>IF(OR(H109="",I109="",I109&lt;H109),"",(I109-H109)*1440)</x:f>
      </x:c>
      <x:c r="AG109" s="87" t="str">
        <x:f>IF(OR(I109="",M109="",M109&lt;I109),"",(M109-I109)*1440)</x:f>
      </x:c>
      <x:c r="AH109" s="87" t="str">
        <x:f>IF(OR(M109="",N109="",N109&lt;M109),"",(N109-M109)*1440)</x:f>
      </x:c>
      <x:c r="AI109" s="87" t="str">
        <x:f>IF(OR(H109="",N109="",N109&lt;H109),"",(N109-H109)*1440)</x:f>
      </x:c>
      <x:c r="AJ109" s="87" t="str">
        <x:f>IF(OR(I109="",N109="",N109&lt;I109),"",(N109-I109)*1440)</x:f>
      </x:c>
      <x:c r="AK109" s="87" t="str">
        <x:f>IF(OR(N109="",O109="",O109&lt;N109),"",(O109-N109)*1440)</x:f>
      </x:c>
      <x:c r="AL109" s="87" t="str">
        <x:f>IF(OR(O109="",P109="",P109&lt;O109),"",(P109-O109)*1440)</x:f>
      </x:c>
      <x:c r="AM109" s="87" t="str">
        <x:f>IF(OR(Q109="",R109="",R109&lt;Q109),"",(R109-Q109)*1440)</x:f>
      </x:c>
      <x:c r="AN109" s="87" t="str">
        <x:f>IF(OR(S109="",T109="",T109&lt;S109),"",(T109-S109)*1440)</x:f>
      </x:c>
      <x:c r="AO109" s="87" t="str">
        <x:f>IF(OR(U109="",V109=""),"",V109-U109)</x:f>
      </x:c>
      <x:c r="AP109" s="63" t="str">
        <x:f>IF(A109="","",IF(OR(B109="",H109="",N109=""),"Incompleto",IF(N109&lt;H109,"Revisar",IF(OR(G109="",G109="Não observado"),"Qualidade E0 ausente",IF(OR(G109="Sensor",G109="Marcação física"),"Válido — E0 observado",IF(G109="Cálculo","Válido — E0 calculado","Válido — E0 estimado"))))))</x:f>
      </x:c>
      <x:c r="AQ109" s="63" t="str">
        <x:f>IF(A109="","",IF(COUNTA(H109:T109)&lt;13,"Incompleta",IF(OR(I109&lt;H109,J109&lt;I109,K109&lt;J109,L109&lt;K109,M109&lt;L109,N109&lt;M109,O109&lt;N109,P109&lt;O109,Q109&lt;P109,R109&lt;Q109,S109&lt;R109,T109&lt;S109),"Revisar","Completa")))</x:f>
      </x:c>
      <x:c r="AR109" s="87" t="str">
        <x:f>IF(OR(V109="",W109="",Y109=""),"",Y109-(V109-W109))</x:f>
      </x:c>
      <x:c r="AS109" s="63" t="str">
        <x:f>IF(A109="","",IF(AND(E109&lt;&gt;"",F109&lt;&gt;"",G109&lt;&gt;"",Z109&lt;&gt;"",AA109&lt;&gt;"",AB109&lt;&gt;"",AC109&lt;&gt;""),"Completa","Incompleta"))</x:f>
      </x:c>
      <x:c r="AT109" s="63" t="str">
        <x:f>IF(A109="","",IF(COUNTIF($A$11:$A$410,A109)&gt;1,"ID duplicado",IF(AND(AR109&lt;&gt;"",ABS(AR109)&gt;0.01),"Revisar balanço",IF(AND(W109&lt;&gt;"",V109&lt;&gt;"",W109&gt;V109),"Retirada &gt; estoque",IF(AND(U109&lt;&gt;"",U109&lt;'Cenário Base'!$D$8*'Cenário Base'!$D$74),"E0 abaixo do gatilho",IF(AND(V109&lt;&gt;"",V109&gt;XLOOKUP(B109,$A$414:$A$418,$B$414:$B$418)),"Excedeu capacidade","Sem alerta"))))))</x:f>
      </x:c>
    </x:row>
    <x:row r="110">
      <x:c r="A110" s="43"/>
      <x:c r="B110" s="43"/>
      <x:c r="C110" s="43"/>
      <x:c r="D110" s="43"/>
      <x:c r="E110" s="43"/>
      <x:c r="F110" s="43"/>
      <x:c r="G110" s="43"/>
      <x:c r="H110" s="120"/>
      <x:c r="I110" s="120"/>
      <x:c r="J110" s="120"/>
      <x:c r="K110" s="120"/>
      <x:c r="L110" s="120"/>
      <x:c r="M110" s="120"/>
      <x:c r="N110" s="120"/>
      <x:c r="O110" s="120"/>
      <x:c r="P110" s="120"/>
      <x:c r="Q110" s="120"/>
      <x:c r="R110" s="120"/>
      <x:c r="S110" s="120"/>
      <x:c r="T110" s="120"/>
      <x:c r="U110" s="48"/>
      <x:c r="V110" s="48"/>
      <x:c r="W110" s="48"/>
      <x:c r="X110" s="48"/>
      <x:c r="Y110" s="48"/>
      <x:c r="Z110" s="49"/>
      <x:c r="AA110" s="43"/>
      <x:c r="AB110" s="43"/>
      <x:c r="AC110" s="43"/>
      <x:c r="AD110" s="43"/>
      <x:c r="AE110" s="43"/>
      <x:c r="AF110" s="87" t="str">
        <x:f>IF(OR(H110="",I110="",I110&lt;H110),"",(I110-H110)*1440)</x:f>
      </x:c>
      <x:c r="AG110" s="87" t="str">
        <x:f>IF(OR(I110="",M110="",M110&lt;I110),"",(M110-I110)*1440)</x:f>
      </x:c>
      <x:c r="AH110" s="87" t="str">
        <x:f>IF(OR(M110="",N110="",N110&lt;M110),"",(N110-M110)*1440)</x:f>
      </x:c>
      <x:c r="AI110" s="87" t="str">
        <x:f>IF(OR(H110="",N110="",N110&lt;H110),"",(N110-H110)*1440)</x:f>
      </x:c>
      <x:c r="AJ110" s="87" t="str">
        <x:f>IF(OR(I110="",N110="",N110&lt;I110),"",(N110-I110)*1440)</x:f>
      </x:c>
      <x:c r="AK110" s="87" t="str">
        <x:f>IF(OR(N110="",O110="",O110&lt;N110),"",(O110-N110)*1440)</x:f>
      </x:c>
      <x:c r="AL110" s="87" t="str">
        <x:f>IF(OR(O110="",P110="",P110&lt;O110),"",(P110-O110)*1440)</x:f>
      </x:c>
      <x:c r="AM110" s="87" t="str">
        <x:f>IF(OR(Q110="",R110="",R110&lt;Q110),"",(R110-Q110)*1440)</x:f>
      </x:c>
      <x:c r="AN110" s="87" t="str">
        <x:f>IF(OR(S110="",T110="",T110&lt;S110),"",(T110-S110)*1440)</x:f>
      </x:c>
      <x:c r="AO110" s="87" t="str">
        <x:f>IF(OR(U110="",V110=""),"",V110-U110)</x:f>
      </x:c>
      <x:c r="AP110" s="63" t="str">
        <x:f>IF(A110="","",IF(OR(B110="",H110="",N110=""),"Incompleto",IF(N110&lt;H110,"Revisar",IF(OR(G110="",G110="Não observado"),"Qualidade E0 ausente",IF(OR(G110="Sensor",G110="Marcação física"),"Válido — E0 observado",IF(G110="Cálculo","Válido — E0 calculado","Válido — E0 estimado"))))))</x:f>
      </x:c>
      <x:c r="AQ110" s="63" t="str">
        <x:f>IF(A110="","",IF(COUNTA(H110:T110)&lt;13,"Incompleta",IF(OR(I110&lt;H110,J110&lt;I110,K110&lt;J110,L110&lt;K110,M110&lt;L110,N110&lt;M110,O110&lt;N110,P110&lt;O110,Q110&lt;P110,R110&lt;Q110,S110&lt;R110,T110&lt;S110),"Revisar","Completa")))</x:f>
      </x:c>
      <x:c r="AR110" s="87" t="str">
        <x:f>IF(OR(V110="",W110="",Y110=""),"",Y110-(V110-W110))</x:f>
      </x:c>
      <x:c r="AS110" s="63" t="str">
        <x:f>IF(A110="","",IF(AND(E110&lt;&gt;"",F110&lt;&gt;"",G110&lt;&gt;"",Z110&lt;&gt;"",AA110&lt;&gt;"",AB110&lt;&gt;"",AC110&lt;&gt;""),"Completa","Incompleta"))</x:f>
      </x:c>
      <x:c r="AT110" s="63" t="str">
        <x:f>IF(A110="","",IF(COUNTIF($A$11:$A$410,A110)&gt;1,"ID duplicado",IF(AND(AR110&lt;&gt;"",ABS(AR110)&gt;0.01),"Revisar balanço",IF(AND(W110&lt;&gt;"",V110&lt;&gt;"",W110&gt;V110),"Retirada &gt; estoque",IF(AND(U110&lt;&gt;"",U110&lt;'Cenário Base'!$D$8*'Cenário Base'!$D$74),"E0 abaixo do gatilho",IF(AND(V110&lt;&gt;"",V110&gt;XLOOKUP(B110,$A$414:$A$418,$B$414:$B$418)),"Excedeu capacidade","Sem alerta"))))))</x:f>
      </x:c>
    </x:row>
    <x:row r="111">
      <x:c r="A111" s="43"/>
      <x:c r="B111" s="43"/>
      <x:c r="C111" s="43"/>
      <x:c r="D111" s="43"/>
      <x:c r="E111" s="43"/>
      <x:c r="F111" s="43"/>
      <x:c r="G111" s="43"/>
      <x:c r="H111" s="120"/>
      <x:c r="I111" s="120"/>
      <x:c r="J111" s="120"/>
      <x:c r="K111" s="120"/>
      <x:c r="L111" s="120"/>
      <x:c r="M111" s="120"/>
      <x:c r="N111" s="120"/>
      <x:c r="O111" s="120"/>
      <x:c r="P111" s="120"/>
      <x:c r="Q111" s="120"/>
      <x:c r="R111" s="120"/>
      <x:c r="S111" s="120"/>
      <x:c r="T111" s="120"/>
      <x:c r="U111" s="48"/>
      <x:c r="V111" s="48"/>
      <x:c r="W111" s="48"/>
      <x:c r="X111" s="48"/>
      <x:c r="Y111" s="48"/>
      <x:c r="Z111" s="49"/>
      <x:c r="AA111" s="43"/>
      <x:c r="AB111" s="43"/>
      <x:c r="AC111" s="43"/>
      <x:c r="AD111" s="43"/>
      <x:c r="AE111" s="43"/>
      <x:c r="AF111" s="87" t="str">
        <x:f>IF(OR(H111="",I111="",I111&lt;H111),"",(I111-H111)*1440)</x:f>
      </x:c>
      <x:c r="AG111" s="87" t="str">
        <x:f>IF(OR(I111="",M111="",M111&lt;I111),"",(M111-I111)*1440)</x:f>
      </x:c>
      <x:c r="AH111" s="87" t="str">
        <x:f>IF(OR(M111="",N111="",N111&lt;M111),"",(N111-M111)*1440)</x:f>
      </x:c>
      <x:c r="AI111" s="87" t="str">
        <x:f>IF(OR(H111="",N111="",N111&lt;H111),"",(N111-H111)*1440)</x:f>
      </x:c>
      <x:c r="AJ111" s="87" t="str">
        <x:f>IF(OR(I111="",N111="",N111&lt;I111),"",(N111-I111)*1440)</x:f>
      </x:c>
      <x:c r="AK111" s="87" t="str">
        <x:f>IF(OR(N111="",O111="",O111&lt;N111),"",(O111-N111)*1440)</x:f>
      </x:c>
      <x:c r="AL111" s="87" t="str">
        <x:f>IF(OR(O111="",P111="",P111&lt;O111),"",(P111-O111)*1440)</x:f>
      </x:c>
      <x:c r="AM111" s="87" t="str">
        <x:f>IF(OR(Q111="",R111="",R111&lt;Q111),"",(R111-Q111)*1440)</x:f>
      </x:c>
      <x:c r="AN111" s="87" t="str">
        <x:f>IF(OR(S111="",T111="",T111&lt;S111),"",(T111-S111)*1440)</x:f>
      </x:c>
      <x:c r="AO111" s="87" t="str">
        <x:f>IF(OR(U111="",V111=""),"",V111-U111)</x:f>
      </x:c>
      <x:c r="AP111" s="63" t="str">
        <x:f>IF(A111="","",IF(OR(B111="",H111="",N111=""),"Incompleto",IF(N111&lt;H111,"Revisar",IF(OR(G111="",G111="Não observado"),"Qualidade E0 ausente",IF(OR(G111="Sensor",G111="Marcação física"),"Válido — E0 observado",IF(G111="Cálculo","Válido — E0 calculado","Válido — E0 estimado"))))))</x:f>
      </x:c>
      <x:c r="AQ111" s="63" t="str">
        <x:f>IF(A111="","",IF(COUNTA(H111:T111)&lt;13,"Incompleta",IF(OR(I111&lt;H111,J111&lt;I111,K111&lt;J111,L111&lt;K111,M111&lt;L111,N111&lt;M111,O111&lt;N111,P111&lt;O111,Q111&lt;P111,R111&lt;Q111,S111&lt;R111,T111&lt;S111),"Revisar","Completa")))</x:f>
      </x:c>
      <x:c r="AR111" s="87" t="str">
        <x:f>IF(OR(V111="",W111="",Y111=""),"",Y111-(V111-W111))</x:f>
      </x:c>
      <x:c r="AS111" s="63" t="str">
        <x:f>IF(A111="","",IF(AND(E111&lt;&gt;"",F111&lt;&gt;"",G111&lt;&gt;"",Z111&lt;&gt;"",AA111&lt;&gt;"",AB111&lt;&gt;"",AC111&lt;&gt;""),"Completa","Incompleta"))</x:f>
      </x:c>
      <x:c r="AT111" s="63" t="str">
        <x:f>IF(A111="","",IF(COUNTIF($A$11:$A$410,A111)&gt;1,"ID duplicado",IF(AND(AR111&lt;&gt;"",ABS(AR111)&gt;0.01),"Revisar balanço",IF(AND(W111&lt;&gt;"",V111&lt;&gt;"",W111&gt;V111),"Retirada &gt; estoque",IF(AND(U111&lt;&gt;"",U111&lt;'Cenário Base'!$D$8*'Cenário Base'!$D$74),"E0 abaixo do gatilho",IF(AND(V111&lt;&gt;"",V111&gt;XLOOKUP(B111,$A$414:$A$418,$B$414:$B$418)),"Excedeu capacidade","Sem alerta"))))))</x:f>
      </x:c>
    </x:row>
    <x:row r="112">
      <x:c r="A112" s="43"/>
      <x:c r="B112" s="43"/>
      <x:c r="C112" s="43"/>
      <x:c r="D112" s="43"/>
      <x:c r="E112" s="43"/>
      <x:c r="F112" s="43"/>
      <x:c r="G112" s="43"/>
      <x:c r="H112" s="120"/>
      <x:c r="I112" s="120"/>
      <x:c r="J112" s="120"/>
      <x:c r="K112" s="120"/>
      <x:c r="L112" s="120"/>
      <x:c r="M112" s="120"/>
      <x:c r="N112" s="120"/>
      <x:c r="O112" s="120"/>
      <x:c r="P112" s="120"/>
      <x:c r="Q112" s="120"/>
      <x:c r="R112" s="120"/>
      <x:c r="S112" s="120"/>
      <x:c r="T112" s="120"/>
      <x:c r="U112" s="48"/>
      <x:c r="V112" s="48"/>
      <x:c r="W112" s="48"/>
      <x:c r="X112" s="48"/>
      <x:c r="Y112" s="48"/>
      <x:c r="Z112" s="49"/>
      <x:c r="AA112" s="43"/>
      <x:c r="AB112" s="43"/>
      <x:c r="AC112" s="43"/>
      <x:c r="AD112" s="43"/>
      <x:c r="AE112" s="43"/>
      <x:c r="AF112" s="87" t="str">
        <x:f>IF(OR(H112="",I112="",I112&lt;H112),"",(I112-H112)*1440)</x:f>
      </x:c>
      <x:c r="AG112" s="87" t="str">
        <x:f>IF(OR(I112="",M112="",M112&lt;I112),"",(M112-I112)*1440)</x:f>
      </x:c>
      <x:c r="AH112" s="87" t="str">
        <x:f>IF(OR(M112="",N112="",N112&lt;M112),"",(N112-M112)*1440)</x:f>
      </x:c>
      <x:c r="AI112" s="87" t="str">
        <x:f>IF(OR(H112="",N112="",N112&lt;H112),"",(N112-H112)*1440)</x:f>
      </x:c>
      <x:c r="AJ112" s="87" t="str">
        <x:f>IF(OR(I112="",N112="",N112&lt;I112),"",(N112-I112)*1440)</x:f>
      </x:c>
      <x:c r="AK112" s="87" t="str">
        <x:f>IF(OR(N112="",O112="",O112&lt;N112),"",(O112-N112)*1440)</x:f>
      </x:c>
      <x:c r="AL112" s="87" t="str">
        <x:f>IF(OR(O112="",P112="",P112&lt;O112),"",(P112-O112)*1440)</x:f>
      </x:c>
      <x:c r="AM112" s="87" t="str">
        <x:f>IF(OR(Q112="",R112="",R112&lt;Q112),"",(R112-Q112)*1440)</x:f>
      </x:c>
      <x:c r="AN112" s="87" t="str">
        <x:f>IF(OR(S112="",T112="",T112&lt;S112),"",(T112-S112)*1440)</x:f>
      </x:c>
      <x:c r="AO112" s="87" t="str">
        <x:f>IF(OR(U112="",V112=""),"",V112-U112)</x:f>
      </x:c>
      <x:c r="AP112" s="63" t="str">
        <x:f>IF(A112="","",IF(OR(B112="",H112="",N112=""),"Incompleto",IF(N112&lt;H112,"Revisar",IF(OR(G112="",G112="Não observado"),"Qualidade E0 ausente",IF(OR(G112="Sensor",G112="Marcação física"),"Válido — E0 observado",IF(G112="Cálculo","Válido — E0 calculado","Válido — E0 estimado"))))))</x:f>
      </x:c>
      <x:c r="AQ112" s="63" t="str">
        <x:f>IF(A112="","",IF(COUNTA(H112:T112)&lt;13,"Incompleta",IF(OR(I112&lt;H112,J112&lt;I112,K112&lt;J112,L112&lt;K112,M112&lt;L112,N112&lt;M112,O112&lt;N112,P112&lt;O112,Q112&lt;P112,R112&lt;Q112,S112&lt;R112,T112&lt;S112),"Revisar","Completa")))</x:f>
      </x:c>
      <x:c r="AR112" s="87" t="str">
        <x:f>IF(OR(V112="",W112="",Y112=""),"",Y112-(V112-W112))</x:f>
      </x:c>
      <x:c r="AS112" s="63" t="str">
        <x:f>IF(A112="","",IF(AND(E112&lt;&gt;"",F112&lt;&gt;"",G112&lt;&gt;"",Z112&lt;&gt;"",AA112&lt;&gt;"",AB112&lt;&gt;"",AC112&lt;&gt;""),"Completa","Incompleta"))</x:f>
      </x:c>
      <x:c r="AT112" s="63" t="str">
        <x:f>IF(A112="","",IF(COUNTIF($A$11:$A$410,A112)&gt;1,"ID duplicado",IF(AND(AR112&lt;&gt;"",ABS(AR112)&gt;0.01),"Revisar balanço",IF(AND(W112&lt;&gt;"",V112&lt;&gt;"",W112&gt;V112),"Retirada &gt; estoque",IF(AND(U112&lt;&gt;"",U112&lt;'Cenário Base'!$D$8*'Cenário Base'!$D$74),"E0 abaixo do gatilho",IF(AND(V112&lt;&gt;"",V112&gt;XLOOKUP(B112,$A$414:$A$418,$B$414:$B$418)),"Excedeu capacidade","Sem alerta"))))))</x:f>
      </x:c>
    </x:row>
    <x:row r="113">
      <x:c r="A113" s="43"/>
      <x:c r="B113" s="43"/>
      <x:c r="C113" s="43"/>
      <x:c r="D113" s="43"/>
      <x:c r="E113" s="43"/>
      <x:c r="F113" s="43"/>
      <x:c r="G113" s="43"/>
      <x:c r="H113" s="120"/>
      <x:c r="I113" s="120"/>
      <x:c r="J113" s="120"/>
      <x:c r="K113" s="120"/>
      <x:c r="L113" s="120"/>
      <x:c r="M113" s="120"/>
      <x:c r="N113" s="120"/>
      <x:c r="O113" s="120"/>
      <x:c r="P113" s="120"/>
      <x:c r="Q113" s="120"/>
      <x:c r="R113" s="120"/>
      <x:c r="S113" s="120"/>
      <x:c r="T113" s="120"/>
      <x:c r="U113" s="48"/>
      <x:c r="V113" s="48"/>
      <x:c r="W113" s="48"/>
      <x:c r="X113" s="48"/>
      <x:c r="Y113" s="48"/>
      <x:c r="Z113" s="49"/>
      <x:c r="AA113" s="43"/>
      <x:c r="AB113" s="43"/>
      <x:c r="AC113" s="43"/>
      <x:c r="AD113" s="43"/>
      <x:c r="AE113" s="43"/>
      <x:c r="AF113" s="87" t="str">
        <x:f>IF(OR(H113="",I113="",I113&lt;H113),"",(I113-H113)*1440)</x:f>
      </x:c>
      <x:c r="AG113" s="87" t="str">
        <x:f>IF(OR(I113="",M113="",M113&lt;I113),"",(M113-I113)*1440)</x:f>
      </x:c>
      <x:c r="AH113" s="87" t="str">
        <x:f>IF(OR(M113="",N113="",N113&lt;M113),"",(N113-M113)*1440)</x:f>
      </x:c>
      <x:c r="AI113" s="87" t="str">
        <x:f>IF(OR(H113="",N113="",N113&lt;H113),"",(N113-H113)*1440)</x:f>
      </x:c>
      <x:c r="AJ113" s="87" t="str">
        <x:f>IF(OR(I113="",N113="",N113&lt;I113),"",(N113-I113)*1440)</x:f>
      </x:c>
      <x:c r="AK113" s="87" t="str">
        <x:f>IF(OR(N113="",O113="",O113&lt;N113),"",(O113-N113)*1440)</x:f>
      </x:c>
      <x:c r="AL113" s="87" t="str">
        <x:f>IF(OR(O113="",P113="",P113&lt;O113),"",(P113-O113)*1440)</x:f>
      </x:c>
      <x:c r="AM113" s="87" t="str">
        <x:f>IF(OR(Q113="",R113="",R113&lt;Q113),"",(R113-Q113)*1440)</x:f>
      </x:c>
      <x:c r="AN113" s="87" t="str">
        <x:f>IF(OR(S113="",T113="",T113&lt;S113),"",(T113-S113)*1440)</x:f>
      </x:c>
      <x:c r="AO113" s="87" t="str">
        <x:f>IF(OR(U113="",V113=""),"",V113-U113)</x:f>
      </x:c>
      <x:c r="AP113" s="63" t="str">
        <x:f>IF(A113="","",IF(OR(B113="",H113="",N113=""),"Incompleto",IF(N113&lt;H113,"Revisar",IF(OR(G113="",G113="Não observado"),"Qualidade E0 ausente",IF(OR(G113="Sensor",G113="Marcação física"),"Válido — E0 observado",IF(G113="Cálculo","Válido — E0 calculado","Válido — E0 estimado"))))))</x:f>
      </x:c>
      <x:c r="AQ113" s="63" t="str">
        <x:f>IF(A113="","",IF(COUNTA(H113:T113)&lt;13,"Incompleta",IF(OR(I113&lt;H113,J113&lt;I113,K113&lt;J113,L113&lt;K113,M113&lt;L113,N113&lt;M113,O113&lt;N113,P113&lt;O113,Q113&lt;P113,R113&lt;Q113,S113&lt;R113,T113&lt;S113),"Revisar","Completa")))</x:f>
      </x:c>
      <x:c r="AR113" s="87" t="str">
        <x:f>IF(OR(V113="",W113="",Y113=""),"",Y113-(V113-W113))</x:f>
      </x:c>
      <x:c r="AS113" s="63" t="str">
        <x:f>IF(A113="","",IF(AND(E113&lt;&gt;"",F113&lt;&gt;"",G113&lt;&gt;"",Z113&lt;&gt;"",AA113&lt;&gt;"",AB113&lt;&gt;"",AC113&lt;&gt;""),"Completa","Incompleta"))</x:f>
      </x:c>
      <x:c r="AT113" s="63" t="str">
        <x:f>IF(A113="","",IF(COUNTIF($A$11:$A$410,A113)&gt;1,"ID duplicado",IF(AND(AR113&lt;&gt;"",ABS(AR113)&gt;0.01),"Revisar balanço",IF(AND(W113&lt;&gt;"",V113&lt;&gt;"",W113&gt;V113),"Retirada &gt; estoque",IF(AND(U113&lt;&gt;"",U113&lt;'Cenário Base'!$D$8*'Cenário Base'!$D$74),"E0 abaixo do gatilho",IF(AND(V113&lt;&gt;"",V113&gt;XLOOKUP(B113,$A$414:$A$418,$B$414:$B$418)),"Excedeu capacidade","Sem alerta"))))))</x:f>
      </x:c>
    </x:row>
    <x:row r="114">
      <x:c r="A114" s="43"/>
      <x:c r="B114" s="43"/>
      <x:c r="C114" s="43"/>
      <x:c r="D114" s="43"/>
      <x:c r="E114" s="43"/>
      <x:c r="F114" s="43"/>
      <x:c r="G114" s="43"/>
      <x:c r="H114" s="120"/>
      <x:c r="I114" s="120"/>
      <x:c r="J114" s="120"/>
      <x:c r="K114" s="120"/>
      <x:c r="L114" s="120"/>
      <x:c r="M114" s="120"/>
      <x:c r="N114" s="120"/>
      <x:c r="O114" s="120"/>
      <x:c r="P114" s="120"/>
      <x:c r="Q114" s="120"/>
      <x:c r="R114" s="120"/>
      <x:c r="S114" s="120"/>
      <x:c r="T114" s="120"/>
      <x:c r="U114" s="48"/>
      <x:c r="V114" s="48"/>
      <x:c r="W114" s="48"/>
      <x:c r="X114" s="48"/>
      <x:c r="Y114" s="48"/>
      <x:c r="Z114" s="49"/>
      <x:c r="AA114" s="43"/>
      <x:c r="AB114" s="43"/>
      <x:c r="AC114" s="43"/>
      <x:c r="AD114" s="43"/>
      <x:c r="AE114" s="43"/>
      <x:c r="AF114" s="87" t="str">
        <x:f>IF(OR(H114="",I114="",I114&lt;H114),"",(I114-H114)*1440)</x:f>
      </x:c>
      <x:c r="AG114" s="87" t="str">
        <x:f>IF(OR(I114="",M114="",M114&lt;I114),"",(M114-I114)*1440)</x:f>
      </x:c>
      <x:c r="AH114" s="87" t="str">
        <x:f>IF(OR(M114="",N114="",N114&lt;M114),"",(N114-M114)*1440)</x:f>
      </x:c>
      <x:c r="AI114" s="87" t="str">
        <x:f>IF(OR(H114="",N114="",N114&lt;H114),"",(N114-H114)*1440)</x:f>
      </x:c>
      <x:c r="AJ114" s="87" t="str">
        <x:f>IF(OR(I114="",N114="",N114&lt;I114),"",(N114-I114)*1440)</x:f>
      </x:c>
      <x:c r="AK114" s="87" t="str">
        <x:f>IF(OR(N114="",O114="",O114&lt;N114),"",(O114-N114)*1440)</x:f>
      </x:c>
      <x:c r="AL114" s="87" t="str">
        <x:f>IF(OR(O114="",P114="",P114&lt;O114),"",(P114-O114)*1440)</x:f>
      </x:c>
      <x:c r="AM114" s="87" t="str">
        <x:f>IF(OR(Q114="",R114="",R114&lt;Q114),"",(R114-Q114)*1440)</x:f>
      </x:c>
      <x:c r="AN114" s="87" t="str">
        <x:f>IF(OR(S114="",T114="",T114&lt;S114),"",(T114-S114)*1440)</x:f>
      </x:c>
      <x:c r="AO114" s="87" t="str">
        <x:f>IF(OR(U114="",V114=""),"",V114-U114)</x:f>
      </x:c>
      <x:c r="AP114" s="63" t="str">
        <x:f>IF(A114="","",IF(OR(B114="",H114="",N114=""),"Incompleto",IF(N114&lt;H114,"Revisar",IF(OR(G114="",G114="Não observado"),"Qualidade E0 ausente",IF(OR(G114="Sensor",G114="Marcação física"),"Válido — E0 observado",IF(G114="Cálculo","Válido — E0 calculado","Válido — E0 estimado"))))))</x:f>
      </x:c>
      <x:c r="AQ114" s="63" t="str">
        <x:f>IF(A114="","",IF(COUNTA(H114:T114)&lt;13,"Incompleta",IF(OR(I114&lt;H114,J114&lt;I114,K114&lt;J114,L114&lt;K114,M114&lt;L114,N114&lt;M114,O114&lt;N114,P114&lt;O114,Q114&lt;P114,R114&lt;Q114,S114&lt;R114,T114&lt;S114),"Revisar","Completa")))</x:f>
      </x:c>
      <x:c r="AR114" s="87" t="str">
        <x:f>IF(OR(V114="",W114="",Y114=""),"",Y114-(V114-W114))</x:f>
      </x:c>
      <x:c r="AS114" s="63" t="str">
        <x:f>IF(A114="","",IF(AND(E114&lt;&gt;"",F114&lt;&gt;"",G114&lt;&gt;"",Z114&lt;&gt;"",AA114&lt;&gt;"",AB114&lt;&gt;"",AC114&lt;&gt;""),"Completa","Incompleta"))</x:f>
      </x:c>
      <x:c r="AT114" s="63" t="str">
        <x:f>IF(A114="","",IF(COUNTIF($A$11:$A$410,A114)&gt;1,"ID duplicado",IF(AND(AR114&lt;&gt;"",ABS(AR114)&gt;0.01),"Revisar balanço",IF(AND(W114&lt;&gt;"",V114&lt;&gt;"",W114&gt;V114),"Retirada &gt; estoque",IF(AND(U114&lt;&gt;"",U114&lt;'Cenário Base'!$D$8*'Cenário Base'!$D$74),"E0 abaixo do gatilho",IF(AND(V114&lt;&gt;"",V114&gt;XLOOKUP(B114,$A$414:$A$418,$B$414:$B$418)),"Excedeu capacidade","Sem alerta"))))))</x:f>
      </x:c>
    </x:row>
    <x:row r="115">
      <x:c r="A115" s="43"/>
      <x:c r="B115" s="43"/>
      <x:c r="C115" s="43"/>
      <x:c r="D115" s="43"/>
      <x:c r="E115" s="43"/>
      <x:c r="F115" s="43"/>
      <x:c r="G115" s="43"/>
      <x:c r="H115" s="120"/>
      <x:c r="I115" s="120"/>
      <x:c r="J115" s="120"/>
      <x:c r="K115" s="120"/>
      <x:c r="L115" s="120"/>
      <x:c r="M115" s="120"/>
      <x:c r="N115" s="120"/>
      <x:c r="O115" s="120"/>
      <x:c r="P115" s="120"/>
      <x:c r="Q115" s="120"/>
      <x:c r="R115" s="120"/>
      <x:c r="S115" s="120"/>
      <x:c r="T115" s="120"/>
      <x:c r="U115" s="48"/>
      <x:c r="V115" s="48"/>
      <x:c r="W115" s="48"/>
      <x:c r="X115" s="48"/>
      <x:c r="Y115" s="48"/>
      <x:c r="Z115" s="49"/>
      <x:c r="AA115" s="43"/>
      <x:c r="AB115" s="43"/>
      <x:c r="AC115" s="43"/>
      <x:c r="AD115" s="43"/>
      <x:c r="AE115" s="43"/>
      <x:c r="AF115" s="87" t="str">
        <x:f>IF(OR(H115="",I115="",I115&lt;H115),"",(I115-H115)*1440)</x:f>
      </x:c>
      <x:c r="AG115" s="87" t="str">
        <x:f>IF(OR(I115="",M115="",M115&lt;I115),"",(M115-I115)*1440)</x:f>
      </x:c>
      <x:c r="AH115" s="87" t="str">
        <x:f>IF(OR(M115="",N115="",N115&lt;M115),"",(N115-M115)*1440)</x:f>
      </x:c>
      <x:c r="AI115" s="87" t="str">
        <x:f>IF(OR(H115="",N115="",N115&lt;H115),"",(N115-H115)*1440)</x:f>
      </x:c>
      <x:c r="AJ115" s="87" t="str">
        <x:f>IF(OR(I115="",N115="",N115&lt;I115),"",(N115-I115)*1440)</x:f>
      </x:c>
      <x:c r="AK115" s="87" t="str">
        <x:f>IF(OR(N115="",O115="",O115&lt;N115),"",(O115-N115)*1440)</x:f>
      </x:c>
      <x:c r="AL115" s="87" t="str">
        <x:f>IF(OR(O115="",P115="",P115&lt;O115),"",(P115-O115)*1440)</x:f>
      </x:c>
      <x:c r="AM115" s="87" t="str">
        <x:f>IF(OR(Q115="",R115="",R115&lt;Q115),"",(R115-Q115)*1440)</x:f>
      </x:c>
      <x:c r="AN115" s="87" t="str">
        <x:f>IF(OR(S115="",T115="",T115&lt;S115),"",(T115-S115)*1440)</x:f>
      </x:c>
      <x:c r="AO115" s="87" t="str">
        <x:f>IF(OR(U115="",V115=""),"",V115-U115)</x:f>
      </x:c>
      <x:c r="AP115" s="63" t="str">
        <x:f>IF(A115="","",IF(OR(B115="",H115="",N115=""),"Incompleto",IF(N115&lt;H115,"Revisar",IF(OR(G115="",G115="Não observado"),"Qualidade E0 ausente",IF(OR(G115="Sensor",G115="Marcação física"),"Válido — E0 observado",IF(G115="Cálculo","Válido — E0 calculado","Válido — E0 estimado"))))))</x:f>
      </x:c>
      <x:c r="AQ115" s="63" t="str">
        <x:f>IF(A115="","",IF(COUNTA(H115:T115)&lt;13,"Incompleta",IF(OR(I115&lt;H115,J115&lt;I115,K115&lt;J115,L115&lt;K115,M115&lt;L115,N115&lt;M115,O115&lt;N115,P115&lt;O115,Q115&lt;P115,R115&lt;Q115,S115&lt;R115,T115&lt;S115),"Revisar","Completa")))</x:f>
      </x:c>
      <x:c r="AR115" s="87" t="str">
        <x:f>IF(OR(V115="",W115="",Y115=""),"",Y115-(V115-W115))</x:f>
      </x:c>
      <x:c r="AS115" s="63" t="str">
        <x:f>IF(A115="","",IF(AND(E115&lt;&gt;"",F115&lt;&gt;"",G115&lt;&gt;"",Z115&lt;&gt;"",AA115&lt;&gt;"",AB115&lt;&gt;"",AC115&lt;&gt;""),"Completa","Incompleta"))</x:f>
      </x:c>
      <x:c r="AT115" s="63" t="str">
        <x:f>IF(A115="","",IF(COUNTIF($A$11:$A$410,A115)&gt;1,"ID duplicado",IF(AND(AR115&lt;&gt;"",ABS(AR115)&gt;0.01),"Revisar balanço",IF(AND(W115&lt;&gt;"",V115&lt;&gt;"",W115&gt;V115),"Retirada &gt; estoque",IF(AND(U115&lt;&gt;"",U115&lt;'Cenário Base'!$D$8*'Cenário Base'!$D$74),"E0 abaixo do gatilho",IF(AND(V115&lt;&gt;"",V115&gt;XLOOKUP(B115,$A$414:$A$418,$B$414:$B$418)),"Excedeu capacidade","Sem alerta"))))))</x:f>
      </x:c>
    </x:row>
    <x:row r="116">
      <x:c r="A116" s="43"/>
      <x:c r="B116" s="43"/>
      <x:c r="C116" s="43"/>
      <x:c r="D116" s="43"/>
      <x:c r="E116" s="43"/>
      <x:c r="F116" s="43"/>
      <x:c r="G116" s="43"/>
      <x:c r="H116" s="120"/>
      <x:c r="I116" s="120"/>
      <x:c r="J116" s="120"/>
      <x:c r="K116" s="120"/>
      <x:c r="L116" s="120"/>
      <x:c r="M116" s="120"/>
      <x:c r="N116" s="120"/>
      <x:c r="O116" s="120"/>
      <x:c r="P116" s="120"/>
      <x:c r="Q116" s="120"/>
      <x:c r="R116" s="120"/>
      <x:c r="S116" s="120"/>
      <x:c r="T116" s="120"/>
      <x:c r="U116" s="48"/>
      <x:c r="V116" s="48"/>
      <x:c r="W116" s="48"/>
      <x:c r="X116" s="48"/>
      <x:c r="Y116" s="48"/>
      <x:c r="Z116" s="49"/>
      <x:c r="AA116" s="43"/>
      <x:c r="AB116" s="43"/>
      <x:c r="AC116" s="43"/>
      <x:c r="AD116" s="43"/>
      <x:c r="AE116" s="43"/>
      <x:c r="AF116" s="87" t="str">
        <x:f>IF(OR(H116="",I116="",I116&lt;H116),"",(I116-H116)*1440)</x:f>
      </x:c>
      <x:c r="AG116" s="87" t="str">
        <x:f>IF(OR(I116="",M116="",M116&lt;I116),"",(M116-I116)*1440)</x:f>
      </x:c>
      <x:c r="AH116" s="87" t="str">
        <x:f>IF(OR(M116="",N116="",N116&lt;M116),"",(N116-M116)*1440)</x:f>
      </x:c>
      <x:c r="AI116" s="87" t="str">
        <x:f>IF(OR(H116="",N116="",N116&lt;H116),"",(N116-H116)*1440)</x:f>
      </x:c>
      <x:c r="AJ116" s="87" t="str">
        <x:f>IF(OR(I116="",N116="",N116&lt;I116),"",(N116-I116)*1440)</x:f>
      </x:c>
      <x:c r="AK116" s="87" t="str">
        <x:f>IF(OR(N116="",O116="",O116&lt;N116),"",(O116-N116)*1440)</x:f>
      </x:c>
      <x:c r="AL116" s="87" t="str">
        <x:f>IF(OR(O116="",P116="",P116&lt;O116),"",(P116-O116)*1440)</x:f>
      </x:c>
      <x:c r="AM116" s="87" t="str">
        <x:f>IF(OR(Q116="",R116="",R116&lt;Q116),"",(R116-Q116)*1440)</x:f>
      </x:c>
      <x:c r="AN116" s="87" t="str">
        <x:f>IF(OR(S116="",T116="",T116&lt;S116),"",(T116-S116)*1440)</x:f>
      </x:c>
      <x:c r="AO116" s="87" t="str">
        <x:f>IF(OR(U116="",V116=""),"",V116-U116)</x:f>
      </x:c>
      <x:c r="AP116" s="63" t="str">
        <x:f>IF(A116="","",IF(OR(B116="",H116="",N116=""),"Incompleto",IF(N116&lt;H116,"Revisar",IF(OR(G116="",G116="Não observado"),"Qualidade E0 ausente",IF(OR(G116="Sensor",G116="Marcação física"),"Válido — E0 observado",IF(G116="Cálculo","Válido — E0 calculado","Válido — E0 estimado"))))))</x:f>
      </x:c>
      <x:c r="AQ116" s="63" t="str">
        <x:f>IF(A116="","",IF(COUNTA(H116:T116)&lt;13,"Incompleta",IF(OR(I116&lt;H116,J116&lt;I116,K116&lt;J116,L116&lt;K116,M116&lt;L116,N116&lt;M116,O116&lt;N116,P116&lt;O116,Q116&lt;P116,R116&lt;Q116,S116&lt;R116,T116&lt;S116),"Revisar","Completa")))</x:f>
      </x:c>
      <x:c r="AR116" s="87" t="str">
        <x:f>IF(OR(V116="",W116="",Y116=""),"",Y116-(V116-W116))</x:f>
      </x:c>
      <x:c r="AS116" s="63" t="str">
        <x:f>IF(A116="","",IF(AND(E116&lt;&gt;"",F116&lt;&gt;"",G116&lt;&gt;"",Z116&lt;&gt;"",AA116&lt;&gt;"",AB116&lt;&gt;"",AC116&lt;&gt;""),"Completa","Incompleta"))</x:f>
      </x:c>
      <x:c r="AT116" s="63" t="str">
        <x:f>IF(A116="","",IF(COUNTIF($A$11:$A$410,A116)&gt;1,"ID duplicado",IF(AND(AR116&lt;&gt;"",ABS(AR116)&gt;0.01),"Revisar balanço",IF(AND(W116&lt;&gt;"",V116&lt;&gt;"",W116&gt;V116),"Retirada &gt; estoque",IF(AND(U116&lt;&gt;"",U116&lt;'Cenário Base'!$D$8*'Cenário Base'!$D$74),"E0 abaixo do gatilho",IF(AND(V116&lt;&gt;"",V116&gt;XLOOKUP(B116,$A$414:$A$418,$B$414:$B$418)),"Excedeu capacidade","Sem alerta"))))))</x:f>
      </x:c>
    </x:row>
    <x:row r="117">
      <x:c r="A117" s="43"/>
      <x:c r="B117" s="43"/>
      <x:c r="C117" s="43"/>
      <x:c r="D117" s="43"/>
      <x:c r="E117" s="43"/>
      <x:c r="F117" s="43"/>
      <x:c r="G117" s="43"/>
      <x:c r="H117" s="120"/>
      <x:c r="I117" s="120"/>
      <x:c r="J117" s="120"/>
      <x:c r="K117" s="120"/>
      <x:c r="L117" s="120"/>
      <x:c r="M117" s="120"/>
      <x:c r="N117" s="120"/>
      <x:c r="O117" s="120"/>
      <x:c r="P117" s="120"/>
      <x:c r="Q117" s="120"/>
      <x:c r="R117" s="120"/>
      <x:c r="S117" s="120"/>
      <x:c r="T117" s="120"/>
      <x:c r="U117" s="48"/>
      <x:c r="V117" s="48"/>
      <x:c r="W117" s="48"/>
      <x:c r="X117" s="48"/>
      <x:c r="Y117" s="48"/>
      <x:c r="Z117" s="49"/>
      <x:c r="AA117" s="43"/>
      <x:c r="AB117" s="43"/>
      <x:c r="AC117" s="43"/>
      <x:c r="AD117" s="43"/>
      <x:c r="AE117" s="43"/>
      <x:c r="AF117" s="87" t="str">
        <x:f>IF(OR(H117="",I117="",I117&lt;H117),"",(I117-H117)*1440)</x:f>
      </x:c>
      <x:c r="AG117" s="87" t="str">
        <x:f>IF(OR(I117="",M117="",M117&lt;I117),"",(M117-I117)*1440)</x:f>
      </x:c>
      <x:c r="AH117" s="87" t="str">
        <x:f>IF(OR(M117="",N117="",N117&lt;M117),"",(N117-M117)*1440)</x:f>
      </x:c>
      <x:c r="AI117" s="87" t="str">
        <x:f>IF(OR(H117="",N117="",N117&lt;H117),"",(N117-H117)*1440)</x:f>
      </x:c>
      <x:c r="AJ117" s="87" t="str">
        <x:f>IF(OR(I117="",N117="",N117&lt;I117),"",(N117-I117)*1440)</x:f>
      </x:c>
      <x:c r="AK117" s="87" t="str">
        <x:f>IF(OR(N117="",O117="",O117&lt;N117),"",(O117-N117)*1440)</x:f>
      </x:c>
      <x:c r="AL117" s="87" t="str">
        <x:f>IF(OR(O117="",P117="",P117&lt;O117),"",(P117-O117)*1440)</x:f>
      </x:c>
      <x:c r="AM117" s="87" t="str">
        <x:f>IF(OR(Q117="",R117="",R117&lt;Q117),"",(R117-Q117)*1440)</x:f>
      </x:c>
      <x:c r="AN117" s="87" t="str">
        <x:f>IF(OR(S117="",T117="",T117&lt;S117),"",(T117-S117)*1440)</x:f>
      </x:c>
      <x:c r="AO117" s="87" t="str">
        <x:f>IF(OR(U117="",V117=""),"",V117-U117)</x:f>
      </x:c>
      <x:c r="AP117" s="63" t="str">
        <x:f>IF(A117="","",IF(OR(B117="",H117="",N117=""),"Incompleto",IF(N117&lt;H117,"Revisar",IF(OR(G117="",G117="Não observado"),"Qualidade E0 ausente",IF(OR(G117="Sensor",G117="Marcação física"),"Válido — E0 observado",IF(G117="Cálculo","Válido — E0 calculado","Válido — E0 estimado"))))))</x:f>
      </x:c>
      <x:c r="AQ117" s="63" t="str">
        <x:f>IF(A117="","",IF(COUNTA(H117:T117)&lt;13,"Incompleta",IF(OR(I117&lt;H117,J117&lt;I117,K117&lt;J117,L117&lt;K117,M117&lt;L117,N117&lt;M117,O117&lt;N117,P117&lt;O117,Q117&lt;P117,R117&lt;Q117,S117&lt;R117,T117&lt;S117),"Revisar","Completa")))</x:f>
      </x:c>
      <x:c r="AR117" s="87" t="str">
        <x:f>IF(OR(V117="",W117="",Y117=""),"",Y117-(V117-W117))</x:f>
      </x:c>
      <x:c r="AS117" s="63" t="str">
        <x:f>IF(A117="","",IF(AND(E117&lt;&gt;"",F117&lt;&gt;"",G117&lt;&gt;"",Z117&lt;&gt;"",AA117&lt;&gt;"",AB117&lt;&gt;"",AC117&lt;&gt;""),"Completa","Incompleta"))</x:f>
      </x:c>
      <x:c r="AT117" s="63" t="str">
        <x:f>IF(A117="","",IF(COUNTIF($A$11:$A$410,A117)&gt;1,"ID duplicado",IF(AND(AR117&lt;&gt;"",ABS(AR117)&gt;0.01),"Revisar balanço",IF(AND(W117&lt;&gt;"",V117&lt;&gt;"",W117&gt;V117),"Retirada &gt; estoque",IF(AND(U117&lt;&gt;"",U117&lt;'Cenário Base'!$D$8*'Cenário Base'!$D$74),"E0 abaixo do gatilho",IF(AND(V117&lt;&gt;"",V117&gt;XLOOKUP(B117,$A$414:$A$418,$B$414:$B$418)),"Excedeu capacidade","Sem alerta"))))))</x:f>
      </x:c>
    </x:row>
    <x:row r="118">
      <x:c r="A118" s="43"/>
      <x:c r="B118" s="43"/>
      <x:c r="C118" s="43"/>
      <x:c r="D118" s="43"/>
      <x:c r="E118" s="43"/>
      <x:c r="F118" s="43"/>
      <x:c r="G118" s="43"/>
      <x:c r="H118" s="120"/>
      <x:c r="I118" s="120"/>
      <x:c r="J118" s="120"/>
      <x:c r="K118" s="120"/>
      <x:c r="L118" s="120"/>
      <x:c r="M118" s="120"/>
      <x:c r="N118" s="120"/>
      <x:c r="O118" s="120"/>
      <x:c r="P118" s="120"/>
      <x:c r="Q118" s="120"/>
      <x:c r="R118" s="120"/>
      <x:c r="S118" s="120"/>
      <x:c r="T118" s="120"/>
      <x:c r="U118" s="48"/>
      <x:c r="V118" s="48"/>
      <x:c r="W118" s="48"/>
      <x:c r="X118" s="48"/>
      <x:c r="Y118" s="48"/>
      <x:c r="Z118" s="49"/>
      <x:c r="AA118" s="43"/>
      <x:c r="AB118" s="43"/>
      <x:c r="AC118" s="43"/>
      <x:c r="AD118" s="43"/>
      <x:c r="AE118" s="43"/>
      <x:c r="AF118" s="87" t="str">
        <x:f>IF(OR(H118="",I118="",I118&lt;H118),"",(I118-H118)*1440)</x:f>
      </x:c>
      <x:c r="AG118" s="87" t="str">
        <x:f>IF(OR(I118="",M118="",M118&lt;I118),"",(M118-I118)*1440)</x:f>
      </x:c>
      <x:c r="AH118" s="87" t="str">
        <x:f>IF(OR(M118="",N118="",N118&lt;M118),"",(N118-M118)*1440)</x:f>
      </x:c>
      <x:c r="AI118" s="87" t="str">
        <x:f>IF(OR(H118="",N118="",N118&lt;H118),"",(N118-H118)*1440)</x:f>
      </x:c>
      <x:c r="AJ118" s="87" t="str">
        <x:f>IF(OR(I118="",N118="",N118&lt;I118),"",(N118-I118)*1440)</x:f>
      </x:c>
      <x:c r="AK118" s="87" t="str">
        <x:f>IF(OR(N118="",O118="",O118&lt;N118),"",(O118-N118)*1440)</x:f>
      </x:c>
      <x:c r="AL118" s="87" t="str">
        <x:f>IF(OR(O118="",P118="",P118&lt;O118),"",(P118-O118)*1440)</x:f>
      </x:c>
      <x:c r="AM118" s="87" t="str">
        <x:f>IF(OR(Q118="",R118="",R118&lt;Q118),"",(R118-Q118)*1440)</x:f>
      </x:c>
      <x:c r="AN118" s="87" t="str">
        <x:f>IF(OR(S118="",T118="",T118&lt;S118),"",(T118-S118)*1440)</x:f>
      </x:c>
      <x:c r="AO118" s="87" t="str">
        <x:f>IF(OR(U118="",V118=""),"",V118-U118)</x:f>
      </x:c>
      <x:c r="AP118" s="63" t="str">
        <x:f>IF(A118="","",IF(OR(B118="",H118="",N118=""),"Incompleto",IF(N118&lt;H118,"Revisar",IF(OR(G118="",G118="Não observado"),"Qualidade E0 ausente",IF(OR(G118="Sensor",G118="Marcação física"),"Válido — E0 observado",IF(G118="Cálculo","Válido — E0 calculado","Válido — E0 estimado"))))))</x:f>
      </x:c>
      <x:c r="AQ118" s="63" t="str">
        <x:f>IF(A118="","",IF(COUNTA(H118:T118)&lt;13,"Incompleta",IF(OR(I118&lt;H118,J118&lt;I118,K118&lt;J118,L118&lt;K118,M118&lt;L118,N118&lt;M118,O118&lt;N118,P118&lt;O118,Q118&lt;P118,R118&lt;Q118,S118&lt;R118,T118&lt;S118),"Revisar","Completa")))</x:f>
      </x:c>
      <x:c r="AR118" s="87" t="str">
        <x:f>IF(OR(V118="",W118="",Y118=""),"",Y118-(V118-W118))</x:f>
      </x:c>
      <x:c r="AS118" s="63" t="str">
        <x:f>IF(A118="","",IF(AND(E118&lt;&gt;"",F118&lt;&gt;"",G118&lt;&gt;"",Z118&lt;&gt;"",AA118&lt;&gt;"",AB118&lt;&gt;"",AC118&lt;&gt;""),"Completa","Incompleta"))</x:f>
      </x:c>
      <x:c r="AT118" s="63" t="str">
        <x:f>IF(A118="","",IF(COUNTIF($A$11:$A$410,A118)&gt;1,"ID duplicado",IF(AND(AR118&lt;&gt;"",ABS(AR118)&gt;0.01),"Revisar balanço",IF(AND(W118&lt;&gt;"",V118&lt;&gt;"",W118&gt;V118),"Retirada &gt; estoque",IF(AND(U118&lt;&gt;"",U118&lt;'Cenário Base'!$D$8*'Cenário Base'!$D$74),"E0 abaixo do gatilho",IF(AND(V118&lt;&gt;"",V118&gt;XLOOKUP(B118,$A$414:$A$418,$B$414:$B$418)),"Excedeu capacidade","Sem alerta"))))))</x:f>
      </x:c>
    </x:row>
    <x:row r="119">
      <x:c r="A119" s="43"/>
      <x:c r="B119" s="43"/>
      <x:c r="C119" s="43"/>
      <x:c r="D119" s="43"/>
      <x:c r="E119" s="43"/>
      <x:c r="F119" s="43"/>
      <x:c r="G119" s="43"/>
      <x:c r="H119" s="120"/>
      <x:c r="I119" s="120"/>
      <x:c r="J119" s="120"/>
      <x:c r="K119" s="120"/>
      <x:c r="L119" s="120"/>
      <x:c r="M119" s="120"/>
      <x:c r="N119" s="120"/>
      <x:c r="O119" s="120"/>
      <x:c r="P119" s="120"/>
      <x:c r="Q119" s="120"/>
      <x:c r="R119" s="120"/>
      <x:c r="S119" s="120"/>
      <x:c r="T119" s="120"/>
      <x:c r="U119" s="48"/>
      <x:c r="V119" s="48"/>
      <x:c r="W119" s="48"/>
      <x:c r="X119" s="48"/>
      <x:c r="Y119" s="48"/>
      <x:c r="Z119" s="49"/>
      <x:c r="AA119" s="43"/>
      <x:c r="AB119" s="43"/>
      <x:c r="AC119" s="43"/>
      <x:c r="AD119" s="43"/>
      <x:c r="AE119" s="43"/>
      <x:c r="AF119" s="87" t="str">
        <x:f>IF(OR(H119="",I119="",I119&lt;H119),"",(I119-H119)*1440)</x:f>
      </x:c>
      <x:c r="AG119" s="87" t="str">
        <x:f>IF(OR(I119="",M119="",M119&lt;I119),"",(M119-I119)*1440)</x:f>
      </x:c>
      <x:c r="AH119" s="87" t="str">
        <x:f>IF(OR(M119="",N119="",N119&lt;M119),"",(N119-M119)*1440)</x:f>
      </x:c>
      <x:c r="AI119" s="87" t="str">
        <x:f>IF(OR(H119="",N119="",N119&lt;H119),"",(N119-H119)*1440)</x:f>
      </x:c>
      <x:c r="AJ119" s="87" t="str">
        <x:f>IF(OR(I119="",N119="",N119&lt;I119),"",(N119-I119)*1440)</x:f>
      </x:c>
      <x:c r="AK119" s="87" t="str">
        <x:f>IF(OR(N119="",O119="",O119&lt;N119),"",(O119-N119)*1440)</x:f>
      </x:c>
      <x:c r="AL119" s="87" t="str">
        <x:f>IF(OR(O119="",P119="",P119&lt;O119),"",(P119-O119)*1440)</x:f>
      </x:c>
      <x:c r="AM119" s="87" t="str">
        <x:f>IF(OR(Q119="",R119="",R119&lt;Q119),"",(R119-Q119)*1440)</x:f>
      </x:c>
      <x:c r="AN119" s="87" t="str">
        <x:f>IF(OR(S119="",T119="",T119&lt;S119),"",(T119-S119)*1440)</x:f>
      </x:c>
      <x:c r="AO119" s="87" t="str">
        <x:f>IF(OR(U119="",V119=""),"",V119-U119)</x:f>
      </x:c>
      <x:c r="AP119" s="63" t="str">
        <x:f>IF(A119="","",IF(OR(B119="",H119="",N119=""),"Incompleto",IF(N119&lt;H119,"Revisar",IF(OR(G119="",G119="Não observado"),"Qualidade E0 ausente",IF(OR(G119="Sensor",G119="Marcação física"),"Válido — E0 observado",IF(G119="Cálculo","Válido — E0 calculado","Válido — E0 estimado"))))))</x:f>
      </x:c>
      <x:c r="AQ119" s="63" t="str">
        <x:f>IF(A119="","",IF(COUNTA(H119:T119)&lt;13,"Incompleta",IF(OR(I119&lt;H119,J119&lt;I119,K119&lt;J119,L119&lt;K119,M119&lt;L119,N119&lt;M119,O119&lt;N119,P119&lt;O119,Q119&lt;P119,R119&lt;Q119,S119&lt;R119,T119&lt;S119),"Revisar","Completa")))</x:f>
      </x:c>
      <x:c r="AR119" s="87" t="str">
        <x:f>IF(OR(V119="",W119="",Y119=""),"",Y119-(V119-W119))</x:f>
      </x:c>
      <x:c r="AS119" s="63" t="str">
        <x:f>IF(A119="","",IF(AND(E119&lt;&gt;"",F119&lt;&gt;"",G119&lt;&gt;"",Z119&lt;&gt;"",AA119&lt;&gt;"",AB119&lt;&gt;"",AC119&lt;&gt;""),"Completa","Incompleta"))</x:f>
      </x:c>
      <x:c r="AT119" s="63" t="str">
        <x:f>IF(A119="","",IF(COUNTIF($A$11:$A$410,A119)&gt;1,"ID duplicado",IF(AND(AR119&lt;&gt;"",ABS(AR119)&gt;0.01),"Revisar balanço",IF(AND(W119&lt;&gt;"",V119&lt;&gt;"",W119&gt;V119),"Retirada &gt; estoque",IF(AND(U119&lt;&gt;"",U119&lt;'Cenário Base'!$D$8*'Cenário Base'!$D$74),"E0 abaixo do gatilho",IF(AND(V119&lt;&gt;"",V119&gt;XLOOKUP(B119,$A$414:$A$418,$B$414:$B$418)),"Excedeu capacidade","Sem alerta"))))))</x:f>
      </x:c>
    </x:row>
    <x:row r="120">
      <x:c r="A120" s="43"/>
      <x:c r="B120" s="43"/>
      <x:c r="C120" s="43"/>
      <x:c r="D120" s="43"/>
      <x:c r="E120" s="43"/>
      <x:c r="F120" s="43"/>
      <x:c r="G120" s="43"/>
      <x:c r="H120" s="120"/>
      <x:c r="I120" s="120"/>
      <x:c r="J120" s="120"/>
      <x:c r="K120" s="120"/>
      <x:c r="L120" s="120"/>
      <x:c r="M120" s="120"/>
      <x:c r="N120" s="120"/>
      <x:c r="O120" s="120"/>
      <x:c r="P120" s="120"/>
      <x:c r="Q120" s="120"/>
      <x:c r="R120" s="120"/>
      <x:c r="S120" s="120"/>
      <x:c r="T120" s="120"/>
      <x:c r="U120" s="48"/>
      <x:c r="V120" s="48"/>
      <x:c r="W120" s="48"/>
      <x:c r="X120" s="48"/>
      <x:c r="Y120" s="48"/>
      <x:c r="Z120" s="49"/>
      <x:c r="AA120" s="43"/>
      <x:c r="AB120" s="43"/>
      <x:c r="AC120" s="43"/>
      <x:c r="AD120" s="43"/>
      <x:c r="AE120" s="43"/>
      <x:c r="AF120" s="87" t="str">
        <x:f>IF(OR(H120="",I120="",I120&lt;H120),"",(I120-H120)*1440)</x:f>
      </x:c>
      <x:c r="AG120" s="87" t="str">
        <x:f>IF(OR(I120="",M120="",M120&lt;I120),"",(M120-I120)*1440)</x:f>
      </x:c>
      <x:c r="AH120" s="87" t="str">
        <x:f>IF(OR(M120="",N120="",N120&lt;M120),"",(N120-M120)*1440)</x:f>
      </x:c>
      <x:c r="AI120" s="87" t="str">
        <x:f>IF(OR(H120="",N120="",N120&lt;H120),"",(N120-H120)*1440)</x:f>
      </x:c>
      <x:c r="AJ120" s="87" t="str">
        <x:f>IF(OR(I120="",N120="",N120&lt;I120),"",(N120-I120)*1440)</x:f>
      </x:c>
      <x:c r="AK120" s="87" t="str">
        <x:f>IF(OR(N120="",O120="",O120&lt;N120),"",(O120-N120)*1440)</x:f>
      </x:c>
      <x:c r="AL120" s="87" t="str">
        <x:f>IF(OR(O120="",P120="",P120&lt;O120),"",(P120-O120)*1440)</x:f>
      </x:c>
      <x:c r="AM120" s="87" t="str">
        <x:f>IF(OR(Q120="",R120="",R120&lt;Q120),"",(R120-Q120)*1440)</x:f>
      </x:c>
      <x:c r="AN120" s="87" t="str">
        <x:f>IF(OR(S120="",T120="",T120&lt;S120),"",(T120-S120)*1440)</x:f>
      </x:c>
      <x:c r="AO120" s="87" t="str">
        <x:f>IF(OR(U120="",V120=""),"",V120-U120)</x:f>
      </x:c>
      <x:c r="AP120" s="63" t="str">
        <x:f>IF(A120="","",IF(OR(B120="",H120="",N120=""),"Incompleto",IF(N120&lt;H120,"Revisar",IF(OR(G120="",G120="Não observado"),"Qualidade E0 ausente",IF(OR(G120="Sensor",G120="Marcação física"),"Válido — E0 observado",IF(G120="Cálculo","Válido — E0 calculado","Válido — E0 estimado"))))))</x:f>
      </x:c>
      <x:c r="AQ120" s="63" t="str">
        <x:f>IF(A120="","",IF(COUNTA(H120:T120)&lt;13,"Incompleta",IF(OR(I120&lt;H120,J120&lt;I120,K120&lt;J120,L120&lt;K120,M120&lt;L120,N120&lt;M120,O120&lt;N120,P120&lt;O120,Q120&lt;P120,R120&lt;Q120,S120&lt;R120,T120&lt;S120),"Revisar","Completa")))</x:f>
      </x:c>
      <x:c r="AR120" s="87" t="str">
        <x:f>IF(OR(V120="",W120="",Y120=""),"",Y120-(V120-W120))</x:f>
      </x:c>
      <x:c r="AS120" s="63" t="str">
        <x:f>IF(A120="","",IF(AND(E120&lt;&gt;"",F120&lt;&gt;"",G120&lt;&gt;"",Z120&lt;&gt;"",AA120&lt;&gt;"",AB120&lt;&gt;"",AC120&lt;&gt;""),"Completa","Incompleta"))</x:f>
      </x:c>
      <x:c r="AT120" s="63" t="str">
        <x:f>IF(A120="","",IF(COUNTIF($A$11:$A$410,A120)&gt;1,"ID duplicado",IF(AND(AR120&lt;&gt;"",ABS(AR120)&gt;0.01),"Revisar balanço",IF(AND(W120&lt;&gt;"",V120&lt;&gt;"",W120&gt;V120),"Retirada &gt; estoque",IF(AND(U120&lt;&gt;"",U120&lt;'Cenário Base'!$D$8*'Cenário Base'!$D$74),"E0 abaixo do gatilho",IF(AND(V120&lt;&gt;"",V120&gt;XLOOKUP(B120,$A$414:$A$418,$B$414:$B$418)),"Excedeu capacidade","Sem alerta"))))))</x:f>
      </x:c>
    </x:row>
    <x:row r="121">
      <x:c r="A121" s="43"/>
      <x:c r="B121" s="43"/>
      <x:c r="C121" s="43"/>
      <x:c r="D121" s="43"/>
      <x:c r="E121" s="43"/>
      <x:c r="F121" s="43"/>
      <x:c r="G121" s="43"/>
      <x:c r="H121" s="120"/>
      <x:c r="I121" s="120"/>
      <x:c r="J121" s="120"/>
      <x:c r="K121" s="120"/>
      <x:c r="L121" s="120"/>
      <x:c r="M121" s="120"/>
      <x:c r="N121" s="120"/>
      <x:c r="O121" s="120"/>
      <x:c r="P121" s="120"/>
      <x:c r="Q121" s="120"/>
      <x:c r="R121" s="120"/>
      <x:c r="S121" s="120"/>
      <x:c r="T121" s="120"/>
      <x:c r="U121" s="48"/>
      <x:c r="V121" s="48"/>
      <x:c r="W121" s="48"/>
      <x:c r="X121" s="48"/>
      <x:c r="Y121" s="48"/>
      <x:c r="Z121" s="49"/>
      <x:c r="AA121" s="43"/>
      <x:c r="AB121" s="43"/>
      <x:c r="AC121" s="43"/>
      <x:c r="AD121" s="43"/>
      <x:c r="AE121" s="43"/>
      <x:c r="AF121" s="87" t="str">
        <x:f>IF(OR(H121="",I121="",I121&lt;H121),"",(I121-H121)*1440)</x:f>
      </x:c>
      <x:c r="AG121" s="87" t="str">
        <x:f>IF(OR(I121="",M121="",M121&lt;I121),"",(M121-I121)*1440)</x:f>
      </x:c>
      <x:c r="AH121" s="87" t="str">
        <x:f>IF(OR(M121="",N121="",N121&lt;M121),"",(N121-M121)*1440)</x:f>
      </x:c>
      <x:c r="AI121" s="87" t="str">
        <x:f>IF(OR(H121="",N121="",N121&lt;H121),"",(N121-H121)*1440)</x:f>
      </x:c>
      <x:c r="AJ121" s="87" t="str">
        <x:f>IF(OR(I121="",N121="",N121&lt;I121),"",(N121-I121)*1440)</x:f>
      </x:c>
      <x:c r="AK121" s="87" t="str">
        <x:f>IF(OR(N121="",O121="",O121&lt;N121),"",(O121-N121)*1440)</x:f>
      </x:c>
      <x:c r="AL121" s="87" t="str">
        <x:f>IF(OR(O121="",P121="",P121&lt;O121),"",(P121-O121)*1440)</x:f>
      </x:c>
      <x:c r="AM121" s="87" t="str">
        <x:f>IF(OR(Q121="",R121="",R121&lt;Q121),"",(R121-Q121)*1440)</x:f>
      </x:c>
      <x:c r="AN121" s="87" t="str">
        <x:f>IF(OR(S121="",T121="",T121&lt;S121),"",(T121-S121)*1440)</x:f>
      </x:c>
      <x:c r="AO121" s="87" t="str">
        <x:f>IF(OR(U121="",V121=""),"",V121-U121)</x:f>
      </x:c>
      <x:c r="AP121" s="63" t="str">
        <x:f>IF(A121="","",IF(OR(B121="",H121="",N121=""),"Incompleto",IF(N121&lt;H121,"Revisar",IF(OR(G121="",G121="Não observado"),"Qualidade E0 ausente",IF(OR(G121="Sensor",G121="Marcação física"),"Válido — E0 observado",IF(G121="Cálculo","Válido — E0 calculado","Válido — E0 estimado"))))))</x:f>
      </x:c>
      <x:c r="AQ121" s="63" t="str">
        <x:f>IF(A121="","",IF(COUNTA(H121:T121)&lt;13,"Incompleta",IF(OR(I121&lt;H121,J121&lt;I121,K121&lt;J121,L121&lt;K121,M121&lt;L121,N121&lt;M121,O121&lt;N121,P121&lt;O121,Q121&lt;P121,R121&lt;Q121,S121&lt;R121,T121&lt;S121),"Revisar","Completa")))</x:f>
      </x:c>
      <x:c r="AR121" s="87" t="str">
        <x:f>IF(OR(V121="",W121="",Y121=""),"",Y121-(V121-W121))</x:f>
      </x:c>
      <x:c r="AS121" s="63" t="str">
        <x:f>IF(A121="","",IF(AND(E121&lt;&gt;"",F121&lt;&gt;"",G121&lt;&gt;"",Z121&lt;&gt;"",AA121&lt;&gt;"",AB121&lt;&gt;"",AC121&lt;&gt;""),"Completa","Incompleta"))</x:f>
      </x:c>
      <x:c r="AT121" s="63" t="str">
        <x:f>IF(A121="","",IF(COUNTIF($A$11:$A$410,A121)&gt;1,"ID duplicado",IF(AND(AR121&lt;&gt;"",ABS(AR121)&gt;0.01),"Revisar balanço",IF(AND(W121&lt;&gt;"",V121&lt;&gt;"",W121&gt;V121),"Retirada &gt; estoque",IF(AND(U121&lt;&gt;"",U121&lt;'Cenário Base'!$D$8*'Cenário Base'!$D$74),"E0 abaixo do gatilho",IF(AND(V121&lt;&gt;"",V121&gt;XLOOKUP(B121,$A$414:$A$418,$B$414:$B$418)),"Excedeu capacidade","Sem alerta"))))))</x:f>
      </x:c>
    </x:row>
    <x:row r="122">
      <x:c r="A122" s="43"/>
      <x:c r="B122" s="43"/>
      <x:c r="C122" s="43"/>
      <x:c r="D122" s="43"/>
      <x:c r="E122" s="43"/>
      <x:c r="F122" s="43"/>
      <x:c r="G122" s="43"/>
      <x:c r="H122" s="120"/>
      <x:c r="I122" s="120"/>
      <x:c r="J122" s="120"/>
      <x:c r="K122" s="120"/>
      <x:c r="L122" s="120"/>
      <x:c r="M122" s="120"/>
      <x:c r="N122" s="120"/>
      <x:c r="O122" s="120"/>
      <x:c r="P122" s="120"/>
      <x:c r="Q122" s="120"/>
      <x:c r="R122" s="120"/>
      <x:c r="S122" s="120"/>
      <x:c r="T122" s="120"/>
      <x:c r="U122" s="48"/>
      <x:c r="V122" s="48"/>
      <x:c r="W122" s="48"/>
      <x:c r="X122" s="48"/>
      <x:c r="Y122" s="48"/>
      <x:c r="Z122" s="49"/>
      <x:c r="AA122" s="43"/>
      <x:c r="AB122" s="43"/>
      <x:c r="AC122" s="43"/>
      <x:c r="AD122" s="43"/>
      <x:c r="AE122" s="43"/>
      <x:c r="AF122" s="87" t="str">
        <x:f>IF(OR(H122="",I122="",I122&lt;H122),"",(I122-H122)*1440)</x:f>
      </x:c>
      <x:c r="AG122" s="87" t="str">
        <x:f>IF(OR(I122="",M122="",M122&lt;I122),"",(M122-I122)*1440)</x:f>
      </x:c>
      <x:c r="AH122" s="87" t="str">
        <x:f>IF(OR(M122="",N122="",N122&lt;M122),"",(N122-M122)*1440)</x:f>
      </x:c>
      <x:c r="AI122" s="87" t="str">
        <x:f>IF(OR(H122="",N122="",N122&lt;H122),"",(N122-H122)*1440)</x:f>
      </x:c>
      <x:c r="AJ122" s="87" t="str">
        <x:f>IF(OR(I122="",N122="",N122&lt;I122),"",(N122-I122)*1440)</x:f>
      </x:c>
      <x:c r="AK122" s="87" t="str">
        <x:f>IF(OR(N122="",O122="",O122&lt;N122),"",(O122-N122)*1440)</x:f>
      </x:c>
      <x:c r="AL122" s="87" t="str">
        <x:f>IF(OR(O122="",P122="",P122&lt;O122),"",(P122-O122)*1440)</x:f>
      </x:c>
      <x:c r="AM122" s="87" t="str">
        <x:f>IF(OR(Q122="",R122="",R122&lt;Q122),"",(R122-Q122)*1440)</x:f>
      </x:c>
      <x:c r="AN122" s="87" t="str">
        <x:f>IF(OR(S122="",T122="",T122&lt;S122),"",(T122-S122)*1440)</x:f>
      </x:c>
      <x:c r="AO122" s="87" t="str">
        <x:f>IF(OR(U122="",V122=""),"",V122-U122)</x:f>
      </x:c>
      <x:c r="AP122" s="63" t="str">
        <x:f>IF(A122="","",IF(OR(B122="",H122="",N122=""),"Incompleto",IF(N122&lt;H122,"Revisar",IF(OR(G122="",G122="Não observado"),"Qualidade E0 ausente",IF(OR(G122="Sensor",G122="Marcação física"),"Válido — E0 observado",IF(G122="Cálculo","Válido — E0 calculado","Válido — E0 estimado"))))))</x:f>
      </x:c>
      <x:c r="AQ122" s="63" t="str">
        <x:f>IF(A122="","",IF(COUNTA(H122:T122)&lt;13,"Incompleta",IF(OR(I122&lt;H122,J122&lt;I122,K122&lt;J122,L122&lt;K122,M122&lt;L122,N122&lt;M122,O122&lt;N122,P122&lt;O122,Q122&lt;P122,R122&lt;Q122,S122&lt;R122,T122&lt;S122),"Revisar","Completa")))</x:f>
      </x:c>
      <x:c r="AR122" s="87" t="str">
        <x:f>IF(OR(V122="",W122="",Y122=""),"",Y122-(V122-W122))</x:f>
      </x:c>
      <x:c r="AS122" s="63" t="str">
        <x:f>IF(A122="","",IF(AND(E122&lt;&gt;"",F122&lt;&gt;"",G122&lt;&gt;"",Z122&lt;&gt;"",AA122&lt;&gt;"",AB122&lt;&gt;"",AC122&lt;&gt;""),"Completa","Incompleta"))</x:f>
      </x:c>
      <x:c r="AT122" s="63" t="str">
        <x:f>IF(A122="","",IF(COUNTIF($A$11:$A$410,A122)&gt;1,"ID duplicado",IF(AND(AR122&lt;&gt;"",ABS(AR122)&gt;0.01),"Revisar balanço",IF(AND(W122&lt;&gt;"",V122&lt;&gt;"",W122&gt;V122),"Retirada &gt; estoque",IF(AND(U122&lt;&gt;"",U122&lt;'Cenário Base'!$D$8*'Cenário Base'!$D$74),"E0 abaixo do gatilho",IF(AND(V122&lt;&gt;"",V122&gt;XLOOKUP(B122,$A$414:$A$418,$B$414:$B$418)),"Excedeu capacidade","Sem alerta"))))))</x:f>
      </x:c>
    </x:row>
    <x:row r="123">
      <x:c r="A123" s="43"/>
      <x:c r="B123" s="43"/>
      <x:c r="C123" s="43"/>
      <x:c r="D123" s="43"/>
      <x:c r="E123" s="43"/>
      <x:c r="F123" s="43"/>
      <x:c r="G123" s="43"/>
      <x:c r="H123" s="120"/>
      <x:c r="I123" s="120"/>
      <x:c r="J123" s="120"/>
      <x:c r="K123" s="120"/>
      <x:c r="L123" s="120"/>
      <x:c r="M123" s="120"/>
      <x:c r="N123" s="120"/>
      <x:c r="O123" s="120"/>
      <x:c r="P123" s="120"/>
      <x:c r="Q123" s="120"/>
      <x:c r="R123" s="120"/>
      <x:c r="S123" s="120"/>
      <x:c r="T123" s="120"/>
      <x:c r="U123" s="48"/>
      <x:c r="V123" s="48"/>
      <x:c r="W123" s="48"/>
      <x:c r="X123" s="48"/>
      <x:c r="Y123" s="48"/>
      <x:c r="Z123" s="49"/>
      <x:c r="AA123" s="43"/>
      <x:c r="AB123" s="43"/>
      <x:c r="AC123" s="43"/>
      <x:c r="AD123" s="43"/>
      <x:c r="AE123" s="43"/>
      <x:c r="AF123" s="87" t="str">
        <x:f>IF(OR(H123="",I123="",I123&lt;H123),"",(I123-H123)*1440)</x:f>
      </x:c>
      <x:c r="AG123" s="87" t="str">
        <x:f>IF(OR(I123="",M123="",M123&lt;I123),"",(M123-I123)*1440)</x:f>
      </x:c>
      <x:c r="AH123" s="87" t="str">
        <x:f>IF(OR(M123="",N123="",N123&lt;M123),"",(N123-M123)*1440)</x:f>
      </x:c>
      <x:c r="AI123" s="87" t="str">
        <x:f>IF(OR(H123="",N123="",N123&lt;H123),"",(N123-H123)*1440)</x:f>
      </x:c>
      <x:c r="AJ123" s="87" t="str">
        <x:f>IF(OR(I123="",N123="",N123&lt;I123),"",(N123-I123)*1440)</x:f>
      </x:c>
      <x:c r="AK123" s="87" t="str">
        <x:f>IF(OR(N123="",O123="",O123&lt;N123),"",(O123-N123)*1440)</x:f>
      </x:c>
      <x:c r="AL123" s="87" t="str">
        <x:f>IF(OR(O123="",P123="",P123&lt;O123),"",(P123-O123)*1440)</x:f>
      </x:c>
      <x:c r="AM123" s="87" t="str">
        <x:f>IF(OR(Q123="",R123="",R123&lt;Q123),"",(R123-Q123)*1440)</x:f>
      </x:c>
      <x:c r="AN123" s="87" t="str">
        <x:f>IF(OR(S123="",T123="",T123&lt;S123),"",(T123-S123)*1440)</x:f>
      </x:c>
      <x:c r="AO123" s="87" t="str">
        <x:f>IF(OR(U123="",V123=""),"",V123-U123)</x:f>
      </x:c>
      <x:c r="AP123" s="63" t="str">
        <x:f>IF(A123="","",IF(OR(B123="",H123="",N123=""),"Incompleto",IF(N123&lt;H123,"Revisar",IF(OR(G123="",G123="Não observado"),"Qualidade E0 ausente",IF(OR(G123="Sensor",G123="Marcação física"),"Válido — E0 observado",IF(G123="Cálculo","Válido — E0 calculado","Válido — E0 estimado"))))))</x:f>
      </x:c>
      <x:c r="AQ123" s="63" t="str">
        <x:f>IF(A123="","",IF(COUNTA(H123:T123)&lt;13,"Incompleta",IF(OR(I123&lt;H123,J123&lt;I123,K123&lt;J123,L123&lt;K123,M123&lt;L123,N123&lt;M123,O123&lt;N123,P123&lt;O123,Q123&lt;P123,R123&lt;Q123,S123&lt;R123,T123&lt;S123),"Revisar","Completa")))</x:f>
      </x:c>
      <x:c r="AR123" s="87" t="str">
        <x:f>IF(OR(V123="",W123="",Y123=""),"",Y123-(V123-W123))</x:f>
      </x:c>
      <x:c r="AS123" s="63" t="str">
        <x:f>IF(A123="","",IF(AND(E123&lt;&gt;"",F123&lt;&gt;"",G123&lt;&gt;"",Z123&lt;&gt;"",AA123&lt;&gt;"",AB123&lt;&gt;"",AC123&lt;&gt;""),"Completa","Incompleta"))</x:f>
      </x:c>
      <x:c r="AT123" s="63" t="str">
        <x:f>IF(A123="","",IF(COUNTIF($A$11:$A$410,A123)&gt;1,"ID duplicado",IF(AND(AR123&lt;&gt;"",ABS(AR123)&gt;0.01),"Revisar balanço",IF(AND(W123&lt;&gt;"",V123&lt;&gt;"",W123&gt;V123),"Retirada &gt; estoque",IF(AND(U123&lt;&gt;"",U123&lt;'Cenário Base'!$D$8*'Cenário Base'!$D$74),"E0 abaixo do gatilho",IF(AND(V123&lt;&gt;"",V123&gt;XLOOKUP(B123,$A$414:$A$418,$B$414:$B$418)),"Excedeu capacidade","Sem alerta"))))))</x:f>
      </x:c>
    </x:row>
    <x:row r="124">
      <x:c r="A124" s="43"/>
      <x:c r="B124" s="43"/>
      <x:c r="C124" s="43"/>
      <x:c r="D124" s="43"/>
      <x:c r="E124" s="43"/>
      <x:c r="F124" s="43"/>
      <x:c r="G124" s="43"/>
      <x:c r="H124" s="120"/>
      <x:c r="I124" s="120"/>
      <x:c r="J124" s="120"/>
      <x:c r="K124" s="120"/>
      <x:c r="L124" s="120"/>
      <x:c r="M124" s="120"/>
      <x:c r="N124" s="120"/>
      <x:c r="O124" s="120"/>
      <x:c r="P124" s="120"/>
      <x:c r="Q124" s="120"/>
      <x:c r="R124" s="120"/>
      <x:c r="S124" s="120"/>
      <x:c r="T124" s="120"/>
      <x:c r="U124" s="48"/>
      <x:c r="V124" s="48"/>
      <x:c r="W124" s="48"/>
      <x:c r="X124" s="48"/>
      <x:c r="Y124" s="48"/>
      <x:c r="Z124" s="49"/>
      <x:c r="AA124" s="43"/>
      <x:c r="AB124" s="43"/>
      <x:c r="AC124" s="43"/>
      <x:c r="AD124" s="43"/>
      <x:c r="AE124" s="43"/>
      <x:c r="AF124" s="87" t="str">
        <x:f>IF(OR(H124="",I124="",I124&lt;H124),"",(I124-H124)*1440)</x:f>
      </x:c>
      <x:c r="AG124" s="87" t="str">
        <x:f>IF(OR(I124="",M124="",M124&lt;I124),"",(M124-I124)*1440)</x:f>
      </x:c>
      <x:c r="AH124" s="87" t="str">
        <x:f>IF(OR(M124="",N124="",N124&lt;M124),"",(N124-M124)*1440)</x:f>
      </x:c>
      <x:c r="AI124" s="87" t="str">
        <x:f>IF(OR(H124="",N124="",N124&lt;H124),"",(N124-H124)*1440)</x:f>
      </x:c>
      <x:c r="AJ124" s="87" t="str">
        <x:f>IF(OR(I124="",N124="",N124&lt;I124),"",(N124-I124)*1440)</x:f>
      </x:c>
      <x:c r="AK124" s="87" t="str">
        <x:f>IF(OR(N124="",O124="",O124&lt;N124),"",(O124-N124)*1440)</x:f>
      </x:c>
      <x:c r="AL124" s="87" t="str">
        <x:f>IF(OR(O124="",P124="",P124&lt;O124),"",(P124-O124)*1440)</x:f>
      </x:c>
      <x:c r="AM124" s="87" t="str">
        <x:f>IF(OR(Q124="",R124="",R124&lt;Q124),"",(R124-Q124)*1440)</x:f>
      </x:c>
      <x:c r="AN124" s="87" t="str">
        <x:f>IF(OR(S124="",T124="",T124&lt;S124),"",(T124-S124)*1440)</x:f>
      </x:c>
      <x:c r="AO124" s="87" t="str">
        <x:f>IF(OR(U124="",V124=""),"",V124-U124)</x:f>
      </x:c>
      <x:c r="AP124" s="63" t="str">
        <x:f>IF(A124="","",IF(OR(B124="",H124="",N124=""),"Incompleto",IF(N124&lt;H124,"Revisar",IF(OR(G124="",G124="Não observado"),"Qualidade E0 ausente",IF(OR(G124="Sensor",G124="Marcação física"),"Válido — E0 observado",IF(G124="Cálculo","Válido — E0 calculado","Válido — E0 estimado"))))))</x:f>
      </x:c>
      <x:c r="AQ124" s="63" t="str">
        <x:f>IF(A124="","",IF(COUNTA(H124:T124)&lt;13,"Incompleta",IF(OR(I124&lt;H124,J124&lt;I124,K124&lt;J124,L124&lt;K124,M124&lt;L124,N124&lt;M124,O124&lt;N124,P124&lt;O124,Q124&lt;P124,R124&lt;Q124,S124&lt;R124,T124&lt;S124),"Revisar","Completa")))</x:f>
      </x:c>
      <x:c r="AR124" s="87" t="str">
        <x:f>IF(OR(V124="",W124="",Y124=""),"",Y124-(V124-W124))</x:f>
      </x:c>
      <x:c r="AS124" s="63" t="str">
        <x:f>IF(A124="","",IF(AND(E124&lt;&gt;"",F124&lt;&gt;"",G124&lt;&gt;"",Z124&lt;&gt;"",AA124&lt;&gt;"",AB124&lt;&gt;"",AC124&lt;&gt;""),"Completa","Incompleta"))</x:f>
      </x:c>
      <x:c r="AT124" s="63" t="str">
        <x:f>IF(A124="","",IF(COUNTIF($A$11:$A$410,A124)&gt;1,"ID duplicado",IF(AND(AR124&lt;&gt;"",ABS(AR124)&gt;0.01),"Revisar balanço",IF(AND(W124&lt;&gt;"",V124&lt;&gt;"",W124&gt;V124),"Retirada &gt; estoque",IF(AND(U124&lt;&gt;"",U124&lt;'Cenário Base'!$D$8*'Cenário Base'!$D$74),"E0 abaixo do gatilho",IF(AND(V124&lt;&gt;"",V124&gt;XLOOKUP(B124,$A$414:$A$418,$B$414:$B$418)),"Excedeu capacidade","Sem alerta"))))))</x:f>
      </x:c>
    </x:row>
    <x:row r="125">
      <x:c r="A125" s="43"/>
      <x:c r="B125" s="43"/>
      <x:c r="C125" s="43"/>
      <x:c r="D125" s="43"/>
      <x:c r="E125" s="43"/>
      <x:c r="F125" s="43"/>
      <x:c r="G125" s="43"/>
      <x:c r="H125" s="120"/>
      <x:c r="I125" s="120"/>
      <x:c r="J125" s="120"/>
      <x:c r="K125" s="120"/>
      <x:c r="L125" s="120"/>
      <x:c r="M125" s="120"/>
      <x:c r="N125" s="120"/>
      <x:c r="O125" s="120"/>
      <x:c r="P125" s="120"/>
      <x:c r="Q125" s="120"/>
      <x:c r="R125" s="120"/>
      <x:c r="S125" s="120"/>
      <x:c r="T125" s="120"/>
      <x:c r="U125" s="48"/>
      <x:c r="V125" s="48"/>
      <x:c r="W125" s="48"/>
      <x:c r="X125" s="48"/>
      <x:c r="Y125" s="48"/>
      <x:c r="Z125" s="49"/>
      <x:c r="AA125" s="43"/>
      <x:c r="AB125" s="43"/>
      <x:c r="AC125" s="43"/>
      <x:c r="AD125" s="43"/>
      <x:c r="AE125" s="43"/>
      <x:c r="AF125" s="87" t="str">
        <x:f>IF(OR(H125="",I125="",I125&lt;H125),"",(I125-H125)*1440)</x:f>
      </x:c>
      <x:c r="AG125" s="87" t="str">
        <x:f>IF(OR(I125="",M125="",M125&lt;I125),"",(M125-I125)*1440)</x:f>
      </x:c>
      <x:c r="AH125" s="87" t="str">
        <x:f>IF(OR(M125="",N125="",N125&lt;M125),"",(N125-M125)*1440)</x:f>
      </x:c>
      <x:c r="AI125" s="87" t="str">
        <x:f>IF(OR(H125="",N125="",N125&lt;H125),"",(N125-H125)*1440)</x:f>
      </x:c>
      <x:c r="AJ125" s="87" t="str">
        <x:f>IF(OR(I125="",N125="",N125&lt;I125),"",(N125-I125)*1440)</x:f>
      </x:c>
      <x:c r="AK125" s="87" t="str">
        <x:f>IF(OR(N125="",O125="",O125&lt;N125),"",(O125-N125)*1440)</x:f>
      </x:c>
      <x:c r="AL125" s="87" t="str">
        <x:f>IF(OR(O125="",P125="",P125&lt;O125),"",(P125-O125)*1440)</x:f>
      </x:c>
      <x:c r="AM125" s="87" t="str">
        <x:f>IF(OR(Q125="",R125="",R125&lt;Q125),"",(R125-Q125)*1440)</x:f>
      </x:c>
      <x:c r="AN125" s="87" t="str">
        <x:f>IF(OR(S125="",T125="",T125&lt;S125),"",(T125-S125)*1440)</x:f>
      </x:c>
      <x:c r="AO125" s="87" t="str">
        <x:f>IF(OR(U125="",V125=""),"",V125-U125)</x:f>
      </x:c>
      <x:c r="AP125" s="63" t="str">
        <x:f>IF(A125="","",IF(OR(B125="",H125="",N125=""),"Incompleto",IF(N125&lt;H125,"Revisar",IF(OR(G125="",G125="Não observado"),"Qualidade E0 ausente",IF(OR(G125="Sensor",G125="Marcação física"),"Válido — E0 observado",IF(G125="Cálculo","Válido — E0 calculado","Válido — E0 estimado"))))))</x:f>
      </x:c>
      <x:c r="AQ125" s="63" t="str">
        <x:f>IF(A125="","",IF(COUNTA(H125:T125)&lt;13,"Incompleta",IF(OR(I125&lt;H125,J125&lt;I125,K125&lt;J125,L125&lt;K125,M125&lt;L125,N125&lt;M125,O125&lt;N125,P125&lt;O125,Q125&lt;P125,R125&lt;Q125,S125&lt;R125,T125&lt;S125),"Revisar","Completa")))</x:f>
      </x:c>
      <x:c r="AR125" s="87" t="str">
        <x:f>IF(OR(V125="",W125="",Y125=""),"",Y125-(V125-W125))</x:f>
      </x:c>
      <x:c r="AS125" s="63" t="str">
        <x:f>IF(A125="","",IF(AND(E125&lt;&gt;"",F125&lt;&gt;"",G125&lt;&gt;"",Z125&lt;&gt;"",AA125&lt;&gt;"",AB125&lt;&gt;"",AC125&lt;&gt;""),"Completa","Incompleta"))</x:f>
      </x:c>
      <x:c r="AT125" s="63" t="str">
        <x:f>IF(A125="","",IF(COUNTIF($A$11:$A$410,A125)&gt;1,"ID duplicado",IF(AND(AR125&lt;&gt;"",ABS(AR125)&gt;0.01),"Revisar balanço",IF(AND(W125&lt;&gt;"",V125&lt;&gt;"",W125&gt;V125),"Retirada &gt; estoque",IF(AND(U125&lt;&gt;"",U125&lt;'Cenário Base'!$D$8*'Cenário Base'!$D$74),"E0 abaixo do gatilho",IF(AND(V125&lt;&gt;"",V125&gt;XLOOKUP(B125,$A$414:$A$418,$B$414:$B$418)),"Excedeu capacidade","Sem alerta"))))))</x:f>
      </x:c>
    </x:row>
    <x:row r="126">
      <x:c r="A126" s="43"/>
      <x:c r="B126" s="43"/>
      <x:c r="C126" s="43"/>
      <x:c r="D126" s="43"/>
      <x:c r="E126" s="43"/>
      <x:c r="F126" s="43"/>
      <x:c r="G126" s="43"/>
      <x:c r="H126" s="120"/>
      <x:c r="I126" s="120"/>
      <x:c r="J126" s="120"/>
      <x:c r="K126" s="120"/>
      <x:c r="L126" s="120"/>
      <x:c r="M126" s="120"/>
      <x:c r="N126" s="120"/>
      <x:c r="O126" s="120"/>
      <x:c r="P126" s="120"/>
      <x:c r="Q126" s="120"/>
      <x:c r="R126" s="120"/>
      <x:c r="S126" s="120"/>
      <x:c r="T126" s="120"/>
      <x:c r="U126" s="48"/>
      <x:c r="V126" s="48"/>
      <x:c r="W126" s="48"/>
      <x:c r="X126" s="48"/>
      <x:c r="Y126" s="48"/>
      <x:c r="Z126" s="49"/>
      <x:c r="AA126" s="43"/>
      <x:c r="AB126" s="43"/>
      <x:c r="AC126" s="43"/>
      <x:c r="AD126" s="43"/>
      <x:c r="AE126" s="43"/>
      <x:c r="AF126" s="87" t="str">
        <x:f>IF(OR(H126="",I126="",I126&lt;H126),"",(I126-H126)*1440)</x:f>
      </x:c>
      <x:c r="AG126" s="87" t="str">
        <x:f>IF(OR(I126="",M126="",M126&lt;I126),"",(M126-I126)*1440)</x:f>
      </x:c>
      <x:c r="AH126" s="87" t="str">
        <x:f>IF(OR(M126="",N126="",N126&lt;M126),"",(N126-M126)*1440)</x:f>
      </x:c>
      <x:c r="AI126" s="87" t="str">
        <x:f>IF(OR(H126="",N126="",N126&lt;H126),"",(N126-H126)*1440)</x:f>
      </x:c>
      <x:c r="AJ126" s="87" t="str">
        <x:f>IF(OR(I126="",N126="",N126&lt;I126),"",(N126-I126)*1440)</x:f>
      </x:c>
      <x:c r="AK126" s="87" t="str">
        <x:f>IF(OR(N126="",O126="",O126&lt;N126),"",(O126-N126)*1440)</x:f>
      </x:c>
      <x:c r="AL126" s="87" t="str">
        <x:f>IF(OR(O126="",P126="",P126&lt;O126),"",(P126-O126)*1440)</x:f>
      </x:c>
      <x:c r="AM126" s="87" t="str">
        <x:f>IF(OR(Q126="",R126="",R126&lt;Q126),"",(R126-Q126)*1440)</x:f>
      </x:c>
      <x:c r="AN126" s="87" t="str">
        <x:f>IF(OR(S126="",T126="",T126&lt;S126),"",(T126-S126)*1440)</x:f>
      </x:c>
      <x:c r="AO126" s="87" t="str">
        <x:f>IF(OR(U126="",V126=""),"",V126-U126)</x:f>
      </x:c>
      <x:c r="AP126" s="63" t="str">
        <x:f>IF(A126="","",IF(OR(B126="",H126="",N126=""),"Incompleto",IF(N126&lt;H126,"Revisar",IF(OR(G126="",G126="Não observado"),"Qualidade E0 ausente",IF(OR(G126="Sensor",G126="Marcação física"),"Válido — E0 observado",IF(G126="Cálculo","Válido — E0 calculado","Válido — E0 estimado"))))))</x:f>
      </x:c>
      <x:c r="AQ126" s="63" t="str">
        <x:f>IF(A126="","",IF(COUNTA(H126:T126)&lt;13,"Incompleta",IF(OR(I126&lt;H126,J126&lt;I126,K126&lt;J126,L126&lt;K126,M126&lt;L126,N126&lt;M126,O126&lt;N126,P126&lt;O126,Q126&lt;P126,R126&lt;Q126,S126&lt;R126,T126&lt;S126),"Revisar","Completa")))</x:f>
      </x:c>
      <x:c r="AR126" s="87" t="str">
        <x:f>IF(OR(V126="",W126="",Y126=""),"",Y126-(V126-W126))</x:f>
      </x:c>
      <x:c r="AS126" s="63" t="str">
        <x:f>IF(A126="","",IF(AND(E126&lt;&gt;"",F126&lt;&gt;"",G126&lt;&gt;"",Z126&lt;&gt;"",AA126&lt;&gt;"",AB126&lt;&gt;"",AC126&lt;&gt;""),"Completa","Incompleta"))</x:f>
      </x:c>
      <x:c r="AT126" s="63" t="str">
        <x:f>IF(A126="","",IF(COUNTIF($A$11:$A$410,A126)&gt;1,"ID duplicado",IF(AND(AR126&lt;&gt;"",ABS(AR126)&gt;0.01),"Revisar balanço",IF(AND(W126&lt;&gt;"",V126&lt;&gt;"",W126&gt;V126),"Retirada &gt; estoque",IF(AND(U126&lt;&gt;"",U126&lt;'Cenário Base'!$D$8*'Cenário Base'!$D$74),"E0 abaixo do gatilho",IF(AND(V126&lt;&gt;"",V126&gt;XLOOKUP(B126,$A$414:$A$418,$B$414:$B$418)),"Excedeu capacidade","Sem alerta"))))))</x:f>
      </x:c>
    </x:row>
    <x:row r="127">
      <x:c r="A127" s="43"/>
      <x:c r="B127" s="43"/>
      <x:c r="C127" s="43"/>
      <x:c r="D127" s="43"/>
      <x:c r="E127" s="43"/>
      <x:c r="F127" s="43"/>
      <x:c r="G127" s="43"/>
      <x:c r="H127" s="120"/>
      <x:c r="I127" s="120"/>
      <x:c r="J127" s="120"/>
      <x:c r="K127" s="120"/>
      <x:c r="L127" s="120"/>
      <x:c r="M127" s="120"/>
      <x:c r="N127" s="120"/>
      <x:c r="O127" s="120"/>
      <x:c r="P127" s="120"/>
      <x:c r="Q127" s="120"/>
      <x:c r="R127" s="120"/>
      <x:c r="S127" s="120"/>
      <x:c r="T127" s="120"/>
      <x:c r="U127" s="48"/>
      <x:c r="V127" s="48"/>
      <x:c r="W127" s="48"/>
      <x:c r="X127" s="48"/>
      <x:c r="Y127" s="48"/>
      <x:c r="Z127" s="49"/>
      <x:c r="AA127" s="43"/>
      <x:c r="AB127" s="43"/>
      <x:c r="AC127" s="43"/>
      <x:c r="AD127" s="43"/>
      <x:c r="AE127" s="43"/>
      <x:c r="AF127" s="87" t="str">
        <x:f>IF(OR(H127="",I127="",I127&lt;H127),"",(I127-H127)*1440)</x:f>
      </x:c>
      <x:c r="AG127" s="87" t="str">
        <x:f>IF(OR(I127="",M127="",M127&lt;I127),"",(M127-I127)*1440)</x:f>
      </x:c>
      <x:c r="AH127" s="87" t="str">
        <x:f>IF(OR(M127="",N127="",N127&lt;M127),"",(N127-M127)*1440)</x:f>
      </x:c>
      <x:c r="AI127" s="87" t="str">
        <x:f>IF(OR(H127="",N127="",N127&lt;H127),"",(N127-H127)*1440)</x:f>
      </x:c>
      <x:c r="AJ127" s="87" t="str">
        <x:f>IF(OR(I127="",N127="",N127&lt;I127),"",(N127-I127)*1440)</x:f>
      </x:c>
      <x:c r="AK127" s="87" t="str">
        <x:f>IF(OR(N127="",O127="",O127&lt;N127),"",(O127-N127)*1440)</x:f>
      </x:c>
      <x:c r="AL127" s="87" t="str">
        <x:f>IF(OR(O127="",P127="",P127&lt;O127),"",(P127-O127)*1440)</x:f>
      </x:c>
      <x:c r="AM127" s="87" t="str">
        <x:f>IF(OR(Q127="",R127="",R127&lt;Q127),"",(R127-Q127)*1440)</x:f>
      </x:c>
      <x:c r="AN127" s="87" t="str">
        <x:f>IF(OR(S127="",T127="",T127&lt;S127),"",(T127-S127)*1440)</x:f>
      </x:c>
      <x:c r="AO127" s="87" t="str">
        <x:f>IF(OR(U127="",V127=""),"",V127-U127)</x:f>
      </x:c>
      <x:c r="AP127" s="63" t="str">
        <x:f>IF(A127="","",IF(OR(B127="",H127="",N127=""),"Incompleto",IF(N127&lt;H127,"Revisar",IF(OR(G127="",G127="Não observado"),"Qualidade E0 ausente",IF(OR(G127="Sensor",G127="Marcação física"),"Válido — E0 observado",IF(G127="Cálculo","Válido — E0 calculado","Válido — E0 estimado"))))))</x:f>
      </x:c>
      <x:c r="AQ127" s="63" t="str">
        <x:f>IF(A127="","",IF(COUNTA(H127:T127)&lt;13,"Incompleta",IF(OR(I127&lt;H127,J127&lt;I127,K127&lt;J127,L127&lt;K127,M127&lt;L127,N127&lt;M127,O127&lt;N127,P127&lt;O127,Q127&lt;P127,R127&lt;Q127,S127&lt;R127,T127&lt;S127),"Revisar","Completa")))</x:f>
      </x:c>
      <x:c r="AR127" s="87" t="str">
        <x:f>IF(OR(V127="",W127="",Y127=""),"",Y127-(V127-W127))</x:f>
      </x:c>
      <x:c r="AS127" s="63" t="str">
        <x:f>IF(A127="","",IF(AND(E127&lt;&gt;"",F127&lt;&gt;"",G127&lt;&gt;"",Z127&lt;&gt;"",AA127&lt;&gt;"",AB127&lt;&gt;"",AC127&lt;&gt;""),"Completa","Incompleta"))</x:f>
      </x:c>
      <x:c r="AT127" s="63" t="str">
        <x:f>IF(A127="","",IF(COUNTIF($A$11:$A$410,A127)&gt;1,"ID duplicado",IF(AND(AR127&lt;&gt;"",ABS(AR127)&gt;0.01),"Revisar balanço",IF(AND(W127&lt;&gt;"",V127&lt;&gt;"",W127&gt;V127),"Retirada &gt; estoque",IF(AND(U127&lt;&gt;"",U127&lt;'Cenário Base'!$D$8*'Cenário Base'!$D$74),"E0 abaixo do gatilho",IF(AND(V127&lt;&gt;"",V127&gt;XLOOKUP(B127,$A$414:$A$418,$B$414:$B$418)),"Excedeu capacidade","Sem alerta"))))))</x:f>
      </x:c>
    </x:row>
    <x:row r="128">
      <x:c r="A128" s="43"/>
      <x:c r="B128" s="43"/>
      <x:c r="C128" s="43"/>
      <x:c r="D128" s="43"/>
      <x:c r="E128" s="43"/>
      <x:c r="F128" s="43"/>
      <x:c r="G128" s="43"/>
      <x:c r="H128" s="120"/>
      <x:c r="I128" s="120"/>
      <x:c r="J128" s="120"/>
      <x:c r="K128" s="120"/>
      <x:c r="L128" s="120"/>
      <x:c r="M128" s="120"/>
      <x:c r="N128" s="120"/>
      <x:c r="O128" s="120"/>
      <x:c r="P128" s="120"/>
      <x:c r="Q128" s="120"/>
      <x:c r="R128" s="120"/>
      <x:c r="S128" s="120"/>
      <x:c r="T128" s="120"/>
      <x:c r="U128" s="48"/>
      <x:c r="V128" s="48"/>
      <x:c r="W128" s="48"/>
      <x:c r="X128" s="48"/>
      <x:c r="Y128" s="48"/>
      <x:c r="Z128" s="49"/>
      <x:c r="AA128" s="43"/>
      <x:c r="AB128" s="43"/>
      <x:c r="AC128" s="43"/>
      <x:c r="AD128" s="43"/>
      <x:c r="AE128" s="43"/>
      <x:c r="AF128" s="87" t="str">
        <x:f>IF(OR(H128="",I128="",I128&lt;H128),"",(I128-H128)*1440)</x:f>
      </x:c>
      <x:c r="AG128" s="87" t="str">
        <x:f>IF(OR(I128="",M128="",M128&lt;I128),"",(M128-I128)*1440)</x:f>
      </x:c>
      <x:c r="AH128" s="87" t="str">
        <x:f>IF(OR(M128="",N128="",N128&lt;M128),"",(N128-M128)*1440)</x:f>
      </x:c>
      <x:c r="AI128" s="87" t="str">
        <x:f>IF(OR(H128="",N128="",N128&lt;H128),"",(N128-H128)*1440)</x:f>
      </x:c>
      <x:c r="AJ128" s="87" t="str">
        <x:f>IF(OR(I128="",N128="",N128&lt;I128),"",(N128-I128)*1440)</x:f>
      </x:c>
      <x:c r="AK128" s="87" t="str">
        <x:f>IF(OR(N128="",O128="",O128&lt;N128),"",(O128-N128)*1440)</x:f>
      </x:c>
      <x:c r="AL128" s="87" t="str">
        <x:f>IF(OR(O128="",P128="",P128&lt;O128),"",(P128-O128)*1440)</x:f>
      </x:c>
      <x:c r="AM128" s="87" t="str">
        <x:f>IF(OR(Q128="",R128="",R128&lt;Q128),"",(R128-Q128)*1440)</x:f>
      </x:c>
      <x:c r="AN128" s="87" t="str">
        <x:f>IF(OR(S128="",T128="",T128&lt;S128),"",(T128-S128)*1440)</x:f>
      </x:c>
      <x:c r="AO128" s="87" t="str">
        <x:f>IF(OR(U128="",V128=""),"",V128-U128)</x:f>
      </x:c>
      <x:c r="AP128" s="63" t="str">
        <x:f>IF(A128="","",IF(OR(B128="",H128="",N128=""),"Incompleto",IF(N128&lt;H128,"Revisar",IF(OR(G128="",G128="Não observado"),"Qualidade E0 ausente",IF(OR(G128="Sensor",G128="Marcação física"),"Válido — E0 observado",IF(G128="Cálculo","Válido — E0 calculado","Válido — E0 estimado"))))))</x:f>
      </x:c>
      <x:c r="AQ128" s="63" t="str">
        <x:f>IF(A128="","",IF(COUNTA(H128:T128)&lt;13,"Incompleta",IF(OR(I128&lt;H128,J128&lt;I128,K128&lt;J128,L128&lt;K128,M128&lt;L128,N128&lt;M128,O128&lt;N128,P128&lt;O128,Q128&lt;P128,R128&lt;Q128,S128&lt;R128,T128&lt;S128),"Revisar","Completa")))</x:f>
      </x:c>
      <x:c r="AR128" s="87" t="str">
        <x:f>IF(OR(V128="",W128="",Y128=""),"",Y128-(V128-W128))</x:f>
      </x:c>
      <x:c r="AS128" s="63" t="str">
        <x:f>IF(A128="","",IF(AND(E128&lt;&gt;"",F128&lt;&gt;"",G128&lt;&gt;"",Z128&lt;&gt;"",AA128&lt;&gt;"",AB128&lt;&gt;"",AC128&lt;&gt;""),"Completa","Incompleta"))</x:f>
      </x:c>
      <x:c r="AT128" s="63" t="str">
        <x:f>IF(A128="","",IF(COUNTIF($A$11:$A$410,A128)&gt;1,"ID duplicado",IF(AND(AR128&lt;&gt;"",ABS(AR128)&gt;0.01),"Revisar balanço",IF(AND(W128&lt;&gt;"",V128&lt;&gt;"",W128&gt;V128),"Retirada &gt; estoque",IF(AND(U128&lt;&gt;"",U128&lt;'Cenário Base'!$D$8*'Cenário Base'!$D$74),"E0 abaixo do gatilho",IF(AND(V128&lt;&gt;"",V128&gt;XLOOKUP(B128,$A$414:$A$418,$B$414:$B$418)),"Excedeu capacidade","Sem alerta"))))))</x:f>
      </x:c>
    </x:row>
    <x:row r="129">
      <x:c r="A129" s="43"/>
      <x:c r="B129" s="43"/>
      <x:c r="C129" s="43"/>
      <x:c r="D129" s="43"/>
      <x:c r="E129" s="43"/>
      <x:c r="F129" s="43"/>
      <x:c r="G129" s="43"/>
      <x:c r="H129" s="120"/>
      <x:c r="I129" s="120"/>
      <x:c r="J129" s="120"/>
      <x:c r="K129" s="120"/>
      <x:c r="L129" s="120"/>
      <x:c r="M129" s="120"/>
      <x:c r="N129" s="120"/>
      <x:c r="O129" s="120"/>
      <x:c r="P129" s="120"/>
      <x:c r="Q129" s="120"/>
      <x:c r="R129" s="120"/>
      <x:c r="S129" s="120"/>
      <x:c r="T129" s="120"/>
      <x:c r="U129" s="48"/>
      <x:c r="V129" s="48"/>
      <x:c r="W129" s="48"/>
      <x:c r="X129" s="48"/>
      <x:c r="Y129" s="48"/>
      <x:c r="Z129" s="49"/>
      <x:c r="AA129" s="43"/>
      <x:c r="AB129" s="43"/>
      <x:c r="AC129" s="43"/>
      <x:c r="AD129" s="43"/>
      <x:c r="AE129" s="43"/>
      <x:c r="AF129" s="87" t="str">
        <x:f>IF(OR(H129="",I129="",I129&lt;H129),"",(I129-H129)*1440)</x:f>
      </x:c>
      <x:c r="AG129" s="87" t="str">
        <x:f>IF(OR(I129="",M129="",M129&lt;I129),"",(M129-I129)*1440)</x:f>
      </x:c>
      <x:c r="AH129" s="87" t="str">
        <x:f>IF(OR(M129="",N129="",N129&lt;M129),"",(N129-M129)*1440)</x:f>
      </x:c>
      <x:c r="AI129" s="87" t="str">
        <x:f>IF(OR(H129="",N129="",N129&lt;H129),"",(N129-H129)*1440)</x:f>
      </x:c>
      <x:c r="AJ129" s="87" t="str">
        <x:f>IF(OR(I129="",N129="",N129&lt;I129),"",(N129-I129)*1440)</x:f>
      </x:c>
      <x:c r="AK129" s="87" t="str">
        <x:f>IF(OR(N129="",O129="",O129&lt;N129),"",(O129-N129)*1440)</x:f>
      </x:c>
      <x:c r="AL129" s="87" t="str">
        <x:f>IF(OR(O129="",P129="",P129&lt;O129),"",(P129-O129)*1440)</x:f>
      </x:c>
      <x:c r="AM129" s="87" t="str">
        <x:f>IF(OR(Q129="",R129="",R129&lt;Q129),"",(R129-Q129)*1440)</x:f>
      </x:c>
      <x:c r="AN129" s="87" t="str">
        <x:f>IF(OR(S129="",T129="",T129&lt;S129),"",(T129-S129)*1440)</x:f>
      </x:c>
      <x:c r="AO129" s="87" t="str">
        <x:f>IF(OR(U129="",V129=""),"",V129-U129)</x:f>
      </x:c>
      <x:c r="AP129" s="63" t="str">
        <x:f>IF(A129="","",IF(OR(B129="",H129="",N129=""),"Incompleto",IF(N129&lt;H129,"Revisar",IF(OR(G129="",G129="Não observado"),"Qualidade E0 ausente",IF(OR(G129="Sensor",G129="Marcação física"),"Válido — E0 observado",IF(G129="Cálculo","Válido — E0 calculado","Válido — E0 estimado"))))))</x:f>
      </x:c>
      <x:c r="AQ129" s="63" t="str">
        <x:f>IF(A129="","",IF(COUNTA(H129:T129)&lt;13,"Incompleta",IF(OR(I129&lt;H129,J129&lt;I129,K129&lt;J129,L129&lt;K129,M129&lt;L129,N129&lt;M129,O129&lt;N129,P129&lt;O129,Q129&lt;P129,R129&lt;Q129,S129&lt;R129,T129&lt;S129),"Revisar","Completa")))</x:f>
      </x:c>
      <x:c r="AR129" s="87" t="str">
        <x:f>IF(OR(V129="",W129="",Y129=""),"",Y129-(V129-W129))</x:f>
      </x:c>
      <x:c r="AS129" s="63" t="str">
        <x:f>IF(A129="","",IF(AND(E129&lt;&gt;"",F129&lt;&gt;"",G129&lt;&gt;"",Z129&lt;&gt;"",AA129&lt;&gt;"",AB129&lt;&gt;"",AC129&lt;&gt;""),"Completa","Incompleta"))</x:f>
      </x:c>
      <x:c r="AT129" s="63" t="str">
        <x:f>IF(A129="","",IF(COUNTIF($A$11:$A$410,A129)&gt;1,"ID duplicado",IF(AND(AR129&lt;&gt;"",ABS(AR129)&gt;0.01),"Revisar balanço",IF(AND(W129&lt;&gt;"",V129&lt;&gt;"",W129&gt;V129),"Retirada &gt; estoque",IF(AND(U129&lt;&gt;"",U129&lt;'Cenário Base'!$D$8*'Cenário Base'!$D$74),"E0 abaixo do gatilho",IF(AND(V129&lt;&gt;"",V129&gt;XLOOKUP(B129,$A$414:$A$418,$B$414:$B$418)),"Excedeu capacidade","Sem alerta"))))))</x:f>
      </x:c>
    </x:row>
    <x:row r="130">
      <x:c r="A130" s="43"/>
      <x:c r="B130" s="43"/>
      <x:c r="C130" s="43"/>
      <x:c r="D130" s="43"/>
      <x:c r="E130" s="43"/>
      <x:c r="F130" s="43"/>
      <x:c r="G130" s="43"/>
      <x:c r="H130" s="120"/>
      <x:c r="I130" s="120"/>
      <x:c r="J130" s="120"/>
      <x:c r="K130" s="120"/>
      <x:c r="L130" s="120"/>
      <x:c r="M130" s="120"/>
      <x:c r="N130" s="120"/>
      <x:c r="O130" s="120"/>
      <x:c r="P130" s="120"/>
      <x:c r="Q130" s="120"/>
      <x:c r="R130" s="120"/>
      <x:c r="S130" s="120"/>
      <x:c r="T130" s="120"/>
      <x:c r="U130" s="48"/>
      <x:c r="V130" s="48"/>
      <x:c r="W130" s="48"/>
      <x:c r="X130" s="48"/>
      <x:c r="Y130" s="48"/>
      <x:c r="Z130" s="49"/>
      <x:c r="AA130" s="43"/>
      <x:c r="AB130" s="43"/>
      <x:c r="AC130" s="43"/>
      <x:c r="AD130" s="43"/>
      <x:c r="AE130" s="43"/>
      <x:c r="AF130" s="87" t="str">
        <x:f>IF(OR(H130="",I130="",I130&lt;H130),"",(I130-H130)*1440)</x:f>
      </x:c>
      <x:c r="AG130" s="87" t="str">
        <x:f>IF(OR(I130="",M130="",M130&lt;I130),"",(M130-I130)*1440)</x:f>
      </x:c>
      <x:c r="AH130" s="87" t="str">
        <x:f>IF(OR(M130="",N130="",N130&lt;M130),"",(N130-M130)*1440)</x:f>
      </x:c>
      <x:c r="AI130" s="87" t="str">
        <x:f>IF(OR(H130="",N130="",N130&lt;H130),"",(N130-H130)*1440)</x:f>
      </x:c>
      <x:c r="AJ130" s="87" t="str">
        <x:f>IF(OR(I130="",N130="",N130&lt;I130),"",(N130-I130)*1440)</x:f>
      </x:c>
      <x:c r="AK130" s="87" t="str">
        <x:f>IF(OR(N130="",O130="",O130&lt;N130),"",(O130-N130)*1440)</x:f>
      </x:c>
      <x:c r="AL130" s="87" t="str">
        <x:f>IF(OR(O130="",P130="",P130&lt;O130),"",(P130-O130)*1440)</x:f>
      </x:c>
      <x:c r="AM130" s="87" t="str">
        <x:f>IF(OR(Q130="",R130="",R130&lt;Q130),"",(R130-Q130)*1440)</x:f>
      </x:c>
      <x:c r="AN130" s="87" t="str">
        <x:f>IF(OR(S130="",T130="",T130&lt;S130),"",(T130-S130)*1440)</x:f>
      </x:c>
      <x:c r="AO130" s="87" t="str">
        <x:f>IF(OR(U130="",V130=""),"",V130-U130)</x:f>
      </x:c>
      <x:c r="AP130" s="63" t="str">
        <x:f>IF(A130="","",IF(OR(B130="",H130="",N130=""),"Incompleto",IF(N130&lt;H130,"Revisar",IF(OR(G130="",G130="Não observado"),"Qualidade E0 ausente",IF(OR(G130="Sensor",G130="Marcação física"),"Válido — E0 observado",IF(G130="Cálculo","Válido — E0 calculado","Válido — E0 estimado"))))))</x:f>
      </x:c>
      <x:c r="AQ130" s="63" t="str">
        <x:f>IF(A130="","",IF(COUNTA(H130:T130)&lt;13,"Incompleta",IF(OR(I130&lt;H130,J130&lt;I130,K130&lt;J130,L130&lt;K130,M130&lt;L130,N130&lt;M130,O130&lt;N130,P130&lt;O130,Q130&lt;P130,R130&lt;Q130,S130&lt;R130,T130&lt;S130),"Revisar","Completa")))</x:f>
      </x:c>
      <x:c r="AR130" s="87" t="str">
        <x:f>IF(OR(V130="",W130="",Y130=""),"",Y130-(V130-W130))</x:f>
      </x:c>
      <x:c r="AS130" s="63" t="str">
        <x:f>IF(A130="","",IF(AND(E130&lt;&gt;"",F130&lt;&gt;"",G130&lt;&gt;"",Z130&lt;&gt;"",AA130&lt;&gt;"",AB130&lt;&gt;"",AC130&lt;&gt;""),"Completa","Incompleta"))</x:f>
      </x:c>
      <x:c r="AT130" s="63" t="str">
        <x:f>IF(A130="","",IF(COUNTIF($A$11:$A$410,A130)&gt;1,"ID duplicado",IF(AND(AR130&lt;&gt;"",ABS(AR130)&gt;0.01),"Revisar balanço",IF(AND(W130&lt;&gt;"",V130&lt;&gt;"",W130&gt;V130),"Retirada &gt; estoque",IF(AND(U130&lt;&gt;"",U130&lt;'Cenário Base'!$D$8*'Cenário Base'!$D$74),"E0 abaixo do gatilho",IF(AND(V130&lt;&gt;"",V130&gt;XLOOKUP(B130,$A$414:$A$418,$B$414:$B$418)),"Excedeu capacidade","Sem alerta"))))))</x:f>
      </x:c>
    </x:row>
    <x:row r="131">
      <x:c r="A131" s="43"/>
      <x:c r="B131" s="43"/>
      <x:c r="C131" s="43"/>
      <x:c r="D131" s="43"/>
      <x:c r="E131" s="43"/>
      <x:c r="F131" s="43"/>
      <x:c r="G131" s="43"/>
      <x:c r="H131" s="120"/>
      <x:c r="I131" s="120"/>
      <x:c r="J131" s="120"/>
      <x:c r="K131" s="120"/>
      <x:c r="L131" s="120"/>
      <x:c r="M131" s="120"/>
      <x:c r="N131" s="120"/>
      <x:c r="O131" s="120"/>
      <x:c r="P131" s="120"/>
      <x:c r="Q131" s="120"/>
      <x:c r="R131" s="120"/>
      <x:c r="S131" s="120"/>
      <x:c r="T131" s="120"/>
      <x:c r="U131" s="48"/>
      <x:c r="V131" s="48"/>
      <x:c r="W131" s="48"/>
      <x:c r="X131" s="48"/>
      <x:c r="Y131" s="48"/>
      <x:c r="Z131" s="49"/>
      <x:c r="AA131" s="43"/>
      <x:c r="AB131" s="43"/>
      <x:c r="AC131" s="43"/>
      <x:c r="AD131" s="43"/>
      <x:c r="AE131" s="43"/>
      <x:c r="AF131" s="87" t="str">
        <x:f>IF(OR(H131="",I131="",I131&lt;H131),"",(I131-H131)*1440)</x:f>
      </x:c>
      <x:c r="AG131" s="87" t="str">
        <x:f>IF(OR(I131="",M131="",M131&lt;I131),"",(M131-I131)*1440)</x:f>
      </x:c>
      <x:c r="AH131" s="87" t="str">
        <x:f>IF(OR(M131="",N131="",N131&lt;M131),"",(N131-M131)*1440)</x:f>
      </x:c>
      <x:c r="AI131" s="87" t="str">
        <x:f>IF(OR(H131="",N131="",N131&lt;H131),"",(N131-H131)*1440)</x:f>
      </x:c>
      <x:c r="AJ131" s="87" t="str">
        <x:f>IF(OR(I131="",N131="",N131&lt;I131),"",(N131-I131)*1440)</x:f>
      </x:c>
      <x:c r="AK131" s="87" t="str">
        <x:f>IF(OR(N131="",O131="",O131&lt;N131),"",(O131-N131)*1440)</x:f>
      </x:c>
      <x:c r="AL131" s="87" t="str">
        <x:f>IF(OR(O131="",P131="",P131&lt;O131),"",(P131-O131)*1440)</x:f>
      </x:c>
      <x:c r="AM131" s="87" t="str">
        <x:f>IF(OR(Q131="",R131="",R131&lt;Q131),"",(R131-Q131)*1440)</x:f>
      </x:c>
      <x:c r="AN131" s="87" t="str">
        <x:f>IF(OR(S131="",T131="",T131&lt;S131),"",(T131-S131)*1440)</x:f>
      </x:c>
      <x:c r="AO131" s="87" t="str">
        <x:f>IF(OR(U131="",V131=""),"",V131-U131)</x:f>
      </x:c>
      <x:c r="AP131" s="63" t="str">
        <x:f>IF(A131="","",IF(OR(B131="",H131="",N131=""),"Incompleto",IF(N131&lt;H131,"Revisar",IF(OR(G131="",G131="Não observado"),"Qualidade E0 ausente",IF(OR(G131="Sensor",G131="Marcação física"),"Válido — E0 observado",IF(G131="Cálculo","Válido — E0 calculado","Válido — E0 estimado"))))))</x:f>
      </x:c>
      <x:c r="AQ131" s="63" t="str">
        <x:f>IF(A131="","",IF(COUNTA(H131:T131)&lt;13,"Incompleta",IF(OR(I131&lt;H131,J131&lt;I131,K131&lt;J131,L131&lt;K131,M131&lt;L131,N131&lt;M131,O131&lt;N131,P131&lt;O131,Q131&lt;P131,R131&lt;Q131,S131&lt;R131,T131&lt;S131),"Revisar","Completa")))</x:f>
      </x:c>
      <x:c r="AR131" s="87" t="str">
        <x:f>IF(OR(V131="",W131="",Y131=""),"",Y131-(V131-W131))</x:f>
      </x:c>
      <x:c r="AS131" s="63" t="str">
        <x:f>IF(A131="","",IF(AND(E131&lt;&gt;"",F131&lt;&gt;"",G131&lt;&gt;"",Z131&lt;&gt;"",AA131&lt;&gt;"",AB131&lt;&gt;"",AC131&lt;&gt;""),"Completa","Incompleta"))</x:f>
      </x:c>
      <x:c r="AT131" s="63" t="str">
        <x:f>IF(A131="","",IF(COUNTIF($A$11:$A$410,A131)&gt;1,"ID duplicado",IF(AND(AR131&lt;&gt;"",ABS(AR131)&gt;0.01),"Revisar balanço",IF(AND(W131&lt;&gt;"",V131&lt;&gt;"",W131&gt;V131),"Retirada &gt; estoque",IF(AND(U131&lt;&gt;"",U131&lt;'Cenário Base'!$D$8*'Cenário Base'!$D$74),"E0 abaixo do gatilho",IF(AND(V131&lt;&gt;"",V131&gt;XLOOKUP(B131,$A$414:$A$418,$B$414:$B$418)),"Excedeu capacidade","Sem alerta"))))))</x:f>
      </x:c>
    </x:row>
    <x:row r="132">
      <x:c r="A132" s="43"/>
      <x:c r="B132" s="43"/>
      <x:c r="C132" s="43"/>
      <x:c r="D132" s="43"/>
      <x:c r="E132" s="43"/>
      <x:c r="F132" s="43"/>
      <x:c r="G132" s="43"/>
      <x:c r="H132" s="120"/>
      <x:c r="I132" s="120"/>
      <x:c r="J132" s="120"/>
      <x:c r="K132" s="120"/>
      <x:c r="L132" s="120"/>
      <x:c r="M132" s="120"/>
      <x:c r="N132" s="120"/>
      <x:c r="O132" s="120"/>
      <x:c r="P132" s="120"/>
      <x:c r="Q132" s="120"/>
      <x:c r="R132" s="120"/>
      <x:c r="S132" s="120"/>
      <x:c r="T132" s="120"/>
      <x:c r="U132" s="48"/>
      <x:c r="V132" s="48"/>
      <x:c r="W132" s="48"/>
      <x:c r="X132" s="48"/>
      <x:c r="Y132" s="48"/>
      <x:c r="Z132" s="49"/>
      <x:c r="AA132" s="43"/>
      <x:c r="AB132" s="43"/>
      <x:c r="AC132" s="43"/>
      <x:c r="AD132" s="43"/>
      <x:c r="AE132" s="43"/>
      <x:c r="AF132" s="87" t="str">
        <x:f>IF(OR(H132="",I132="",I132&lt;H132),"",(I132-H132)*1440)</x:f>
      </x:c>
      <x:c r="AG132" s="87" t="str">
        <x:f>IF(OR(I132="",M132="",M132&lt;I132),"",(M132-I132)*1440)</x:f>
      </x:c>
      <x:c r="AH132" s="87" t="str">
        <x:f>IF(OR(M132="",N132="",N132&lt;M132),"",(N132-M132)*1440)</x:f>
      </x:c>
      <x:c r="AI132" s="87" t="str">
        <x:f>IF(OR(H132="",N132="",N132&lt;H132),"",(N132-H132)*1440)</x:f>
      </x:c>
      <x:c r="AJ132" s="87" t="str">
        <x:f>IF(OR(I132="",N132="",N132&lt;I132),"",(N132-I132)*1440)</x:f>
      </x:c>
      <x:c r="AK132" s="87" t="str">
        <x:f>IF(OR(N132="",O132="",O132&lt;N132),"",(O132-N132)*1440)</x:f>
      </x:c>
      <x:c r="AL132" s="87" t="str">
        <x:f>IF(OR(O132="",P132="",P132&lt;O132),"",(P132-O132)*1440)</x:f>
      </x:c>
      <x:c r="AM132" s="87" t="str">
        <x:f>IF(OR(Q132="",R132="",R132&lt;Q132),"",(R132-Q132)*1440)</x:f>
      </x:c>
      <x:c r="AN132" s="87" t="str">
        <x:f>IF(OR(S132="",T132="",T132&lt;S132),"",(T132-S132)*1440)</x:f>
      </x:c>
      <x:c r="AO132" s="87" t="str">
        <x:f>IF(OR(U132="",V132=""),"",V132-U132)</x:f>
      </x:c>
      <x:c r="AP132" s="63" t="str">
        <x:f>IF(A132="","",IF(OR(B132="",H132="",N132=""),"Incompleto",IF(N132&lt;H132,"Revisar",IF(OR(G132="",G132="Não observado"),"Qualidade E0 ausente",IF(OR(G132="Sensor",G132="Marcação física"),"Válido — E0 observado",IF(G132="Cálculo","Válido — E0 calculado","Válido — E0 estimado"))))))</x:f>
      </x:c>
      <x:c r="AQ132" s="63" t="str">
        <x:f>IF(A132="","",IF(COUNTA(H132:T132)&lt;13,"Incompleta",IF(OR(I132&lt;H132,J132&lt;I132,K132&lt;J132,L132&lt;K132,M132&lt;L132,N132&lt;M132,O132&lt;N132,P132&lt;O132,Q132&lt;P132,R132&lt;Q132,S132&lt;R132,T132&lt;S132),"Revisar","Completa")))</x:f>
      </x:c>
      <x:c r="AR132" s="87" t="str">
        <x:f>IF(OR(V132="",W132="",Y132=""),"",Y132-(V132-W132))</x:f>
      </x:c>
      <x:c r="AS132" s="63" t="str">
        <x:f>IF(A132="","",IF(AND(E132&lt;&gt;"",F132&lt;&gt;"",G132&lt;&gt;"",Z132&lt;&gt;"",AA132&lt;&gt;"",AB132&lt;&gt;"",AC132&lt;&gt;""),"Completa","Incompleta"))</x:f>
      </x:c>
      <x:c r="AT132" s="63" t="str">
        <x:f>IF(A132="","",IF(COUNTIF($A$11:$A$410,A132)&gt;1,"ID duplicado",IF(AND(AR132&lt;&gt;"",ABS(AR132)&gt;0.01),"Revisar balanço",IF(AND(W132&lt;&gt;"",V132&lt;&gt;"",W132&gt;V132),"Retirada &gt; estoque",IF(AND(U132&lt;&gt;"",U132&lt;'Cenário Base'!$D$8*'Cenário Base'!$D$74),"E0 abaixo do gatilho",IF(AND(V132&lt;&gt;"",V132&gt;XLOOKUP(B132,$A$414:$A$418,$B$414:$B$418)),"Excedeu capacidade","Sem alerta"))))))</x:f>
      </x:c>
    </x:row>
    <x:row r="133">
      <x:c r="A133" s="43"/>
      <x:c r="B133" s="43"/>
      <x:c r="C133" s="43"/>
      <x:c r="D133" s="43"/>
      <x:c r="E133" s="43"/>
      <x:c r="F133" s="43"/>
      <x:c r="G133" s="43"/>
      <x:c r="H133" s="120"/>
      <x:c r="I133" s="120"/>
      <x:c r="J133" s="120"/>
      <x:c r="K133" s="120"/>
      <x:c r="L133" s="120"/>
      <x:c r="M133" s="120"/>
      <x:c r="N133" s="120"/>
      <x:c r="O133" s="120"/>
      <x:c r="P133" s="120"/>
      <x:c r="Q133" s="120"/>
      <x:c r="R133" s="120"/>
      <x:c r="S133" s="120"/>
      <x:c r="T133" s="120"/>
      <x:c r="U133" s="48"/>
      <x:c r="V133" s="48"/>
      <x:c r="W133" s="48"/>
      <x:c r="X133" s="48"/>
      <x:c r="Y133" s="48"/>
      <x:c r="Z133" s="49"/>
      <x:c r="AA133" s="43"/>
      <x:c r="AB133" s="43"/>
      <x:c r="AC133" s="43"/>
      <x:c r="AD133" s="43"/>
      <x:c r="AE133" s="43"/>
      <x:c r="AF133" s="87" t="str">
        <x:f>IF(OR(H133="",I133="",I133&lt;H133),"",(I133-H133)*1440)</x:f>
      </x:c>
      <x:c r="AG133" s="87" t="str">
        <x:f>IF(OR(I133="",M133="",M133&lt;I133),"",(M133-I133)*1440)</x:f>
      </x:c>
      <x:c r="AH133" s="87" t="str">
        <x:f>IF(OR(M133="",N133="",N133&lt;M133),"",(N133-M133)*1440)</x:f>
      </x:c>
      <x:c r="AI133" s="87" t="str">
        <x:f>IF(OR(H133="",N133="",N133&lt;H133),"",(N133-H133)*1440)</x:f>
      </x:c>
      <x:c r="AJ133" s="87" t="str">
        <x:f>IF(OR(I133="",N133="",N133&lt;I133),"",(N133-I133)*1440)</x:f>
      </x:c>
      <x:c r="AK133" s="87" t="str">
        <x:f>IF(OR(N133="",O133="",O133&lt;N133),"",(O133-N133)*1440)</x:f>
      </x:c>
      <x:c r="AL133" s="87" t="str">
        <x:f>IF(OR(O133="",P133="",P133&lt;O133),"",(P133-O133)*1440)</x:f>
      </x:c>
      <x:c r="AM133" s="87" t="str">
        <x:f>IF(OR(Q133="",R133="",R133&lt;Q133),"",(R133-Q133)*1440)</x:f>
      </x:c>
      <x:c r="AN133" s="87" t="str">
        <x:f>IF(OR(S133="",T133="",T133&lt;S133),"",(T133-S133)*1440)</x:f>
      </x:c>
      <x:c r="AO133" s="87" t="str">
        <x:f>IF(OR(U133="",V133=""),"",V133-U133)</x:f>
      </x:c>
      <x:c r="AP133" s="63" t="str">
        <x:f>IF(A133="","",IF(OR(B133="",H133="",N133=""),"Incompleto",IF(N133&lt;H133,"Revisar",IF(OR(G133="",G133="Não observado"),"Qualidade E0 ausente",IF(OR(G133="Sensor",G133="Marcação física"),"Válido — E0 observado",IF(G133="Cálculo","Válido — E0 calculado","Válido — E0 estimado"))))))</x:f>
      </x:c>
      <x:c r="AQ133" s="63" t="str">
        <x:f>IF(A133="","",IF(COUNTA(H133:T133)&lt;13,"Incompleta",IF(OR(I133&lt;H133,J133&lt;I133,K133&lt;J133,L133&lt;K133,M133&lt;L133,N133&lt;M133,O133&lt;N133,P133&lt;O133,Q133&lt;P133,R133&lt;Q133,S133&lt;R133,T133&lt;S133),"Revisar","Completa")))</x:f>
      </x:c>
      <x:c r="AR133" s="87" t="str">
        <x:f>IF(OR(V133="",W133="",Y133=""),"",Y133-(V133-W133))</x:f>
      </x:c>
      <x:c r="AS133" s="63" t="str">
        <x:f>IF(A133="","",IF(AND(E133&lt;&gt;"",F133&lt;&gt;"",G133&lt;&gt;"",Z133&lt;&gt;"",AA133&lt;&gt;"",AB133&lt;&gt;"",AC133&lt;&gt;""),"Completa","Incompleta"))</x:f>
      </x:c>
      <x:c r="AT133" s="63" t="str">
        <x:f>IF(A133="","",IF(COUNTIF($A$11:$A$410,A133)&gt;1,"ID duplicado",IF(AND(AR133&lt;&gt;"",ABS(AR133)&gt;0.01),"Revisar balanço",IF(AND(W133&lt;&gt;"",V133&lt;&gt;"",W133&gt;V133),"Retirada &gt; estoque",IF(AND(U133&lt;&gt;"",U133&lt;'Cenário Base'!$D$8*'Cenário Base'!$D$74),"E0 abaixo do gatilho",IF(AND(V133&lt;&gt;"",V133&gt;XLOOKUP(B133,$A$414:$A$418,$B$414:$B$418)),"Excedeu capacidade","Sem alerta"))))))</x:f>
      </x:c>
    </x:row>
    <x:row r="134">
      <x:c r="A134" s="43"/>
      <x:c r="B134" s="43"/>
      <x:c r="C134" s="43"/>
      <x:c r="D134" s="43"/>
      <x:c r="E134" s="43"/>
      <x:c r="F134" s="43"/>
      <x:c r="G134" s="43"/>
      <x:c r="H134" s="120"/>
      <x:c r="I134" s="120"/>
      <x:c r="J134" s="120"/>
      <x:c r="K134" s="120"/>
      <x:c r="L134" s="120"/>
      <x:c r="M134" s="120"/>
      <x:c r="N134" s="120"/>
      <x:c r="O134" s="120"/>
      <x:c r="P134" s="120"/>
      <x:c r="Q134" s="120"/>
      <x:c r="R134" s="120"/>
      <x:c r="S134" s="120"/>
      <x:c r="T134" s="120"/>
      <x:c r="U134" s="48"/>
      <x:c r="V134" s="48"/>
      <x:c r="W134" s="48"/>
      <x:c r="X134" s="48"/>
      <x:c r="Y134" s="48"/>
      <x:c r="Z134" s="49"/>
      <x:c r="AA134" s="43"/>
      <x:c r="AB134" s="43"/>
      <x:c r="AC134" s="43"/>
      <x:c r="AD134" s="43"/>
      <x:c r="AE134" s="43"/>
      <x:c r="AF134" s="87" t="str">
        <x:f>IF(OR(H134="",I134="",I134&lt;H134),"",(I134-H134)*1440)</x:f>
      </x:c>
      <x:c r="AG134" s="87" t="str">
        <x:f>IF(OR(I134="",M134="",M134&lt;I134),"",(M134-I134)*1440)</x:f>
      </x:c>
      <x:c r="AH134" s="87" t="str">
        <x:f>IF(OR(M134="",N134="",N134&lt;M134),"",(N134-M134)*1440)</x:f>
      </x:c>
      <x:c r="AI134" s="87" t="str">
        <x:f>IF(OR(H134="",N134="",N134&lt;H134),"",(N134-H134)*1440)</x:f>
      </x:c>
      <x:c r="AJ134" s="87" t="str">
        <x:f>IF(OR(I134="",N134="",N134&lt;I134),"",(N134-I134)*1440)</x:f>
      </x:c>
      <x:c r="AK134" s="87" t="str">
        <x:f>IF(OR(N134="",O134="",O134&lt;N134),"",(O134-N134)*1440)</x:f>
      </x:c>
      <x:c r="AL134" s="87" t="str">
        <x:f>IF(OR(O134="",P134="",P134&lt;O134),"",(P134-O134)*1440)</x:f>
      </x:c>
      <x:c r="AM134" s="87" t="str">
        <x:f>IF(OR(Q134="",R134="",R134&lt;Q134),"",(R134-Q134)*1440)</x:f>
      </x:c>
      <x:c r="AN134" s="87" t="str">
        <x:f>IF(OR(S134="",T134="",T134&lt;S134),"",(T134-S134)*1440)</x:f>
      </x:c>
      <x:c r="AO134" s="87" t="str">
        <x:f>IF(OR(U134="",V134=""),"",V134-U134)</x:f>
      </x:c>
      <x:c r="AP134" s="63" t="str">
        <x:f>IF(A134="","",IF(OR(B134="",H134="",N134=""),"Incompleto",IF(N134&lt;H134,"Revisar",IF(OR(G134="",G134="Não observado"),"Qualidade E0 ausente",IF(OR(G134="Sensor",G134="Marcação física"),"Válido — E0 observado",IF(G134="Cálculo","Válido — E0 calculado","Válido — E0 estimado"))))))</x:f>
      </x:c>
      <x:c r="AQ134" s="63" t="str">
        <x:f>IF(A134="","",IF(COUNTA(H134:T134)&lt;13,"Incompleta",IF(OR(I134&lt;H134,J134&lt;I134,K134&lt;J134,L134&lt;K134,M134&lt;L134,N134&lt;M134,O134&lt;N134,P134&lt;O134,Q134&lt;P134,R134&lt;Q134,S134&lt;R134,T134&lt;S134),"Revisar","Completa")))</x:f>
      </x:c>
      <x:c r="AR134" s="87" t="str">
        <x:f>IF(OR(V134="",W134="",Y134=""),"",Y134-(V134-W134))</x:f>
      </x:c>
      <x:c r="AS134" s="63" t="str">
        <x:f>IF(A134="","",IF(AND(E134&lt;&gt;"",F134&lt;&gt;"",G134&lt;&gt;"",Z134&lt;&gt;"",AA134&lt;&gt;"",AB134&lt;&gt;"",AC134&lt;&gt;""),"Completa","Incompleta"))</x:f>
      </x:c>
      <x:c r="AT134" s="63" t="str">
        <x:f>IF(A134="","",IF(COUNTIF($A$11:$A$410,A134)&gt;1,"ID duplicado",IF(AND(AR134&lt;&gt;"",ABS(AR134)&gt;0.01),"Revisar balanço",IF(AND(W134&lt;&gt;"",V134&lt;&gt;"",W134&gt;V134),"Retirada &gt; estoque",IF(AND(U134&lt;&gt;"",U134&lt;'Cenário Base'!$D$8*'Cenário Base'!$D$74),"E0 abaixo do gatilho",IF(AND(V134&lt;&gt;"",V134&gt;XLOOKUP(B134,$A$414:$A$418,$B$414:$B$418)),"Excedeu capacidade","Sem alerta"))))))</x:f>
      </x:c>
    </x:row>
    <x:row r="135">
      <x:c r="A135" s="43"/>
      <x:c r="B135" s="43"/>
      <x:c r="C135" s="43"/>
      <x:c r="D135" s="43"/>
      <x:c r="E135" s="43"/>
      <x:c r="F135" s="43"/>
      <x:c r="G135" s="43"/>
      <x:c r="H135" s="120"/>
      <x:c r="I135" s="120"/>
      <x:c r="J135" s="120"/>
      <x:c r="K135" s="120"/>
      <x:c r="L135" s="120"/>
      <x:c r="M135" s="120"/>
      <x:c r="N135" s="120"/>
      <x:c r="O135" s="120"/>
      <x:c r="P135" s="120"/>
      <x:c r="Q135" s="120"/>
      <x:c r="R135" s="120"/>
      <x:c r="S135" s="120"/>
      <x:c r="T135" s="120"/>
      <x:c r="U135" s="48"/>
      <x:c r="V135" s="48"/>
      <x:c r="W135" s="48"/>
      <x:c r="X135" s="48"/>
      <x:c r="Y135" s="48"/>
      <x:c r="Z135" s="49"/>
      <x:c r="AA135" s="43"/>
      <x:c r="AB135" s="43"/>
      <x:c r="AC135" s="43"/>
      <x:c r="AD135" s="43"/>
      <x:c r="AE135" s="43"/>
      <x:c r="AF135" s="87" t="str">
        <x:f>IF(OR(H135="",I135="",I135&lt;H135),"",(I135-H135)*1440)</x:f>
      </x:c>
      <x:c r="AG135" s="87" t="str">
        <x:f>IF(OR(I135="",M135="",M135&lt;I135),"",(M135-I135)*1440)</x:f>
      </x:c>
      <x:c r="AH135" s="87" t="str">
        <x:f>IF(OR(M135="",N135="",N135&lt;M135),"",(N135-M135)*1440)</x:f>
      </x:c>
      <x:c r="AI135" s="87" t="str">
        <x:f>IF(OR(H135="",N135="",N135&lt;H135),"",(N135-H135)*1440)</x:f>
      </x:c>
      <x:c r="AJ135" s="87" t="str">
        <x:f>IF(OR(I135="",N135="",N135&lt;I135),"",(N135-I135)*1440)</x:f>
      </x:c>
      <x:c r="AK135" s="87" t="str">
        <x:f>IF(OR(N135="",O135="",O135&lt;N135),"",(O135-N135)*1440)</x:f>
      </x:c>
      <x:c r="AL135" s="87" t="str">
        <x:f>IF(OR(O135="",P135="",P135&lt;O135),"",(P135-O135)*1440)</x:f>
      </x:c>
      <x:c r="AM135" s="87" t="str">
        <x:f>IF(OR(Q135="",R135="",R135&lt;Q135),"",(R135-Q135)*1440)</x:f>
      </x:c>
      <x:c r="AN135" s="87" t="str">
        <x:f>IF(OR(S135="",T135="",T135&lt;S135),"",(T135-S135)*1440)</x:f>
      </x:c>
      <x:c r="AO135" s="87" t="str">
        <x:f>IF(OR(U135="",V135=""),"",V135-U135)</x:f>
      </x:c>
      <x:c r="AP135" s="63" t="str">
        <x:f>IF(A135="","",IF(OR(B135="",H135="",N135=""),"Incompleto",IF(N135&lt;H135,"Revisar",IF(OR(G135="",G135="Não observado"),"Qualidade E0 ausente",IF(OR(G135="Sensor",G135="Marcação física"),"Válido — E0 observado",IF(G135="Cálculo","Válido — E0 calculado","Válido — E0 estimado"))))))</x:f>
      </x:c>
      <x:c r="AQ135" s="63" t="str">
        <x:f>IF(A135="","",IF(COUNTA(H135:T135)&lt;13,"Incompleta",IF(OR(I135&lt;H135,J135&lt;I135,K135&lt;J135,L135&lt;K135,M135&lt;L135,N135&lt;M135,O135&lt;N135,P135&lt;O135,Q135&lt;P135,R135&lt;Q135,S135&lt;R135,T135&lt;S135),"Revisar","Completa")))</x:f>
      </x:c>
      <x:c r="AR135" s="87" t="str">
        <x:f>IF(OR(V135="",W135="",Y135=""),"",Y135-(V135-W135))</x:f>
      </x:c>
      <x:c r="AS135" s="63" t="str">
        <x:f>IF(A135="","",IF(AND(E135&lt;&gt;"",F135&lt;&gt;"",G135&lt;&gt;"",Z135&lt;&gt;"",AA135&lt;&gt;"",AB135&lt;&gt;"",AC135&lt;&gt;""),"Completa","Incompleta"))</x:f>
      </x:c>
      <x:c r="AT135" s="63" t="str">
        <x:f>IF(A135="","",IF(COUNTIF($A$11:$A$410,A135)&gt;1,"ID duplicado",IF(AND(AR135&lt;&gt;"",ABS(AR135)&gt;0.01),"Revisar balanço",IF(AND(W135&lt;&gt;"",V135&lt;&gt;"",W135&gt;V135),"Retirada &gt; estoque",IF(AND(U135&lt;&gt;"",U135&lt;'Cenário Base'!$D$8*'Cenário Base'!$D$74),"E0 abaixo do gatilho",IF(AND(V135&lt;&gt;"",V135&gt;XLOOKUP(B135,$A$414:$A$418,$B$414:$B$418)),"Excedeu capacidade","Sem alerta"))))))</x:f>
      </x:c>
    </x:row>
    <x:row r="136">
      <x:c r="A136" s="43"/>
      <x:c r="B136" s="43"/>
      <x:c r="C136" s="43"/>
      <x:c r="D136" s="43"/>
      <x:c r="E136" s="43"/>
      <x:c r="F136" s="43"/>
      <x:c r="G136" s="43"/>
      <x:c r="H136" s="120"/>
      <x:c r="I136" s="120"/>
      <x:c r="J136" s="120"/>
      <x:c r="K136" s="120"/>
      <x:c r="L136" s="120"/>
      <x:c r="M136" s="120"/>
      <x:c r="N136" s="120"/>
      <x:c r="O136" s="120"/>
      <x:c r="P136" s="120"/>
      <x:c r="Q136" s="120"/>
      <x:c r="R136" s="120"/>
      <x:c r="S136" s="120"/>
      <x:c r="T136" s="120"/>
      <x:c r="U136" s="48"/>
      <x:c r="V136" s="48"/>
      <x:c r="W136" s="48"/>
      <x:c r="X136" s="48"/>
      <x:c r="Y136" s="48"/>
      <x:c r="Z136" s="49"/>
      <x:c r="AA136" s="43"/>
      <x:c r="AB136" s="43"/>
      <x:c r="AC136" s="43"/>
      <x:c r="AD136" s="43"/>
      <x:c r="AE136" s="43"/>
      <x:c r="AF136" s="87" t="str">
        <x:f>IF(OR(H136="",I136="",I136&lt;H136),"",(I136-H136)*1440)</x:f>
      </x:c>
      <x:c r="AG136" s="87" t="str">
        <x:f>IF(OR(I136="",M136="",M136&lt;I136),"",(M136-I136)*1440)</x:f>
      </x:c>
      <x:c r="AH136" s="87" t="str">
        <x:f>IF(OR(M136="",N136="",N136&lt;M136),"",(N136-M136)*1440)</x:f>
      </x:c>
      <x:c r="AI136" s="87" t="str">
        <x:f>IF(OR(H136="",N136="",N136&lt;H136),"",(N136-H136)*1440)</x:f>
      </x:c>
      <x:c r="AJ136" s="87" t="str">
        <x:f>IF(OR(I136="",N136="",N136&lt;I136),"",(N136-I136)*1440)</x:f>
      </x:c>
      <x:c r="AK136" s="87" t="str">
        <x:f>IF(OR(N136="",O136="",O136&lt;N136),"",(O136-N136)*1440)</x:f>
      </x:c>
      <x:c r="AL136" s="87" t="str">
        <x:f>IF(OR(O136="",P136="",P136&lt;O136),"",(P136-O136)*1440)</x:f>
      </x:c>
      <x:c r="AM136" s="87" t="str">
        <x:f>IF(OR(Q136="",R136="",R136&lt;Q136),"",(R136-Q136)*1440)</x:f>
      </x:c>
      <x:c r="AN136" s="87" t="str">
        <x:f>IF(OR(S136="",T136="",T136&lt;S136),"",(T136-S136)*1440)</x:f>
      </x:c>
      <x:c r="AO136" s="87" t="str">
        <x:f>IF(OR(U136="",V136=""),"",V136-U136)</x:f>
      </x:c>
      <x:c r="AP136" s="63" t="str">
        <x:f>IF(A136="","",IF(OR(B136="",H136="",N136=""),"Incompleto",IF(N136&lt;H136,"Revisar",IF(OR(G136="",G136="Não observado"),"Qualidade E0 ausente",IF(OR(G136="Sensor",G136="Marcação física"),"Válido — E0 observado",IF(G136="Cálculo","Válido — E0 calculado","Válido — E0 estimado"))))))</x:f>
      </x:c>
      <x:c r="AQ136" s="63" t="str">
        <x:f>IF(A136="","",IF(COUNTA(H136:T136)&lt;13,"Incompleta",IF(OR(I136&lt;H136,J136&lt;I136,K136&lt;J136,L136&lt;K136,M136&lt;L136,N136&lt;M136,O136&lt;N136,P136&lt;O136,Q136&lt;P136,R136&lt;Q136,S136&lt;R136,T136&lt;S136),"Revisar","Completa")))</x:f>
      </x:c>
      <x:c r="AR136" s="87" t="str">
        <x:f>IF(OR(V136="",W136="",Y136=""),"",Y136-(V136-W136))</x:f>
      </x:c>
      <x:c r="AS136" s="63" t="str">
        <x:f>IF(A136="","",IF(AND(E136&lt;&gt;"",F136&lt;&gt;"",G136&lt;&gt;"",Z136&lt;&gt;"",AA136&lt;&gt;"",AB136&lt;&gt;"",AC136&lt;&gt;""),"Completa","Incompleta"))</x:f>
      </x:c>
      <x:c r="AT136" s="63" t="str">
        <x:f>IF(A136="","",IF(COUNTIF($A$11:$A$410,A136)&gt;1,"ID duplicado",IF(AND(AR136&lt;&gt;"",ABS(AR136)&gt;0.01),"Revisar balanço",IF(AND(W136&lt;&gt;"",V136&lt;&gt;"",W136&gt;V136),"Retirada &gt; estoque",IF(AND(U136&lt;&gt;"",U136&lt;'Cenário Base'!$D$8*'Cenário Base'!$D$74),"E0 abaixo do gatilho",IF(AND(V136&lt;&gt;"",V136&gt;XLOOKUP(B136,$A$414:$A$418,$B$414:$B$418)),"Excedeu capacidade","Sem alerta"))))))</x:f>
      </x:c>
    </x:row>
    <x:row r="137">
      <x:c r="A137" s="43"/>
      <x:c r="B137" s="43"/>
      <x:c r="C137" s="43"/>
      <x:c r="D137" s="43"/>
      <x:c r="E137" s="43"/>
      <x:c r="F137" s="43"/>
      <x:c r="G137" s="43"/>
      <x:c r="H137" s="120"/>
      <x:c r="I137" s="120"/>
      <x:c r="J137" s="120"/>
      <x:c r="K137" s="120"/>
      <x:c r="L137" s="120"/>
      <x:c r="M137" s="120"/>
      <x:c r="N137" s="120"/>
      <x:c r="O137" s="120"/>
      <x:c r="P137" s="120"/>
      <x:c r="Q137" s="120"/>
      <x:c r="R137" s="120"/>
      <x:c r="S137" s="120"/>
      <x:c r="T137" s="120"/>
      <x:c r="U137" s="48"/>
      <x:c r="V137" s="48"/>
      <x:c r="W137" s="48"/>
      <x:c r="X137" s="48"/>
      <x:c r="Y137" s="48"/>
      <x:c r="Z137" s="49"/>
      <x:c r="AA137" s="43"/>
      <x:c r="AB137" s="43"/>
      <x:c r="AC137" s="43"/>
      <x:c r="AD137" s="43"/>
      <x:c r="AE137" s="43"/>
      <x:c r="AF137" s="87" t="str">
        <x:f>IF(OR(H137="",I137="",I137&lt;H137),"",(I137-H137)*1440)</x:f>
      </x:c>
      <x:c r="AG137" s="87" t="str">
        <x:f>IF(OR(I137="",M137="",M137&lt;I137),"",(M137-I137)*1440)</x:f>
      </x:c>
      <x:c r="AH137" s="87" t="str">
        <x:f>IF(OR(M137="",N137="",N137&lt;M137),"",(N137-M137)*1440)</x:f>
      </x:c>
      <x:c r="AI137" s="87" t="str">
        <x:f>IF(OR(H137="",N137="",N137&lt;H137),"",(N137-H137)*1440)</x:f>
      </x:c>
      <x:c r="AJ137" s="87" t="str">
        <x:f>IF(OR(I137="",N137="",N137&lt;I137),"",(N137-I137)*1440)</x:f>
      </x:c>
      <x:c r="AK137" s="87" t="str">
        <x:f>IF(OR(N137="",O137="",O137&lt;N137),"",(O137-N137)*1440)</x:f>
      </x:c>
      <x:c r="AL137" s="87" t="str">
        <x:f>IF(OR(O137="",P137="",P137&lt;O137),"",(P137-O137)*1440)</x:f>
      </x:c>
      <x:c r="AM137" s="87" t="str">
        <x:f>IF(OR(Q137="",R137="",R137&lt;Q137),"",(R137-Q137)*1440)</x:f>
      </x:c>
      <x:c r="AN137" s="87" t="str">
        <x:f>IF(OR(S137="",T137="",T137&lt;S137),"",(T137-S137)*1440)</x:f>
      </x:c>
      <x:c r="AO137" s="87" t="str">
        <x:f>IF(OR(U137="",V137=""),"",V137-U137)</x:f>
      </x:c>
      <x:c r="AP137" s="63" t="str">
        <x:f>IF(A137="","",IF(OR(B137="",H137="",N137=""),"Incompleto",IF(N137&lt;H137,"Revisar",IF(OR(G137="",G137="Não observado"),"Qualidade E0 ausente",IF(OR(G137="Sensor",G137="Marcação física"),"Válido — E0 observado",IF(G137="Cálculo","Válido — E0 calculado","Válido — E0 estimado"))))))</x:f>
      </x:c>
      <x:c r="AQ137" s="63" t="str">
        <x:f>IF(A137="","",IF(COUNTA(H137:T137)&lt;13,"Incompleta",IF(OR(I137&lt;H137,J137&lt;I137,K137&lt;J137,L137&lt;K137,M137&lt;L137,N137&lt;M137,O137&lt;N137,P137&lt;O137,Q137&lt;P137,R137&lt;Q137,S137&lt;R137,T137&lt;S137),"Revisar","Completa")))</x:f>
      </x:c>
      <x:c r="AR137" s="87" t="str">
        <x:f>IF(OR(V137="",W137="",Y137=""),"",Y137-(V137-W137))</x:f>
      </x:c>
      <x:c r="AS137" s="63" t="str">
        <x:f>IF(A137="","",IF(AND(E137&lt;&gt;"",F137&lt;&gt;"",G137&lt;&gt;"",Z137&lt;&gt;"",AA137&lt;&gt;"",AB137&lt;&gt;"",AC137&lt;&gt;""),"Completa","Incompleta"))</x:f>
      </x:c>
      <x:c r="AT137" s="63" t="str">
        <x:f>IF(A137="","",IF(COUNTIF($A$11:$A$410,A137)&gt;1,"ID duplicado",IF(AND(AR137&lt;&gt;"",ABS(AR137)&gt;0.01),"Revisar balanço",IF(AND(W137&lt;&gt;"",V137&lt;&gt;"",W137&gt;V137),"Retirada &gt; estoque",IF(AND(U137&lt;&gt;"",U137&lt;'Cenário Base'!$D$8*'Cenário Base'!$D$74),"E0 abaixo do gatilho",IF(AND(V137&lt;&gt;"",V137&gt;XLOOKUP(B137,$A$414:$A$418,$B$414:$B$418)),"Excedeu capacidade","Sem alerta"))))))</x:f>
      </x:c>
    </x:row>
    <x:row r="138">
      <x:c r="A138" s="43"/>
      <x:c r="B138" s="43"/>
      <x:c r="C138" s="43"/>
      <x:c r="D138" s="43"/>
      <x:c r="E138" s="43"/>
      <x:c r="F138" s="43"/>
      <x:c r="G138" s="43"/>
      <x:c r="H138" s="120"/>
      <x:c r="I138" s="120"/>
      <x:c r="J138" s="120"/>
      <x:c r="K138" s="120"/>
      <x:c r="L138" s="120"/>
      <x:c r="M138" s="120"/>
      <x:c r="N138" s="120"/>
      <x:c r="O138" s="120"/>
      <x:c r="P138" s="120"/>
      <x:c r="Q138" s="120"/>
      <x:c r="R138" s="120"/>
      <x:c r="S138" s="120"/>
      <x:c r="T138" s="120"/>
      <x:c r="U138" s="48"/>
      <x:c r="V138" s="48"/>
      <x:c r="W138" s="48"/>
      <x:c r="X138" s="48"/>
      <x:c r="Y138" s="48"/>
      <x:c r="Z138" s="49"/>
      <x:c r="AA138" s="43"/>
      <x:c r="AB138" s="43"/>
      <x:c r="AC138" s="43"/>
      <x:c r="AD138" s="43"/>
      <x:c r="AE138" s="43"/>
      <x:c r="AF138" s="87" t="str">
        <x:f>IF(OR(H138="",I138="",I138&lt;H138),"",(I138-H138)*1440)</x:f>
      </x:c>
      <x:c r="AG138" s="87" t="str">
        <x:f>IF(OR(I138="",M138="",M138&lt;I138),"",(M138-I138)*1440)</x:f>
      </x:c>
      <x:c r="AH138" s="87" t="str">
        <x:f>IF(OR(M138="",N138="",N138&lt;M138),"",(N138-M138)*1440)</x:f>
      </x:c>
      <x:c r="AI138" s="87" t="str">
        <x:f>IF(OR(H138="",N138="",N138&lt;H138),"",(N138-H138)*1440)</x:f>
      </x:c>
      <x:c r="AJ138" s="87" t="str">
        <x:f>IF(OR(I138="",N138="",N138&lt;I138),"",(N138-I138)*1440)</x:f>
      </x:c>
      <x:c r="AK138" s="87" t="str">
        <x:f>IF(OR(N138="",O138="",O138&lt;N138),"",(O138-N138)*1440)</x:f>
      </x:c>
      <x:c r="AL138" s="87" t="str">
        <x:f>IF(OR(O138="",P138="",P138&lt;O138),"",(P138-O138)*1440)</x:f>
      </x:c>
      <x:c r="AM138" s="87" t="str">
        <x:f>IF(OR(Q138="",R138="",R138&lt;Q138),"",(R138-Q138)*1440)</x:f>
      </x:c>
      <x:c r="AN138" s="87" t="str">
        <x:f>IF(OR(S138="",T138="",T138&lt;S138),"",(T138-S138)*1440)</x:f>
      </x:c>
      <x:c r="AO138" s="87" t="str">
        <x:f>IF(OR(U138="",V138=""),"",V138-U138)</x:f>
      </x:c>
      <x:c r="AP138" s="63" t="str">
        <x:f>IF(A138="","",IF(OR(B138="",H138="",N138=""),"Incompleto",IF(N138&lt;H138,"Revisar",IF(OR(G138="",G138="Não observado"),"Qualidade E0 ausente",IF(OR(G138="Sensor",G138="Marcação física"),"Válido — E0 observado",IF(G138="Cálculo","Válido — E0 calculado","Válido — E0 estimado"))))))</x:f>
      </x:c>
      <x:c r="AQ138" s="63" t="str">
        <x:f>IF(A138="","",IF(COUNTA(H138:T138)&lt;13,"Incompleta",IF(OR(I138&lt;H138,J138&lt;I138,K138&lt;J138,L138&lt;K138,M138&lt;L138,N138&lt;M138,O138&lt;N138,P138&lt;O138,Q138&lt;P138,R138&lt;Q138,S138&lt;R138,T138&lt;S138),"Revisar","Completa")))</x:f>
      </x:c>
      <x:c r="AR138" s="87" t="str">
        <x:f>IF(OR(V138="",W138="",Y138=""),"",Y138-(V138-W138))</x:f>
      </x:c>
      <x:c r="AS138" s="63" t="str">
        <x:f>IF(A138="","",IF(AND(E138&lt;&gt;"",F138&lt;&gt;"",G138&lt;&gt;"",Z138&lt;&gt;"",AA138&lt;&gt;"",AB138&lt;&gt;"",AC138&lt;&gt;""),"Completa","Incompleta"))</x:f>
      </x:c>
      <x:c r="AT138" s="63" t="str">
        <x:f>IF(A138="","",IF(COUNTIF($A$11:$A$410,A138)&gt;1,"ID duplicado",IF(AND(AR138&lt;&gt;"",ABS(AR138)&gt;0.01),"Revisar balanço",IF(AND(W138&lt;&gt;"",V138&lt;&gt;"",W138&gt;V138),"Retirada &gt; estoque",IF(AND(U138&lt;&gt;"",U138&lt;'Cenário Base'!$D$8*'Cenário Base'!$D$74),"E0 abaixo do gatilho",IF(AND(V138&lt;&gt;"",V138&gt;XLOOKUP(B138,$A$414:$A$418,$B$414:$B$418)),"Excedeu capacidade","Sem alerta"))))))</x:f>
      </x:c>
    </x:row>
    <x:row r="139">
      <x:c r="A139" s="43"/>
      <x:c r="B139" s="43"/>
      <x:c r="C139" s="43"/>
      <x:c r="D139" s="43"/>
      <x:c r="E139" s="43"/>
      <x:c r="F139" s="43"/>
      <x:c r="G139" s="43"/>
      <x:c r="H139" s="120"/>
      <x:c r="I139" s="120"/>
      <x:c r="J139" s="120"/>
      <x:c r="K139" s="120"/>
      <x:c r="L139" s="120"/>
      <x:c r="M139" s="120"/>
      <x:c r="N139" s="120"/>
      <x:c r="O139" s="120"/>
      <x:c r="P139" s="120"/>
      <x:c r="Q139" s="120"/>
      <x:c r="R139" s="120"/>
      <x:c r="S139" s="120"/>
      <x:c r="T139" s="120"/>
      <x:c r="U139" s="48"/>
      <x:c r="V139" s="48"/>
      <x:c r="W139" s="48"/>
      <x:c r="X139" s="48"/>
      <x:c r="Y139" s="48"/>
      <x:c r="Z139" s="49"/>
      <x:c r="AA139" s="43"/>
      <x:c r="AB139" s="43"/>
      <x:c r="AC139" s="43"/>
      <x:c r="AD139" s="43"/>
      <x:c r="AE139" s="43"/>
      <x:c r="AF139" s="87" t="str">
        <x:f>IF(OR(H139="",I139="",I139&lt;H139),"",(I139-H139)*1440)</x:f>
      </x:c>
      <x:c r="AG139" s="87" t="str">
        <x:f>IF(OR(I139="",M139="",M139&lt;I139),"",(M139-I139)*1440)</x:f>
      </x:c>
      <x:c r="AH139" s="87" t="str">
        <x:f>IF(OR(M139="",N139="",N139&lt;M139),"",(N139-M139)*1440)</x:f>
      </x:c>
      <x:c r="AI139" s="87" t="str">
        <x:f>IF(OR(H139="",N139="",N139&lt;H139),"",(N139-H139)*1440)</x:f>
      </x:c>
      <x:c r="AJ139" s="87" t="str">
        <x:f>IF(OR(I139="",N139="",N139&lt;I139),"",(N139-I139)*1440)</x:f>
      </x:c>
      <x:c r="AK139" s="87" t="str">
        <x:f>IF(OR(N139="",O139="",O139&lt;N139),"",(O139-N139)*1440)</x:f>
      </x:c>
      <x:c r="AL139" s="87" t="str">
        <x:f>IF(OR(O139="",P139="",P139&lt;O139),"",(P139-O139)*1440)</x:f>
      </x:c>
      <x:c r="AM139" s="87" t="str">
        <x:f>IF(OR(Q139="",R139="",R139&lt;Q139),"",(R139-Q139)*1440)</x:f>
      </x:c>
      <x:c r="AN139" s="87" t="str">
        <x:f>IF(OR(S139="",T139="",T139&lt;S139),"",(T139-S139)*1440)</x:f>
      </x:c>
      <x:c r="AO139" s="87" t="str">
        <x:f>IF(OR(U139="",V139=""),"",V139-U139)</x:f>
      </x:c>
      <x:c r="AP139" s="63" t="str">
        <x:f>IF(A139="","",IF(OR(B139="",H139="",N139=""),"Incompleto",IF(N139&lt;H139,"Revisar",IF(OR(G139="",G139="Não observado"),"Qualidade E0 ausente",IF(OR(G139="Sensor",G139="Marcação física"),"Válido — E0 observado",IF(G139="Cálculo","Válido — E0 calculado","Válido — E0 estimado"))))))</x:f>
      </x:c>
      <x:c r="AQ139" s="63" t="str">
        <x:f>IF(A139="","",IF(COUNTA(H139:T139)&lt;13,"Incompleta",IF(OR(I139&lt;H139,J139&lt;I139,K139&lt;J139,L139&lt;K139,M139&lt;L139,N139&lt;M139,O139&lt;N139,P139&lt;O139,Q139&lt;P139,R139&lt;Q139,S139&lt;R139,T139&lt;S139),"Revisar","Completa")))</x:f>
      </x:c>
      <x:c r="AR139" s="87" t="str">
        <x:f>IF(OR(V139="",W139="",Y139=""),"",Y139-(V139-W139))</x:f>
      </x:c>
      <x:c r="AS139" s="63" t="str">
        <x:f>IF(A139="","",IF(AND(E139&lt;&gt;"",F139&lt;&gt;"",G139&lt;&gt;"",Z139&lt;&gt;"",AA139&lt;&gt;"",AB139&lt;&gt;"",AC139&lt;&gt;""),"Completa","Incompleta"))</x:f>
      </x:c>
      <x:c r="AT139" s="63" t="str">
        <x:f>IF(A139="","",IF(COUNTIF($A$11:$A$410,A139)&gt;1,"ID duplicado",IF(AND(AR139&lt;&gt;"",ABS(AR139)&gt;0.01),"Revisar balanço",IF(AND(W139&lt;&gt;"",V139&lt;&gt;"",W139&gt;V139),"Retirada &gt; estoque",IF(AND(U139&lt;&gt;"",U139&lt;'Cenário Base'!$D$8*'Cenário Base'!$D$74),"E0 abaixo do gatilho",IF(AND(V139&lt;&gt;"",V139&gt;XLOOKUP(B139,$A$414:$A$418,$B$414:$B$418)),"Excedeu capacidade","Sem alerta"))))))</x:f>
      </x:c>
    </x:row>
    <x:row r="140">
      <x:c r="A140" s="43"/>
      <x:c r="B140" s="43"/>
      <x:c r="C140" s="43"/>
      <x:c r="D140" s="43"/>
      <x:c r="E140" s="43"/>
      <x:c r="F140" s="43"/>
      <x:c r="G140" s="43"/>
      <x:c r="H140" s="120"/>
      <x:c r="I140" s="120"/>
      <x:c r="J140" s="120"/>
      <x:c r="K140" s="120"/>
      <x:c r="L140" s="120"/>
      <x:c r="M140" s="120"/>
      <x:c r="N140" s="120"/>
      <x:c r="O140" s="120"/>
      <x:c r="P140" s="120"/>
      <x:c r="Q140" s="120"/>
      <x:c r="R140" s="120"/>
      <x:c r="S140" s="120"/>
      <x:c r="T140" s="120"/>
      <x:c r="U140" s="48"/>
      <x:c r="V140" s="48"/>
      <x:c r="W140" s="48"/>
      <x:c r="X140" s="48"/>
      <x:c r="Y140" s="48"/>
      <x:c r="Z140" s="49"/>
      <x:c r="AA140" s="43"/>
      <x:c r="AB140" s="43"/>
      <x:c r="AC140" s="43"/>
      <x:c r="AD140" s="43"/>
      <x:c r="AE140" s="43"/>
      <x:c r="AF140" s="87" t="str">
        <x:f>IF(OR(H140="",I140="",I140&lt;H140),"",(I140-H140)*1440)</x:f>
      </x:c>
      <x:c r="AG140" s="87" t="str">
        <x:f>IF(OR(I140="",M140="",M140&lt;I140),"",(M140-I140)*1440)</x:f>
      </x:c>
      <x:c r="AH140" s="87" t="str">
        <x:f>IF(OR(M140="",N140="",N140&lt;M140),"",(N140-M140)*1440)</x:f>
      </x:c>
      <x:c r="AI140" s="87" t="str">
        <x:f>IF(OR(H140="",N140="",N140&lt;H140),"",(N140-H140)*1440)</x:f>
      </x:c>
      <x:c r="AJ140" s="87" t="str">
        <x:f>IF(OR(I140="",N140="",N140&lt;I140),"",(N140-I140)*1440)</x:f>
      </x:c>
      <x:c r="AK140" s="87" t="str">
        <x:f>IF(OR(N140="",O140="",O140&lt;N140),"",(O140-N140)*1440)</x:f>
      </x:c>
      <x:c r="AL140" s="87" t="str">
        <x:f>IF(OR(O140="",P140="",P140&lt;O140),"",(P140-O140)*1440)</x:f>
      </x:c>
      <x:c r="AM140" s="87" t="str">
        <x:f>IF(OR(Q140="",R140="",R140&lt;Q140),"",(R140-Q140)*1440)</x:f>
      </x:c>
      <x:c r="AN140" s="87" t="str">
        <x:f>IF(OR(S140="",T140="",T140&lt;S140),"",(T140-S140)*1440)</x:f>
      </x:c>
      <x:c r="AO140" s="87" t="str">
        <x:f>IF(OR(U140="",V140=""),"",V140-U140)</x:f>
      </x:c>
      <x:c r="AP140" s="63" t="str">
        <x:f>IF(A140="","",IF(OR(B140="",H140="",N140=""),"Incompleto",IF(N140&lt;H140,"Revisar",IF(OR(G140="",G140="Não observado"),"Qualidade E0 ausente",IF(OR(G140="Sensor",G140="Marcação física"),"Válido — E0 observado",IF(G140="Cálculo","Válido — E0 calculado","Válido — E0 estimado"))))))</x:f>
      </x:c>
      <x:c r="AQ140" s="63" t="str">
        <x:f>IF(A140="","",IF(COUNTA(H140:T140)&lt;13,"Incompleta",IF(OR(I140&lt;H140,J140&lt;I140,K140&lt;J140,L140&lt;K140,M140&lt;L140,N140&lt;M140,O140&lt;N140,P140&lt;O140,Q140&lt;P140,R140&lt;Q140,S140&lt;R140,T140&lt;S140),"Revisar","Completa")))</x:f>
      </x:c>
      <x:c r="AR140" s="87" t="str">
        <x:f>IF(OR(V140="",W140="",Y140=""),"",Y140-(V140-W140))</x:f>
      </x:c>
      <x:c r="AS140" s="63" t="str">
        <x:f>IF(A140="","",IF(AND(E140&lt;&gt;"",F140&lt;&gt;"",G140&lt;&gt;"",Z140&lt;&gt;"",AA140&lt;&gt;"",AB140&lt;&gt;"",AC140&lt;&gt;""),"Completa","Incompleta"))</x:f>
      </x:c>
      <x:c r="AT140" s="63" t="str">
        <x:f>IF(A140="","",IF(COUNTIF($A$11:$A$410,A140)&gt;1,"ID duplicado",IF(AND(AR140&lt;&gt;"",ABS(AR140)&gt;0.01),"Revisar balanço",IF(AND(W140&lt;&gt;"",V140&lt;&gt;"",W140&gt;V140),"Retirada &gt; estoque",IF(AND(U140&lt;&gt;"",U140&lt;'Cenário Base'!$D$8*'Cenário Base'!$D$74),"E0 abaixo do gatilho",IF(AND(V140&lt;&gt;"",V140&gt;XLOOKUP(B140,$A$414:$A$418,$B$414:$B$418)),"Excedeu capacidade","Sem alerta"))))))</x:f>
      </x:c>
    </x:row>
    <x:row r="141">
      <x:c r="A141" s="43"/>
      <x:c r="B141" s="43"/>
      <x:c r="C141" s="43"/>
      <x:c r="D141" s="43"/>
      <x:c r="E141" s="43"/>
      <x:c r="F141" s="43"/>
      <x:c r="G141" s="43"/>
      <x:c r="H141" s="120"/>
      <x:c r="I141" s="120"/>
      <x:c r="J141" s="120"/>
      <x:c r="K141" s="120"/>
      <x:c r="L141" s="120"/>
      <x:c r="M141" s="120"/>
      <x:c r="N141" s="120"/>
      <x:c r="O141" s="120"/>
      <x:c r="P141" s="120"/>
      <x:c r="Q141" s="120"/>
      <x:c r="R141" s="120"/>
      <x:c r="S141" s="120"/>
      <x:c r="T141" s="120"/>
      <x:c r="U141" s="48"/>
      <x:c r="V141" s="48"/>
      <x:c r="W141" s="48"/>
      <x:c r="X141" s="48"/>
      <x:c r="Y141" s="48"/>
      <x:c r="Z141" s="49"/>
      <x:c r="AA141" s="43"/>
      <x:c r="AB141" s="43"/>
      <x:c r="AC141" s="43"/>
      <x:c r="AD141" s="43"/>
      <x:c r="AE141" s="43"/>
      <x:c r="AF141" s="87" t="str">
        <x:f>IF(OR(H141="",I141="",I141&lt;H141),"",(I141-H141)*1440)</x:f>
      </x:c>
      <x:c r="AG141" s="87" t="str">
        <x:f>IF(OR(I141="",M141="",M141&lt;I141),"",(M141-I141)*1440)</x:f>
      </x:c>
      <x:c r="AH141" s="87" t="str">
        <x:f>IF(OR(M141="",N141="",N141&lt;M141),"",(N141-M141)*1440)</x:f>
      </x:c>
      <x:c r="AI141" s="87" t="str">
        <x:f>IF(OR(H141="",N141="",N141&lt;H141),"",(N141-H141)*1440)</x:f>
      </x:c>
      <x:c r="AJ141" s="87" t="str">
        <x:f>IF(OR(I141="",N141="",N141&lt;I141),"",(N141-I141)*1440)</x:f>
      </x:c>
      <x:c r="AK141" s="87" t="str">
        <x:f>IF(OR(N141="",O141="",O141&lt;N141),"",(O141-N141)*1440)</x:f>
      </x:c>
      <x:c r="AL141" s="87" t="str">
        <x:f>IF(OR(O141="",P141="",P141&lt;O141),"",(P141-O141)*1440)</x:f>
      </x:c>
      <x:c r="AM141" s="87" t="str">
        <x:f>IF(OR(Q141="",R141="",R141&lt;Q141),"",(R141-Q141)*1440)</x:f>
      </x:c>
      <x:c r="AN141" s="87" t="str">
        <x:f>IF(OR(S141="",T141="",T141&lt;S141),"",(T141-S141)*1440)</x:f>
      </x:c>
      <x:c r="AO141" s="87" t="str">
        <x:f>IF(OR(U141="",V141=""),"",V141-U141)</x:f>
      </x:c>
      <x:c r="AP141" s="63" t="str">
        <x:f>IF(A141="","",IF(OR(B141="",H141="",N141=""),"Incompleto",IF(N141&lt;H141,"Revisar",IF(OR(G141="",G141="Não observado"),"Qualidade E0 ausente",IF(OR(G141="Sensor",G141="Marcação física"),"Válido — E0 observado",IF(G141="Cálculo","Válido — E0 calculado","Válido — E0 estimado"))))))</x:f>
      </x:c>
      <x:c r="AQ141" s="63" t="str">
        <x:f>IF(A141="","",IF(COUNTA(H141:T141)&lt;13,"Incompleta",IF(OR(I141&lt;H141,J141&lt;I141,K141&lt;J141,L141&lt;K141,M141&lt;L141,N141&lt;M141,O141&lt;N141,P141&lt;O141,Q141&lt;P141,R141&lt;Q141,S141&lt;R141,T141&lt;S141),"Revisar","Completa")))</x:f>
      </x:c>
      <x:c r="AR141" s="87" t="str">
        <x:f>IF(OR(V141="",W141="",Y141=""),"",Y141-(V141-W141))</x:f>
      </x:c>
      <x:c r="AS141" s="63" t="str">
        <x:f>IF(A141="","",IF(AND(E141&lt;&gt;"",F141&lt;&gt;"",G141&lt;&gt;"",Z141&lt;&gt;"",AA141&lt;&gt;"",AB141&lt;&gt;"",AC141&lt;&gt;""),"Completa","Incompleta"))</x:f>
      </x:c>
      <x:c r="AT141" s="63" t="str">
        <x:f>IF(A141="","",IF(COUNTIF($A$11:$A$410,A141)&gt;1,"ID duplicado",IF(AND(AR141&lt;&gt;"",ABS(AR141)&gt;0.01),"Revisar balanço",IF(AND(W141&lt;&gt;"",V141&lt;&gt;"",W141&gt;V141),"Retirada &gt; estoque",IF(AND(U141&lt;&gt;"",U141&lt;'Cenário Base'!$D$8*'Cenário Base'!$D$74),"E0 abaixo do gatilho",IF(AND(V141&lt;&gt;"",V141&gt;XLOOKUP(B141,$A$414:$A$418,$B$414:$B$418)),"Excedeu capacidade","Sem alerta"))))))</x:f>
      </x:c>
    </x:row>
    <x:row r="142">
      <x:c r="A142" s="43"/>
      <x:c r="B142" s="43"/>
      <x:c r="C142" s="43"/>
      <x:c r="D142" s="43"/>
      <x:c r="E142" s="43"/>
      <x:c r="F142" s="43"/>
      <x:c r="G142" s="43"/>
      <x:c r="H142" s="120"/>
      <x:c r="I142" s="120"/>
      <x:c r="J142" s="120"/>
      <x:c r="K142" s="120"/>
      <x:c r="L142" s="120"/>
      <x:c r="M142" s="120"/>
      <x:c r="N142" s="120"/>
      <x:c r="O142" s="120"/>
      <x:c r="P142" s="120"/>
      <x:c r="Q142" s="120"/>
      <x:c r="R142" s="120"/>
      <x:c r="S142" s="120"/>
      <x:c r="T142" s="120"/>
      <x:c r="U142" s="48"/>
      <x:c r="V142" s="48"/>
      <x:c r="W142" s="48"/>
      <x:c r="X142" s="48"/>
      <x:c r="Y142" s="48"/>
      <x:c r="Z142" s="49"/>
      <x:c r="AA142" s="43"/>
      <x:c r="AB142" s="43"/>
      <x:c r="AC142" s="43"/>
      <x:c r="AD142" s="43"/>
      <x:c r="AE142" s="43"/>
      <x:c r="AF142" s="87" t="str">
        <x:f>IF(OR(H142="",I142="",I142&lt;H142),"",(I142-H142)*1440)</x:f>
      </x:c>
      <x:c r="AG142" s="87" t="str">
        <x:f>IF(OR(I142="",M142="",M142&lt;I142),"",(M142-I142)*1440)</x:f>
      </x:c>
      <x:c r="AH142" s="87" t="str">
        <x:f>IF(OR(M142="",N142="",N142&lt;M142),"",(N142-M142)*1440)</x:f>
      </x:c>
      <x:c r="AI142" s="87" t="str">
        <x:f>IF(OR(H142="",N142="",N142&lt;H142),"",(N142-H142)*1440)</x:f>
      </x:c>
      <x:c r="AJ142" s="87" t="str">
        <x:f>IF(OR(I142="",N142="",N142&lt;I142),"",(N142-I142)*1440)</x:f>
      </x:c>
      <x:c r="AK142" s="87" t="str">
        <x:f>IF(OR(N142="",O142="",O142&lt;N142),"",(O142-N142)*1440)</x:f>
      </x:c>
      <x:c r="AL142" s="87" t="str">
        <x:f>IF(OR(O142="",P142="",P142&lt;O142),"",(P142-O142)*1440)</x:f>
      </x:c>
      <x:c r="AM142" s="87" t="str">
        <x:f>IF(OR(Q142="",R142="",R142&lt;Q142),"",(R142-Q142)*1440)</x:f>
      </x:c>
      <x:c r="AN142" s="87" t="str">
        <x:f>IF(OR(S142="",T142="",T142&lt;S142),"",(T142-S142)*1440)</x:f>
      </x:c>
      <x:c r="AO142" s="87" t="str">
        <x:f>IF(OR(U142="",V142=""),"",V142-U142)</x:f>
      </x:c>
      <x:c r="AP142" s="63" t="str">
        <x:f>IF(A142="","",IF(OR(B142="",H142="",N142=""),"Incompleto",IF(N142&lt;H142,"Revisar",IF(OR(G142="",G142="Não observado"),"Qualidade E0 ausente",IF(OR(G142="Sensor",G142="Marcação física"),"Válido — E0 observado",IF(G142="Cálculo","Válido — E0 calculado","Válido — E0 estimado"))))))</x:f>
      </x:c>
      <x:c r="AQ142" s="63" t="str">
        <x:f>IF(A142="","",IF(COUNTA(H142:T142)&lt;13,"Incompleta",IF(OR(I142&lt;H142,J142&lt;I142,K142&lt;J142,L142&lt;K142,M142&lt;L142,N142&lt;M142,O142&lt;N142,P142&lt;O142,Q142&lt;P142,R142&lt;Q142,S142&lt;R142,T142&lt;S142),"Revisar","Completa")))</x:f>
      </x:c>
      <x:c r="AR142" s="87" t="str">
        <x:f>IF(OR(V142="",W142="",Y142=""),"",Y142-(V142-W142))</x:f>
      </x:c>
      <x:c r="AS142" s="63" t="str">
        <x:f>IF(A142="","",IF(AND(E142&lt;&gt;"",F142&lt;&gt;"",G142&lt;&gt;"",Z142&lt;&gt;"",AA142&lt;&gt;"",AB142&lt;&gt;"",AC142&lt;&gt;""),"Completa","Incompleta"))</x:f>
      </x:c>
      <x:c r="AT142" s="63" t="str">
        <x:f>IF(A142="","",IF(COUNTIF($A$11:$A$410,A142)&gt;1,"ID duplicado",IF(AND(AR142&lt;&gt;"",ABS(AR142)&gt;0.01),"Revisar balanço",IF(AND(W142&lt;&gt;"",V142&lt;&gt;"",W142&gt;V142),"Retirada &gt; estoque",IF(AND(U142&lt;&gt;"",U142&lt;'Cenário Base'!$D$8*'Cenário Base'!$D$74),"E0 abaixo do gatilho",IF(AND(V142&lt;&gt;"",V142&gt;XLOOKUP(B142,$A$414:$A$418,$B$414:$B$418)),"Excedeu capacidade","Sem alerta"))))))</x:f>
      </x:c>
    </x:row>
    <x:row r="143">
      <x:c r="A143" s="43"/>
      <x:c r="B143" s="43"/>
      <x:c r="C143" s="43"/>
      <x:c r="D143" s="43"/>
      <x:c r="E143" s="43"/>
      <x:c r="F143" s="43"/>
      <x:c r="G143" s="43"/>
      <x:c r="H143" s="120"/>
      <x:c r="I143" s="120"/>
      <x:c r="J143" s="120"/>
      <x:c r="K143" s="120"/>
      <x:c r="L143" s="120"/>
      <x:c r="M143" s="120"/>
      <x:c r="N143" s="120"/>
      <x:c r="O143" s="120"/>
      <x:c r="P143" s="120"/>
      <x:c r="Q143" s="120"/>
      <x:c r="R143" s="120"/>
      <x:c r="S143" s="120"/>
      <x:c r="T143" s="120"/>
      <x:c r="U143" s="48"/>
      <x:c r="V143" s="48"/>
      <x:c r="W143" s="48"/>
      <x:c r="X143" s="48"/>
      <x:c r="Y143" s="48"/>
      <x:c r="Z143" s="49"/>
      <x:c r="AA143" s="43"/>
      <x:c r="AB143" s="43"/>
      <x:c r="AC143" s="43"/>
      <x:c r="AD143" s="43"/>
      <x:c r="AE143" s="43"/>
      <x:c r="AF143" s="87" t="str">
        <x:f>IF(OR(H143="",I143="",I143&lt;H143),"",(I143-H143)*1440)</x:f>
      </x:c>
      <x:c r="AG143" s="87" t="str">
        <x:f>IF(OR(I143="",M143="",M143&lt;I143),"",(M143-I143)*1440)</x:f>
      </x:c>
      <x:c r="AH143" s="87" t="str">
        <x:f>IF(OR(M143="",N143="",N143&lt;M143),"",(N143-M143)*1440)</x:f>
      </x:c>
      <x:c r="AI143" s="87" t="str">
        <x:f>IF(OR(H143="",N143="",N143&lt;H143),"",(N143-H143)*1440)</x:f>
      </x:c>
      <x:c r="AJ143" s="87" t="str">
        <x:f>IF(OR(I143="",N143="",N143&lt;I143),"",(N143-I143)*1440)</x:f>
      </x:c>
      <x:c r="AK143" s="87" t="str">
        <x:f>IF(OR(N143="",O143="",O143&lt;N143),"",(O143-N143)*1440)</x:f>
      </x:c>
      <x:c r="AL143" s="87" t="str">
        <x:f>IF(OR(O143="",P143="",P143&lt;O143),"",(P143-O143)*1440)</x:f>
      </x:c>
      <x:c r="AM143" s="87" t="str">
        <x:f>IF(OR(Q143="",R143="",R143&lt;Q143),"",(R143-Q143)*1440)</x:f>
      </x:c>
      <x:c r="AN143" s="87" t="str">
        <x:f>IF(OR(S143="",T143="",T143&lt;S143),"",(T143-S143)*1440)</x:f>
      </x:c>
      <x:c r="AO143" s="87" t="str">
        <x:f>IF(OR(U143="",V143=""),"",V143-U143)</x:f>
      </x:c>
      <x:c r="AP143" s="63" t="str">
        <x:f>IF(A143="","",IF(OR(B143="",H143="",N143=""),"Incompleto",IF(N143&lt;H143,"Revisar",IF(OR(G143="",G143="Não observado"),"Qualidade E0 ausente",IF(OR(G143="Sensor",G143="Marcação física"),"Válido — E0 observado",IF(G143="Cálculo","Válido — E0 calculado","Válido — E0 estimado"))))))</x:f>
      </x:c>
      <x:c r="AQ143" s="63" t="str">
        <x:f>IF(A143="","",IF(COUNTA(H143:T143)&lt;13,"Incompleta",IF(OR(I143&lt;H143,J143&lt;I143,K143&lt;J143,L143&lt;K143,M143&lt;L143,N143&lt;M143,O143&lt;N143,P143&lt;O143,Q143&lt;P143,R143&lt;Q143,S143&lt;R143,T143&lt;S143),"Revisar","Completa")))</x:f>
      </x:c>
      <x:c r="AR143" s="87" t="str">
        <x:f>IF(OR(V143="",W143="",Y143=""),"",Y143-(V143-W143))</x:f>
      </x:c>
      <x:c r="AS143" s="63" t="str">
        <x:f>IF(A143="","",IF(AND(E143&lt;&gt;"",F143&lt;&gt;"",G143&lt;&gt;"",Z143&lt;&gt;"",AA143&lt;&gt;"",AB143&lt;&gt;"",AC143&lt;&gt;""),"Completa","Incompleta"))</x:f>
      </x:c>
      <x:c r="AT143" s="63" t="str">
        <x:f>IF(A143="","",IF(COUNTIF($A$11:$A$410,A143)&gt;1,"ID duplicado",IF(AND(AR143&lt;&gt;"",ABS(AR143)&gt;0.01),"Revisar balanço",IF(AND(W143&lt;&gt;"",V143&lt;&gt;"",W143&gt;V143),"Retirada &gt; estoque",IF(AND(U143&lt;&gt;"",U143&lt;'Cenário Base'!$D$8*'Cenário Base'!$D$74),"E0 abaixo do gatilho",IF(AND(V143&lt;&gt;"",V143&gt;XLOOKUP(B143,$A$414:$A$418,$B$414:$B$418)),"Excedeu capacidade","Sem alerta"))))))</x:f>
      </x:c>
    </x:row>
    <x:row r="144">
      <x:c r="A144" s="43"/>
      <x:c r="B144" s="43"/>
      <x:c r="C144" s="43"/>
      <x:c r="D144" s="43"/>
      <x:c r="E144" s="43"/>
      <x:c r="F144" s="43"/>
      <x:c r="G144" s="43"/>
      <x:c r="H144" s="120"/>
      <x:c r="I144" s="120"/>
      <x:c r="J144" s="120"/>
      <x:c r="K144" s="120"/>
      <x:c r="L144" s="120"/>
      <x:c r="M144" s="120"/>
      <x:c r="N144" s="120"/>
      <x:c r="O144" s="120"/>
      <x:c r="P144" s="120"/>
      <x:c r="Q144" s="120"/>
      <x:c r="R144" s="120"/>
      <x:c r="S144" s="120"/>
      <x:c r="T144" s="120"/>
      <x:c r="U144" s="48"/>
      <x:c r="V144" s="48"/>
      <x:c r="W144" s="48"/>
      <x:c r="X144" s="48"/>
      <x:c r="Y144" s="48"/>
      <x:c r="Z144" s="49"/>
      <x:c r="AA144" s="43"/>
      <x:c r="AB144" s="43"/>
      <x:c r="AC144" s="43"/>
      <x:c r="AD144" s="43"/>
      <x:c r="AE144" s="43"/>
      <x:c r="AF144" s="87" t="str">
        <x:f>IF(OR(H144="",I144="",I144&lt;H144),"",(I144-H144)*1440)</x:f>
      </x:c>
      <x:c r="AG144" s="87" t="str">
        <x:f>IF(OR(I144="",M144="",M144&lt;I144),"",(M144-I144)*1440)</x:f>
      </x:c>
      <x:c r="AH144" s="87" t="str">
        <x:f>IF(OR(M144="",N144="",N144&lt;M144),"",(N144-M144)*1440)</x:f>
      </x:c>
      <x:c r="AI144" s="87" t="str">
        <x:f>IF(OR(H144="",N144="",N144&lt;H144),"",(N144-H144)*1440)</x:f>
      </x:c>
      <x:c r="AJ144" s="87" t="str">
        <x:f>IF(OR(I144="",N144="",N144&lt;I144),"",(N144-I144)*1440)</x:f>
      </x:c>
      <x:c r="AK144" s="87" t="str">
        <x:f>IF(OR(N144="",O144="",O144&lt;N144),"",(O144-N144)*1440)</x:f>
      </x:c>
      <x:c r="AL144" s="87" t="str">
        <x:f>IF(OR(O144="",P144="",P144&lt;O144),"",(P144-O144)*1440)</x:f>
      </x:c>
      <x:c r="AM144" s="87" t="str">
        <x:f>IF(OR(Q144="",R144="",R144&lt;Q144),"",(R144-Q144)*1440)</x:f>
      </x:c>
      <x:c r="AN144" s="87" t="str">
        <x:f>IF(OR(S144="",T144="",T144&lt;S144),"",(T144-S144)*1440)</x:f>
      </x:c>
      <x:c r="AO144" s="87" t="str">
        <x:f>IF(OR(U144="",V144=""),"",V144-U144)</x:f>
      </x:c>
      <x:c r="AP144" s="63" t="str">
        <x:f>IF(A144="","",IF(OR(B144="",H144="",N144=""),"Incompleto",IF(N144&lt;H144,"Revisar",IF(OR(G144="",G144="Não observado"),"Qualidade E0 ausente",IF(OR(G144="Sensor",G144="Marcação física"),"Válido — E0 observado",IF(G144="Cálculo","Válido — E0 calculado","Válido — E0 estimado"))))))</x:f>
      </x:c>
      <x:c r="AQ144" s="63" t="str">
        <x:f>IF(A144="","",IF(COUNTA(H144:T144)&lt;13,"Incompleta",IF(OR(I144&lt;H144,J144&lt;I144,K144&lt;J144,L144&lt;K144,M144&lt;L144,N144&lt;M144,O144&lt;N144,P144&lt;O144,Q144&lt;P144,R144&lt;Q144,S144&lt;R144,T144&lt;S144),"Revisar","Completa")))</x:f>
      </x:c>
      <x:c r="AR144" s="87" t="str">
        <x:f>IF(OR(V144="",W144="",Y144=""),"",Y144-(V144-W144))</x:f>
      </x:c>
      <x:c r="AS144" s="63" t="str">
        <x:f>IF(A144="","",IF(AND(E144&lt;&gt;"",F144&lt;&gt;"",G144&lt;&gt;"",Z144&lt;&gt;"",AA144&lt;&gt;"",AB144&lt;&gt;"",AC144&lt;&gt;""),"Completa","Incompleta"))</x:f>
      </x:c>
      <x:c r="AT144" s="63" t="str">
        <x:f>IF(A144="","",IF(COUNTIF($A$11:$A$410,A144)&gt;1,"ID duplicado",IF(AND(AR144&lt;&gt;"",ABS(AR144)&gt;0.01),"Revisar balanço",IF(AND(W144&lt;&gt;"",V144&lt;&gt;"",W144&gt;V144),"Retirada &gt; estoque",IF(AND(U144&lt;&gt;"",U144&lt;'Cenário Base'!$D$8*'Cenário Base'!$D$74),"E0 abaixo do gatilho",IF(AND(V144&lt;&gt;"",V144&gt;XLOOKUP(B144,$A$414:$A$418,$B$414:$B$418)),"Excedeu capacidade","Sem alerta"))))))</x:f>
      </x:c>
    </x:row>
    <x:row r="145">
      <x:c r="A145" s="43"/>
      <x:c r="B145" s="43"/>
      <x:c r="C145" s="43"/>
      <x:c r="D145" s="43"/>
      <x:c r="E145" s="43"/>
      <x:c r="F145" s="43"/>
      <x:c r="G145" s="43"/>
      <x:c r="H145" s="120"/>
      <x:c r="I145" s="120"/>
      <x:c r="J145" s="120"/>
      <x:c r="K145" s="120"/>
      <x:c r="L145" s="120"/>
      <x:c r="M145" s="120"/>
      <x:c r="N145" s="120"/>
      <x:c r="O145" s="120"/>
      <x:c r="P145" s="120"/>
      <x:c r="Q145" s="120"/>
      <x:c r="R145" s="120"/>
      <x:c r="S145" s="120"/>
      <x:c r="T145" s="120"/>
      <x:c r="U145" s="48"/>
      <x:c r="V145" s="48"/>
      <x:c r="W145" s="48"/>
      <x:c r="X145" s="48"/>
      <x:c r="Y145" s="48"/>
      <x:c r="Z145" s="49"/>
      <x:c r="AA145" s="43"/>
      <x:c r="AB145" s="43"/>
      <x:c r="AC145" s="43"/>
      <x:c r="AD145" s="43"/>
      <x:c r="AE145" s="43"/>
      <x:c r="AF145" s="87" t="str">
        <x:f>IF(OR(H145="",I145="",I145&lt;H145),"",(I145-H145)*1440)</x:f>
      </x:c>
      <x:c r="AG145" s="87" t="str">
        <x:f>IF(OR(I145="",M145="",M145&lt;I145),"",(M145-I145)*1440)</x:f>
      </x:c>
      <x:c r="AH145" s="87" t="str">
        <x:f>IF(OR(M145="",N145="",N145&lt;M145),"",(N145-M145)*1440)</x:f>
      </x:c>
      <x:c r="AI145" s="87" t="str">
        <x:f>IF(OR(H145="",N145="",N145&lt;H145),"",(N145-H145)*1440)</x:f>
      </x:c>
      <x:c r="AJ145" s="87" t="str">
        <x:f>IF(OR(I145="",N145="",N145&lt;I145),"",(N145-I145)*1440)</x:f>
      </x:c>
      <x:c r="AK145" s="87" t="str">
        <x:f>IF(OR(N145="",O145="",O145&lt;N145),"",(O145-N145)*1440)</x:f>
      </x:c>
      <x:c r="AL145" s="87" t="str">
        <x:f>IF(OR(O145="",P145="",P145&lt;O145),"",(P145-O145)*1440)</x:f>
      </x:c>
      <x:c r="AM145" s="87" t="str">
        <x:f>IF(OR(Q145="",R145="",R145&lt;Q145),"",(R145-Q145)*1440)</x:f>
      </x:c>
      <x:c r="AN145" s="87" t="str">
        <x:f>IF(OR(S145="",T145="",T145&lt;S145),"",(T145-S145)*1440)</x:f>
      </x:c>
      <x:c r="AO145" s="87" t="str">
        <x:f>IF(OR(U145="",V145=""),"",V145-U145)</x:f>
      </x:c>
      <x:c r="AP145" s="63" t="str">
        <x:f>IF(A145="","",IF(OR(B145="",H145="",N145=""),"Incompleto",IF(N145&lt;H145,"Revisar",IF(OR(G145="",G145="Não observado"),"Qualidade E0 ausente",IF(OR(G145="Sensor",G145="Marcação física"),"Válido — E0 observado",IF(G145="Cálculo","Válido — E0 calculado","Válido — E0 estimado"))))))</x:f>
      </x:c>
      <x:c r="AQ145" s="63" t="str">
        <x:f>IF(A145="","",IF(COUNTA(H145:T145)&lt;13,"Incompleta",IF(OR(I145&lt;H145,J145&lt;I145,K145&lt;J145,L145&lt;K145,M145&lt;L145,N145&lt;M145,O145&lt;N145,P145&lt;O145,Q145&lt;P145,R145&lt;Q145,S145&lt;R145,T145&lt;S145),"Revisar","Completa")))</x:f>
      </x:c>
      <x:c r="AR145" s="87" t="str">
        <x:f>IF(OR(V145="",W145="",Y145=""),"",Y145-(V145-W145))</x:f>
      </x:c>
      <x:c r="AS145" s="63" t="str">
        <x:f>IF(A145="","",IF(AND(E145&lt;&gt;"",F145&lt;&gt;"",G145&lt;&gt;"",Z145&lt;&gt;"",AA145&lt;&gt;"",AB145&lt;&gt;"",AC145&lt;&gt;""),"Completa","Incompleta"))</x:f>
      </x:c>
      <x:c r="AT145" s="63" t="str">
        <x:f>IF(A145="","",IF(COUNTIF($A$11:$A$410,A145)&gt;1,"ID duplicado",IF(AND(AR145&lt;&gt;"",ABS(AR145)&gt;0.01),"Revisar balanço",IF(AND(W145&lt;&gt;"",V145&lt;&gt;"",W145&gt;V145),"Retirada &gt; estoque",IF(AND(U145&lt;&gt;"",U145&lt;'Cenário Base'!$D$8*'Cenário Base'!$D$74),"E0 abaixo do gatilho",IF(AND(V145&lt;&gt;"",V145&gt;XLOOKUP(B145,$A$414:$A$418,$B$414:$B$418)),"Excedeu capacidade","Sem alerta"))))))</x:f>
      </x:c>
    </x:row>
    <x:row r="146">
      <x:c r="A146" s="43"/>
      <x:c r="B146" s="43"/>
      <x:c r="C146" s="43"/>
      <x:c r="D146" s="43"/>
      <x:c r="E146" s="43"/>
      <x:c r="F146" s="43"/>
      <x:c r="G146" s="43"/>
      <x:c r="H146" s="120"/>
      <x:c r="I146" s="120"/>
      <x:c r="J146" s="120"/>
      <x:c r="K146" s="120"/>
      <x:c r="L146" s="120"/>
      <x:c r="M146" s="120"/>
      <x:c r="N146" s="120"/>
      <x:c r="O146" s="120"/>
      <x:c r="P146" s="120"/>
      <x:c r="Q146" s="120"/>
      <x:c r="R146" s="120"/>
      <x:c r="S146" s="120"/>
      <x:c r="T146" s="120"/>
      <x:c r="U146" s="48"/>
      <x:c r="V146" s="48"/>
      <x:c r="W146" s="48"/>
      <x:c r="X146" s="48"/>
      <x:c r="Y146" s="48"/>
      <x:c r="Z146" s="49"/>
      <x:c r="AA146" s="43"/>
      <x:c r="AB146" s="43"/>
      <x:c r="AC146" s="43"/>
      <x:c r="AD146" s="43"/>
      <x:c r="AE146" s="43"/>
      <x:c r="AF146" s="87" t="str">
        <x:f>IF(OR(H146="",I146="",I146&lt;H146),"",(I146-H146)*1440)</x:f>
      </x:c>
      <x:c r="AG146" s="87" t="str">
        <x:f>IF(OR(I146="",M146="",M146&lt;I146),"",(M146-I146)*1440)</x:f>
      </x:c>
      <x:c r="AH146" s="87" t="str">
        <x:f>IF(OR(M146="",N146="",N146&lt;M146),"",(N146-M146)*1440)</x:f>
      </x:c>
      <x:c r="AI146" s="87" t="str">
        <x:f>IF(OR(H146="",N146="",N146&lt;H146),"",(N146-H146)*1440)</x:f>
      </x:c>
      <x:c r="AJ146" s="87" t="str">
        <x:f>IF(OR(I146="",N146="",N146&lt;I146),"",(N146-I146)*1440)</x:f>
      </x:c>
      <x:c r="AK146" s="87" t="str">
        <x:f>IF(OR(N146="",O146="",O146&lt;N146),"",(O146-N146)*1440)</x:f>
      </x:c>
      <x:c r="AL146" s="87" t="str">
        <x:f>IF(OR(O146="",P146="",P146&lt;O146),"",(P146-O146)*1440)</x:f>
      </x:c>
      <x:c r="AM146" s="87" t="str">
        <x:f>IF(OR(Q146="",R146="",R146&lt;Q146),"",(R146-Q146)*1440)</x:f>
      </x:c>
      <x:c r="AN146" s="87" t="str">
        <x:f>IF(OR(S146="",T146="",T146&lt;S146),"",(T146-S146)*1440)</x:f>
      </x:c>
      <x:c r="AO146" s="87" t="str">
        <x:f>IF(OR(U146="",V146=""),"",V146-U146)</x:f>
      </x:c>
      <x:c r="AP146" s="63" t="str">
        <x:f>IF(A146="","",IF(OR(B146="",H146="",N146=""),"Incompleto",IF(N146&lt;H146,"Revisar",IF(OR(G146="",G146="Não observado"),"Qualidade E0 ausente",IF(OR(G146="Sensor",G146="Marcação física"),"Válido — E0 observado",IF(G146="Cálculo","Válido — E0 calculado","Válido — E0 estimado"))))))</x:f>
      </x:c>
      <x:c r="AQ146" s="63" t="str">
        <x:f>IF(A146="","",IF(COUNTA(H146:T146)&lt;13,"Incompleta",IF(OR(I146&lt;H146,J146&lt;I146,K146&lt;J146,L146&lt;K146,M146&lt;L146,N146&lt;M146,O146&lt;N146,P146&lt;O146,Q146&lt;P146,R146&lt;Q146,S146&lt;R146,T146&lt;S146),"Revisar","Completa")))</x:f>
      </x:c>
      <x:c r="AR146" s="87" t="str">
        <x:f>IF(OR(V146="",W146="",Y146=""),"",Y146-(V146-W146))</x:f>
      </x:c>
      <x:c r="AS146" s="63" t="str">
        <x:f>IF(A146="","",IF(AND(E146&lt;&gt;"",F146&lt;&gt;"",G146&lt;&gt;"",Z146&lt;&gt;"",AA146&lt;&gt;"",AB146&lt;&gt;"",AC146&lt;&gt;""),"Completa","Incompleta"))</x:f>
      </x:c>
      <x:c r="AT146" s="63" t="str">
        <x:f>IF(A146="","",IF(COUNTIF($A$11:$A$410,A146)&gt;1,"ID duplicado",IF(AND(AR146&lt;&gt;"",ABS(AR146)&gt;0.01),"Revisar balanço",IF(AND(W146&lt;&gt;"",V146&lt;&gt;"",W146&gt;V146),"Retirada &gt; estoque",IF(AND(U146&lt;&gt;"",U146&lt;'Cenário Base'!$D$8*'Cenário Base'!$D$74),"E0 abaixo do gatilho",IF(AND(V146&lt;&gt;"",V146&gt;XLOOKUP(B146,$A$414:$A$418,$B$414:$B$418)),"Excedeu capacidade","Sem alerta"))))))</x:f>
      </x:c>
    </x:row>
    <x:row r="147">
      <x:c r="A147" s="43"/>
      <x:c r="B147" s="43"/>
      <x:c r="C147" s="43"/>
      <x:c r="D147" s="43"/>
      <x:c r="E147" s="43"/>
      <x:c r="F147" s="43"/>
      <x:c r="G147" s="43"/>
      <x:c r="H147" s="120"/>
      <x:c r="I147" s="120"/>
      <x:c r="J147" s="120"/>
      <x:c r="K147" s="120"/>
      <x:c r="L147" s="120"/>
      <x:c r="M147" s="120"/>
      <x:c r="N147" s="120"/>
      <x:c r="O147" s="120"/>
      <x:c r="P147" s="120"/>
      <x:c r="Q147" s="120"/>
      <x:c r="R147" s="120"/>
      <x:c r="S147" s="120"/>
      <x:c r="T147" s="120"/>
      <x:c r="U147" s="48"/>
      <x:c r="V147" s="48"/>
      <x:c r="W147" s="48"/>
      <x:c r="X147" s="48"/>
      <x:c r="Y147" s="48"/>
      <x:c r="Z147" s="49"/>
      <x:c r="AA147" s="43"/>
      <x:c r="AB147" s="43"/>
      <x:c r="AC147" s="43"/>
      <x:c r="AD147" s="43"/>
      <x:c r="AE147" s="43"/>
      <x:c r="AF147" s="87" t="str">
        <x:f>IF(OR(H147="",I147="",I147&lt;H147),"",(I147-H147)*1440)</x:f>
      </x:c>
      <x:c r="AG147" s="87" t="str">
        <x:f>IF(OR(I147="",M147="",M147&lt;I147),"",(M147-I147)*1440)</x:f>
      </x:c>
      <x:c r="AH147" s="87" t="str">
        <x:f>IF(OR(M147="",N147="",N147&lt;M147),"",(N147-M147)*1440)</x:f>
      </x:c>
      <x:c r="AI147" s="87" t="str">
        <x:f>IF(OR(H147="",N147="",N147&lt;H147),"",(N147-H147)*1440)</x:f>
      </x:c>
      <x:c r="AJ147" s="87" t="str">
        <x:f>IF(OR(I147="",N147="",N147&lt;I147),"",(N147-I147)*1440)</x:f>
      </x:c>
      <x:c r="AK147" s="87" t="str">
        <x:f>IF(OR(N147="",O147="",O147&lt;N147),"",(O147-N147)*1440)</x:f>
      </x:c>
      <x:c r="AL147" s="87" t="str">
        <x:f>IF(OR(O147="",P147="",P147&lt;O147),"",(P147-O147)*1440)</x:f>
      </x:c>
      <x:c r="AM147" s="87" t="str">
        <x:f>IF(OR(Q147="",R147="",R147&lt;Q147),"",(R147-Q147)*1440)</x:f>
      </x:c>
      <x:c r="AN147" s="87" t="str">
        <x:f>IF(OR(S147="",T147="",T147&lt;S147),"",(T147-S147)*1440)</x:f>
      </x:c>
      <x:c r="AO147" s="87" t="str">
        <x:f>IF(OR(U147="",V147=""),"",V147-U147)</x:f>
      </x:c>
      <x:c r="AP147" s="63" t="str">
        <x:f>IF(A147="","",IF(OR(B147="",H147="",N147=""),"Incompleto",IF(N147&lt;H147,"Revisar",IF(OR(G147="",G147="Não observado"),"Qualidade E0 ausente",IF(OR(G147="Sensor",G147="Marcação física"),"Válido — E0 observado",IF(G147="Cálculo","Válido — E0 calculado","Válido — E0 estimado"))))))</x:f>
      </x:c>
      <x:c r="AQ147" s="63" t="str">
        <x:f>IF(A147="","",IF(COUNTA(H147:T147)&lt;13,"Incompleta",IF(OR(I147&lt;H147,J147&lt;I147,K147&lt;J147,L147&lt;K147,M147&lt;L147,N147&lt;M147,O147&lt;N147,P147&lt;O147,Q147&lt;P147,R147&lt;Q147,S147&lt;R147,T147&lt;S147),"Revisar","Completa")))</x:f>
      </x:c>
      <x:c r="AR147" s="87" t="str">
        <x:f>IF(OR(V147="",W147="",Y147=""),"",Y147-(V147-W147))</x:f>
      </x:c>
      <x:c r="AS147" s="63" t="str">
        <x:f>IF(A147="","",IF(AND(E147&lt;&gt;"",F147&lt;&gt;"",G147&lt;&gt;"",Z147&lt;&gt;"",AA147&lt;&gt;"",AB147&lt;&gt;"",AC147&lt;&gt;""),"Completa","Incompleta"))</x:f>
      </x:c>
      <x:c r="AT147" s="63" t="str">
        <x:f>IF(A147="","",IF(COUNTIF($A$11:$A$410,A147)&gt;1,"ID duplicado",IF(AND(AR147&lt;&gt;"",ABS(AR147)&gt;0.01),"Revisar balanço",IF(AND(W147&lt;&gt;"",V147&lt;&gt;"",W147&gt;V147),"Retirada &gt; estoque",IF(AND(U147&lt;&gt;"",U147&lt;'Cenário Base'!$D$8*'Cenário Base'!$D$74),"E0 abaixo do gatilho",IF(AND(V147&lt;&gt;"",V147&gt;XLOOKUP(B147,$A$414:$A$418,$B$414:$B$418)),"Excedeu capacidade","Sem alerta"))))))</x:f>
      </x:c>
    </x:row>
    <x:row r="148">
      <x:c r="A148" s="43"/>
      <x:c r="B148" s="43"/>
      <x:c r="C148" s="43"/>
      <x:c r="D148" s="43"/>
      <x:c r="E148" s="43"/>
      <x:c r="F148" s="43"/>
      <x:c r="G148" s="43"/>
      <x:c r="H148" s="120"/>
      <x:c r="I148" s="120"/>
      <x:c r="J148" s="120"/>
      <x:c r="K148" s="120"/>
      <x:c r="L148" s="120"/>
      <x:c r="M148" s="120"/>
      <x:c r="N148" s="120"/>
      <x:c r="O148" s="120"/>
      <x:c r="P148" s="120"/>
      <x:c r="Q148" s="120"/>
      <x:c r="R148" s="120"/>
      <x:c r="S148" s="120"/>
      <x:c r="T148" s="120"/>
      <x:c r="U148" s="48"/>
      <x:c r="V148" s="48"/>
      <x:c r="W148" s="48"/>
      <x:c r="X148" s="48"/>
      <x:c r="Y148" s="48"/>
      <x:c r="Z148" s="49"/>
      <x:c r="AA148" s="43"/>
      <x:c r="AB148" s="43"/>
      <x:c r="AC148" s="43"/>
      <x:c r="AD148" s="43"/>
      <x:c r="AE148" s="43"/>
      <x:c r="AF148" s="87" t="str">
        <x:f>IF(OR(H148="",I148="",I148&lt;H148),"",(I148-H148)*1440)</x:f>
      </x:c>
      <x:c r="AG148" s="87" t="str">
        <x:f>IF(OR(I148="",M148="",M148&lt;I148),"",(M148-I148)*1440)</x:f>
      </x:c>
      <x:c r="AH148" s="87" t="str">
        <x:f>IF(OR(M148="",N148="",N148&lt;M148),"",(N148-M148)*1440)</x:f>
      </x:c>
      <x:c r="AI148" s="87" t="str">
        <x:f>IF(OR(H148="",N148="",N148&lt;H148),"",(N148-H148)*1440)</x:f>
      </x:c>
      <x:c r="AJ148" s="87" t="str">
        <x:f>IF(OR(I148="",N148="",N148&lt;I148),"",(N148-I148)*1440)</x:f>
      </x:c>
      <x:c r="AK148" s="87" t="str">
        <x:f>IF(OR(N148="",O148="",O148&lt;N148),"",(O148-N148)*1440)</x:f>
      </x:c>
      <x:c r="AL148" s="87" t="str">
        <x:f>IF(OR(O148="",P148="",P148&lt;O148),"",(P148-O148)*1440)</x:f>
      </x:c>
      <x:c r="AM148" s="87" t="str">
        <x:f>IF(OR(Q148="",R148="",R148&lt;Q148),"",(R148-Q148)*1440)</x:f>
      </x:c>
      <x:c r="AN148" s="87" t="str">
        <x:f>IF(OR(S148="",T148="",T148&lt;S148),"",(T148-S148)*1440)</x:f>
      </x:c>
      <x:c r="AO148" s="87" t="str">
        <x:f>IF(OR(U148="",V148=""),"",V148-U148)</x:f>
      </x:c>
      <x:c r="AP148" s="63" t="str">
        <x:f>IF(A148="","",IF(OR(B148="",H148="",N148=""),"Incompleto",IF(N148&lt;H148,"Revisar",IF(OR(G148="",G148="Não observado"),"Qualidade E0 ausente",IF(OR(G148="Sensor",G148="Marcação física"),"Válido — E0 observado",IF(G148="Cálculo","Válido — E0 calculado","Válido — E0 estimado"))))))</x:f>
      </x:c>
      <x:c r="AQ148" s="63" t="str">
        <x:f>IF(A148="","",IF(COUNTA(H148:T148)&lt;13,"Incompleta",IF(OR(I148&lt;H148,J148&lt;I148,K148&lt;J148,L148&lt;K148,M148&lt;L148,N148&lt;M148,O148&lt;N148,P148&lt;O148,Q148&lt;P148,R148&lt;Q148,S148&lt;R148,T148&lt;S148),"Revisar","Completa")))</x:f>
      </x:c>
      <x:c r="AR148" s="87" t="str">
        <x:f>IF(OR(V148="",W148="",Y148=""),"",Y148-(V148-W148))</x:f>
      </x:c>
      <x:c r="AS148" s="63" t="str">
        <x:f>IF(A148="","",IF(AND(E148&lt;&gt;"",F148&lt;&gt;"",G148&lt;&gt;"",Z148&lt;&gt;"",AA148&lt;&gt;"",AB148&lt;&gt;"",AC148&lt;&gt;""),"Completa","Incompleta"))</x:f>
      </x:c>
      <x:c r="AT148" s="63" t="str">
        <x:f>IF(A148="","",IF(COUNTIF($A$11:$A$410,A148)&gt;1,"ID duplicado",IF(AND(AR148&lt;&gt;"",ABS(AR148)&gt;0.01),"Revisar balanço",IF(AND(W148&lt;&gt;"",V148&lt;&gt;"",W148&gt;V148),"Retirada &gt; estoque",IF(AND(U148&lt;&gt;"",U148&lt;'Cenário Base'!$D$8*'Cenário Base'!$D$74),"E0 abaixo do gatilho",IF(AND(V148&lt;&gt;"",V148&gt;XLOOKUP(B148,$A$414:$A$418,$B$414:$B$418)),"Excedeu capacidade","Sem alerta"))))))</x:f>
      </x:c>
    </x:row>
    <x:row r="149">
      <x:c r="A149" s="43"/>
      <x:c r="B149" s="43"/>
      <x:c r="C149" s="43"/>
      <x:c r="D149" s="43"/>
      <x:c r="E149" s="43"/>
      <x:c r="F149" s="43"/>
      <x:c r="G149" s="43"/>
      <x:c r="H149" s="120"/>
      <x:c r="I149" s="120"/>
      <x:c r="J149" s="120"/>
      <x:c r="K149" s="120"/>
      <x:c r="L149" s="120"/>
      <x:c r="M149" s="120"/>
      <x:c r="N149" s="120"/>
      <x:c r="O149" s="120"/>
      <x:c r="P149" s="120"/>
      <x:c r="Q149" s="120"/>
      <x:c r="R149" s="120"/>
      <x:c r="S149" s="120"/>
      <x:c r="T149" s="120"/>
      <x:c r="U149" s="48"/>
      <x:c r="V149" s="48"/>
      <x:c r="W149" s="48"/>
      <x:c r="X149" s="48"/>
      <x:c r="Y149" s="48"/>
      <x:c r="Z149" s="49"/>
      <x:c r="AA149" s="43"/>
      <x:c r="AB149" s="43"/>
      <x:c r="AC149" s="43"/>
      <x:c r="AD149" s="43"/>
      <x:c r="AE149" s="43"/>
      <x:c r="AF149" s="87" t="str">
        <x:f>IF(OR(H149="",I149="",I149&lt;H149),"",(I149-H149)*1440)</x:f>
      </x:c>
      <x:c r="AG149" s="87" t="str">
        <x:f>IF(OR(I149="",M149="",M149&lt;I149),"",(M149-I149)*1440)</x:f>
      </x:c>
      <x:c r="AH149" s="87" t="str">
        <x:f>IF(OR(M149="",N149="",N149&lt;M149),"",(N149-M149)*1440)</x:f>
      </x:c>
      <x:c r="AI149" s="87" t="str">
        <x:f>IF(OR(H149="",N149="",N149&lt;H149),"",(N149-H149)*1440)</x:f>
      </x:c>
      <x:c r="AJ149" s="87" t="str">
        <x:f>IF(OR(I149="",N149="",N149&lt;I149),"",(N149-I149)*1440)</x:f>
      </x:c>
      <x:c r="AK149" s="87" t="str">
        <x:f>IF(OR(N149="",O149="",O149&lt;N149),"",(O149-N149)*1440)</x:f>
      </x:c>
      <x:c r="AL149" s="87" t="str">
        <x:f>IF(OR(O149="",P149="",P149&lt;O149),"",(P149-O149)*1440)</x:f>
      </x:c>
      <x:c r="AM149" s="87" t="str">
        <x:f>IF(OR(Q149="",R149="",R149&lt;Q149),"",(R149-Q149)*1440)</x:f>
      </x:c>
      <x:c r="AN149" s="87" t="str">
        <x:f>IF(OR(S149="",T149="",T149&lt;S149),"",(T149-S149)*1440)</x:f>
      </x:c>
      <x:c r="AO149" s="87" t="str">
        <x:f>IF(OR(U149="",V149=""),"",V149-U149)</x:f>
      </x:c>
      <x:c r="AP149" s="63" t="str">
        <x:f>IF(A149="","",IF(OR(B149="",H149="",N149=""),"Incompleto",IF(N149&lt;H149,"Revisar",IF(OR(G149="",G149="Não observado"),"Qualidade E0 ausente",IF(OR(G149="Sensor",G149="Marcação física"),"Válido — E0 observado",IF(G149="Cálculo","Válido — E0 calculado","Válido — E0 estimado"))))))</x:f>
      </x:c>
      <x:c r="AQ149" s="63" t="str">
        <x:f>IF(A149="","",IF(COUNTA(H149:T149)&lt;13,"Incompleta",IF(OR(I149&lt;H149,J149&lt;I149,K149&lt;J149,L149&lt;K149,M149&lt;L149,N149&lt;M149,O149&lt;N149,P149&lt;O149,Q149&lt;P149,R149&lt;Q149,S149&lt;R149,T149&lt;S149),"Revisar","Completa")))</x:f>
      </x:c>
      <x:c r="AR149" s="87" t="str">
        <x:f>IF(OR(V149="",W149="",Y149=""),"",Y149-(V149-W149))</x:f>
      </x:c>
      <x:c r="AS149" s="63" t="str">
        <x:f>IF(A149="","",IF(AND(E149&lt;&gt;"",F149&lt;&gt;"",G149&lt;&gt;"",Z149&lt;&gt;"",AA149&lt;&gt;"",AB149&lt;&gt;"",AC149&lt;&gt;""),"Completa","Incompleta"))</x:f>
      </x:c>
      <x:c r="AT149" s="63" t="str">
        <x:f>IF(A149="","",IF(COUNTIF($A$11:$A$410,A149)&gt;1,"ID duplicado",IF(AND(AR149&lt;&gt;"",ABS(AR149)&gt;0.01),"Revisar balanço",IF(AND(W149&lt;&gt;"",V149&lt;&gt;"",W149&gt;V149),"Retirada &gt; estoque",IF(AND(U149&lt;&gt;"",U149&lt;'Cenário Base'!$D$8*'Cenário Base'!$D$74),"E0 abaixo do gatilho",IF(AND(V149&lt;&gt;"",V149&gt;XLOOKUP(B149,$A$414:$A$418,$B$414:$B$418)),"Excedeu capacidade","Sem alerta"))))))</x:f>
      </x:c>
    </x:row>
    <x:row r="150">
      <x:c r="A150" s="43"/>
      <x:c r="B150" s="43"/>
      <x:c r="C150" s="43"/>
      <x:c r="D150" s="43"/>
      <x:c r="E150" s="43"/>
      <x:c r="F150" s="43"/>
      <x:c r="G150" s="43"/>
      <x:c r="H150" s="120"/>
      <x:c r="I150" s="120"/>
      <x:c r="J150" s="120"/>
      <x:c r="K150" s="120"/>
      <x:c r="L150" s="120"/>
      <x:c r="M150" s="120"/>
      <x:c r="N150" s="120"/>
      <x:c r="O150" s="120"/>
      <x:c r="P150" s="120"/>
      <x:c r="Q150" s="120"/>
      <x:c r="R150" s="120"/>
      <x:c r="S150" s="120"/>
      <x:c r="T150" s="120"/>
      <x:c r="U150" s="48"/>
      <x:c r="V150" s="48"/>
      <x:c r="W150" s="48"/>
      <x:c r="X150" s="48"/>
      <x:c r="Y150" s="48"/>
      <x:c r="Z150" s="49"/>
      <x:c r="AA150" s="43"/>
      <x:c r="AB150" s="43"/>
      <x:c r="AC150" s="43"/>
      <x:c r="AD150" s="43"/>
      <x:c r="AE150" s="43"/>
      <x:c r="AF150" s="87" t="str">
        <x:f>IF(OR(H150="",I150="",I150&lt;H150),"",(I150-H150)*1440)</x:f>
      </x:c>
      <x:c r="AG150" s="87" t="str">
        <x:f>IF(OR(I150="",M150="",M150&lt;I150),"",(M150-I150)*1440)</x:f>
      </x:c>
      <x:c r="AH150" s="87" t="str">
        <x:f>IF(OR(M150="",N150="",N150&lt;M150),"",(N150-M150)*1440)</x:f>
      </x:c>
      <x:c r="AI150" s="87" t="str">
        <x:f>IF(OR(H150="",N150="",N150&lt;H150),"",(N150-H150)*1440)</x:f>
      </x:c>
      <x:c r="AJ150" s="87" t="str">
        <x:f>IF(OR(I150="",N150="",N150&lt;I150),"",(N150-I150)*1440)</x:f>
      </x:c>
      <x:c r="AK150" s="87" t="str">
        <x:f>IF(OR(N150="",O150="",O150&lt;N150),"",(O150-N150)*1440)</x:f>
      </x:c>
      <x:c r="AL150" s="87" t="str">
        <x:f>IF(OR(O150="",P150="",P150&lt;O150),"",(P150-O150)*1440)</x:f>
      </x:c>
      <x:c r="AM150" s="87" t="str">
        <x:f>IF(OR(Q150="",R150="",R150&lt;Q150),"",(R150-Q150)*1440)</x:f>
      </x:c>
      <x:c r="AN150" s="87" t="str">
        <x:f>IF(OR(S150="",T150="",T150&lt;S150),"",(T150-S150)*1440)</x:f>
      </x:c>
      <x:c r="AO150" s="87" t="str">
        <x:f>IF(OR(U150="",V150=""),"",V150-U150)</x:f>
      </x:c>
      <x:c r="AP150" s="63" t="str">
        <x:f>IF(A150="","",IF(OR(B150="",H150="",N150=""),"Incompleto",IF(N150&lt;H150,"Revisar",IF(OR(G150="",G150="Não observado"),"Qualidade E0 ausente",IF(OR(G150="Sensor",G150="Marcação física"),"Válido — E0 observado",IF(G150="Cálculo","Válido — E0 calculado","Válido — E0 estimado"))))))</x:f>
      </x:c>
      <x:c r="AQ150" s="63" t="str">
        <x:f>IF(A150="","",IF(COUNTA(H150:T150)&lt;13,"Incompleta",IF(OR(I150&lt;H150,J150&lt;I150,K150&lt;J150,L150&lt;K150,M150&lt;L150,N150&lt;M150,O150&lt;N150,P150&lt;O150,Q150&lt;P150,R150&lt;Q150,S150&lt;R150,T150&lt;S150),"Revisar","Completa")))</x:f>
      </x:c>
      <x:c r="AR150" s="87" t="str">
        <x:f>IF(OR(V150="",W150="",Y150=""),"",Y150-(V150-W150))</x:f>
      </x:c>
      <x:c r="AS150" s="63" t="str">
        <x:f>IF(A150="","",IF(AND(E150&lt;&gt;"",F150&lt;&gt;"",G150&lt;&gt;"",Z150&lt;&gt;"",AA150&lt;&gt;"",AB150&lt;&gt;"",AC150&lt;&gt;""),"Completa","Incompleta"))</x:f>
      </x:c>
      <x:c r="AT150" s="63" t="str">
        <x:f>IF(A150="","",IF(COUNTIF($A$11:$A$410,A150)&gt;1,"ID duplicado",IF(AND(AR150&lt;&gt;"",ABS(AR150)&gt;0.01),"Revisar balanço",IF(AND(W150&lt;&gt;"",V150&lt;&gt;"",W150&gt;V150),"Retirada &gt; estoque",IF(AND(U150&lt;&gt;"",U150&lt;'Cenário Base'!$D$8*'Cenário Base'!$D$74),"E0 abaixo do gatilho",IF(AND(V150&lt;&gt;"",V150&gt;XLOOKUP(B150,$A$414:$A$418,$B$414:$B$418)),"Excedeu capacidade","Sem alerta"))))))</x:f>
      </x:c>
    </x:row>
    <x:row r="151">
      <x:c r="A151" s="43"/>
      <x:c r="B151" s="43"/>
      <x:c r="C151" s="43"/>
      <x:c r="D151" s="43"/>
      <x:c r="E151" s="43"/>
      <x:c r="F151" s="43"/>
      <x:c r="G151" s="43"/>
      <x:c r="H151" s="120"/>
      <x:c r="I151" s="120"/>
      <x:c r="J151" s="120"/>
      <x:c r="K151" s="120"/>
      <x:c r="L151" s="120"/>
      <x:c r="M151" s="120"/>
      <x:c r="N151" s="120"/>
      <x:c r="O151" s="120"/>
      <x:c r="P151" s="120"/>
      <x:c r="Q151" s="120"/>
      <x:c r="R151" s="120"/>
      <x:c r="S151" s="120"/>
      <x:c r="T151" s="120"/>
      <x:c r="U151" s="48"/>
      <x:c r="V151" s="48"/>
      <x:c r="W151" s="48"/>
      <x:c r="X151" s="48"/>
      <x:c r="Y151" s="48"/>
      <x:c r="Z151" s="49"/>
      <x:c r="AA151" s="43"/>
      <x:c r="AB151" s="43"/>
      <x:c r="AC151" s="43"/>
      <x:c r="AD151" s="43"/>
      <x:c r="AE151" s="43"/>
      <x:c r="AF151" s="87" t="str">
        <x:f>IF(OR(H151="",I151="",I151&lt;H151),"",(I151-H151)*1440)</x:f>
      </x:c>
      <x:c r="AG151" s="87" t="str">
        <x:f>IF(OR(I151="",M151="",M151&lt;I151),"",(M151-I151)*1440)</x:f>
      </x:c>
      <x:c r="AH151" s="87" t="str">
        <x:f>IF(OR(M151="",N151="",N151&lt;M151),"",(N151-M151)*1440)</x:f>
      </x:c>
      <x:c r="AI151" s="87" t="str">
        <x:f>IF(OR(H151="",N151="",N151&lt;H151),"",(N151-H151)*1440)</x:f>
      </x:c>
      <x:c r="AJ151" s="87" t="str">
        <x:f>IF(OR(I151="",N151="",N151&lt;I151),"",(N151-I151)*1440)</x:f>
      </x:c>
      <x:c r="AK151" s="87" t="str">
        <x:f>IF(OR(N151="",O151="",O151&lt;N151),"",(O151-N151)*1440)</x:f>
      </x:c>
      <x:c r="AL151" s="87" t="str">
        <x:f>IF(OR(O151="",P151="",P151&lt;O151),"",(P151-O151)*1440)</x:f>
      </x:c>
      <x:c r="AM151" s="87" t="str">
        <x:f>IF(OR(Q151="",R151="",R151&lt;Q151),"",(R151-Q151)*1440)</x:f>
      </x:c>
      <x:c r="AN151" s="87" t="str">
        <x:f>IF(OR(S151="",T151="",T151&lt;S151),"",(T151-S151)*1440)</x:f>
      </x:c>
      <x:c r="AO151" s="87" t="str">
        <x:f>IF(OR(U151="",V151=""),"",V151-U151)</x:f>
      </x:c>
      <x:c r="AP151" s="63" t="str">
        <x:f>IF(A151="","",IF(OR(B151="",H151="",N151=""),"Incompleto",IF(N151&lt;H151,"Revisar",IF(OR(G151="",G151="Não observado"),"Qualidade E0 ausente",IF(OR(G151="Sensor",G151="Marcação física"),"Válido — E0 observado",IF(G151="Cálculo","Válido — E0 calculado","Válido — E0 estimado"))))))</x:f>
      </x:c>
      <x:c r="AQ151" s="63" t="str">
        <x:f>IF(A151="","",IF(COUNTA(H151:T151)&lt;13,"Incompleta",IF(OR(I151&lt;H151,J151&lt;I151,K151&lt;J151,L151&lt;K151,M151&lt;L151,N151&lt;M151,O151&lt;N151,P151&lt;O151,Q151&lt;P151,R151&lt;Q151,S151&lt;R151,T151&lt;S151),"Revisar","Completa")))</x:f>
      </x:c>
      <x:c r="AR151" s="87" t="str">
        <x:f>IF(OR(V151="",W151="",Y151=""),"",Y151-(V151-W151))</x:f>
      </x:c>
      <x:c r="AS151" s="63" t="str">
        <x:f>IF(A151="","",IF(AND(E151&lt;&gt;"",F151&lt;&gt;"",G151&lt;&gt;"",Z151&lt;&gt;"",AA151&lt;&gt;"",AB151&lt;&gt;"",AC151&lt;&gt;""),"Completa","Incompleta"))</x:f>
      </x:c>
      <x:c r="AT151" s="63" t="str">
        <x:f>IF(A151="","",IF(COUNTIF($A$11:$A$410,A151)&gt;1,"ID duplicado",IF(AND(AR151&lt;&gt;"",ABS(AR151)&gt;0.01),"Revisar balanço",IF(AND(W151&lt;&gt;"",V151&lt;&gt;"",W151&gt;V151),"Retirada &gt; estoque",IF(AND(U151&lt;&gt;"",U151&lt;'Cenário Base'!$D$8*'Cenário Base'!$D$74),"E0 abaixo do gatilho",IF(AND(V151&lt;&gt;"",V151&gt;XLOOKUP(B151,$A$414:$A$418,$B$414:$B$418)),"Excedeu capacidade","Sem alerta"))))))</x:f>
      </x:c>
    </x:row>
    <x:row r="152">
      <x:c r="A152" s="43"/>
      <x:c r="B152" s="43"/>
      <x:c r="C152" s="43"/>
      <x:c r="D152" s="43"/>
      <x:c r="E152" s="43"/>
      <x:c r="F152" s="43"/>
      <x:c r="G152" s="43"/>
      <x:c r="H152" s="120"/>
      <x:c r="I152" s="120"/>
      <x:c r="J152" s="120"/>
      <x:c r="K152" s="120"/>
      <x:c r="L152" s="120"/>
      <x:c r="M152" s="120"/>
      <x:c r="N152" s="120"/>
      <x:c r="O152" s="120"/>
      <x:c r="P152" s="120"/>
      <x:c r="Q152" s="120"/>
      <x:c r="R152" s="120"/>
      <x:c r="S152" s="120"/>
      <x:c r="T152" s="120"/>
      <x:c r="U152" s="48"/>
      <x:c r="V152" s="48"/>
      <x:c r="W152" s="48"/>
      <x:c r="X152" s="48"/>
      <x:c r="Y152" s="48"/>
      <x:c r="Z152" s="49"/>
      <x:c r="AA152" s="43"/>
      <x:c r="AB152" s="43"/>
      <x:c r="AC152" s="43"/>
      <x:c r="AD152" s="43"/>
      <x:c r="AE152" s="43"/>
      <x:c r="AF152" s="87" t="str">
        <x:f>IF(OR(H152="",I152="",I152&lt;H152),"",(I152-H152)*1440)</x:f>
      </x:c>
      <x:c r="AG152" s="87" t="str">
        <x:f>IF(OR(I152="",M152="",M152&lt;I152),"",(M152-I152)*1440)</x:f>
      </x:c>
      <x:c r="AH152" s="87" t="str">
        <x:f>IF(OR(M152="",N152="",N152&lt;M152),"",(N152-M152)*1440)</x:f>
      </x:c>
      <x:c r="AI152" s="87" t="str">
        <x:f>IF(OR(H152="",N152="",N152&lt;H152),"",(N152-H152)*1440)</x:f>
      </x:c>
      <x:c r="AJ152" s="87" t="str">
        <x:f>IF(OR(I152="",N152="",N152&lt;I152),"",(N152-I152)*1440)</x:f>
      </x:c>
      <x:c r="AK152" s="87" t="str">
        <x:f>IF(OR(N152="",O152="",O152&lt;N152),"",(O152-N152)*1440)</x:f>
      </x:c>
      <x:c r="AL152" s="87" t="str">
        <x:f>IF(OR(O152="",P152="",P152&lt;O152),"",(P152-O152)*1440)</x:f>
      </x:c>
      <x:c r="AM152" s="87" t="str">
        <x:f>IF(OR(Q152="",R152="",R152&lt;Q152),"",(R152-Q152)*1440)</x:f>
      </x:c>
      <x:c r="AN152" s="87" t="str">
        <x:f>IF(OR(S152="",T152="",T152&lt;S152),"",(T152-S152)*1440)</x:f>
      </x:c>
      <x:c r="AO152" s="87" t="str">
        <x:f>IF(OR(U152="",V152=""),"",V152-U152)</x:f>
      </x:c>
      <x:c r="AP152" s="63" t="str">
        <x:f>IF(A152="","",IF(OR(B152="",H152="",N152=""),"Incompleto",IF(N152&lt;H152,"Revisar",IF(OR(G152="",G152="Não observado"),"Qualidade E0 ausente",IF(OR(G152="Sensor",G152="Marcação física"),"Válido — E0 observado",IF(G152="Cálculo","Válido — E0 calculado","Válido — E0 estimado"))))))</x:f>
      </x:c>
      <x:c r="AQ152" s="63" t="str">
        <x:f>IF(A152="","",IF(COUNTA(H152:T152)&lt;13,"Incompleta",IF(OR(I152&lt;H152,J152&lt;I152,K152&lt;J152,L152&lt;K152,M152&lt;L152,N152&lt;M152,O152&lt;N152,P152&lt;O152,Q152&lt;P152,R152&lt;Q152,S152&lt;R152,T152&lt;S152),"Revisar","Completa")))</x:f>
      </x:c>
      <x:c r="AR152" s="87" t="str">
        <x:f>IF(OR(V152="",W152="",Y152=""),"",Y152-(V152-W152))</x:f>
      </x:c>
      <x:c r="AS152" s="63" t="str">
        <x:f>IF(A152="","",IF(AND(E152&lt;&gt;"",F152&lt;&gt;"",G152&lt;&gt;"",Z152&lt;&gt;"",AA152&lt;&gt;"",AB152&lt;&gt;"",AC152&lt;&gt;""),"Completa","Incompleta"))</x:f>
      </x:c>
      <x:c r="AT152" s="63" t="str">
        <x:f>IF(A152="","",IF(COUNTIF($A$11:$A$410,A152)&gt;1,"ID duplicado",IF(AND(AR152&lt;&gt;"",ABS(AR152)&gt;0.01),"Revisar balanço",IF(AND(W152&lt;&gt;"",V152&lt;&gt;"",W152&gt;V152),"Retirada &gt; estoque",IF(AND(U152&lt;&gt;"",U152&lt;'Cenário Base'!$D$8*'Cenário Base'!$D$74),"E0 abaixo do gatilho",IF(AND(V152&lt;&gt;"",V152&gt;XLOOKUP(B152,$A$414:$A$418,$B$414:$B$418)),"Excedeu capacidade","Sem alerta"))))))</x:f>
      </x:c>
    </x:row>
    <x:row r="153">
      <x:c r="A153" s="43"/>
      <x:c r="B153" s="43"/>
      <x:c r="C153" s="43"/>
      <x:c r="D153" s="43"/>
      <x:c r="E153" s="43"/>
      <x:c r="F153" s="43"/>
      <x:c r="G153" s="43"/>
      <x:c r="H153" s="120"/>
      <x:c r="I153" s="120"/>
      <x:c r="J153" s="120"/>
      <x:c r="K153" s="120"/>
      <x:c r="L153" s="120"/>
      <x:c r="M153" s="120"/>
      <x:c r="N153" s="120"/>
      <x:c r="O153" s="120"/>
      <x:c r="P153" s="120"/>
      <x:c r="Q153" s="120"/>
      <x:c r="R153" s="120"/>
      <x:c r="S153" s="120"/>
      <x:c r="T153" s="120"/>
      <x:c r="U153" s="48"/>
      <x:c r="V153" s="48"/>
      <x:c r="W153" s="48"/>
      <x:c r="X153" s="48"/>
      <x:c r="Y153" s="48"/>
      <x:c r="Z153" s="49"/>
      <x:c r="AA153" s="43"/>
      <x:c r="AB153" s="43"/>
      <x:c r="AC153" s="43"/>
      <x:c r="AD153" s="43"/>
      <x:c r="AE153" s="43"/>
      <x:c r="AF153" s="87" t="str">
        <x:f>IF(OR(H153="",I153="",I153&lt;H153),"",(I153-H153)*1440)</x:f>
      </x:c>
      <x:c r="AG153" s="87" t="str">
        <x:f>IF(OR(I153="",M153="",M153&lt;I153),"",(M153-I153)*1440)</x:f>
      </x:c>
      <x:c r="AH153" s="87" t="str">
        <x:f>IF(OR(M153="",N153="",N153&lt;M153),"",(N153-M153)*1440)</x:f>
      </x:c>
      <x:c r="AI153" s="87" t="str">
        <x:f>IF(OR(H153="",N153="",N153&lt;H153),"",(N153-H153)*1440)</x:f>
      </x:c>
      <x:c r="AJ153" s="87" t="str">
        <x:f>IF(OR(I153="",N153="",N153&lt;I153),"",(N153-I153)*1440)</x:f>
      </x:c>
      <x:c r="AK153" s="87" t="str">
        <x:f>IF(OR(N153="",O153="",O153&lt;N153),"",(O153-N153)*1440)</x:f>
      </x:c>
      <x:c r="AL153" s="87" t="str">
        <x:f>IF(OR(O153="",P153="",P153&lt;O153),"",(P153-O153)*1440)</x:f>
      </x:c>
      <x:c r="AM153" s="87" t="str">
        <x:f>IF(OR(Q153="",R153="",R153&lt;Q153),"",(R153-Q153)*1440)</x:f>
      </x:c>
      <x:c r="AN153" s="87" t="str">
        <x:f>IF(OR(S153="",T153="",T153&lt;S153),"",(T153-S153)*1440)</x:f>
      </x:c>
      <x:c r="AO153" s="87" t="str">
        <x:f>IF(OR(U153="",V153=""),"",V153-U153)</x:f>
      </x:c>
      <x:c r="AP153" s="63" t="str">
        <x:f>IF(A153="","",IF(OR(B153="",H153="",N153=""),"Incompleto",IF(N153&lt;H153,"Revisar",IF(OR(G153="",G153="Não observado"),"Qualidade E0 ausente",IF(OR(G153="Sensor",G153="Marcação física"),"Válido — E0 observado",IF(G153="Cálculo","Válido — E0 calculado","Válido — E0 estimado"))))))</x:f>
      </x:c>
      <x:c r="AQ153" s="63" t="str">
        <x:f>IF(A153="","",IF(COUNTA(H153:T153)&lt;13,"Incompleta",IF(OR(I153&lt;H153,J153&lt;I153,K153&lt;J153,L153&lt;K153,M153&lt;L153,N153&lt;M153,O153&lt;N153,P153&lt;O153,Q153&lt;P153,R153&lt;Q153,S153&lt;R153,T153&lt;S153),"Revisar","Completa")))</x:f>
      </x:c>
      <x:c r="AR153" s="87" t="str">
        <x:f>IF(OR(V153="",W153="",Y153=""),"",Y153-(V153-W153))</x:f>
      </x:c>
      <x:c r="AS153" s="63" t="str">
        <x:f>IF(A153="","",IF(AND(E153&lt;&gt;"",F153&lt;&gt;"",G153&lt;&gt;"",Z153&lt;&gt;"",AA153&lt;&gt;"",AB153&lt;&gt;"",AC153&lt;&gt;""),"Completa","Incompleta"))</x:f>
      </x:c>
      <x:c r="AT153" s="63" t="str">
        <x:f>IF(A153="","",IF(COUNTIF($A$11:$A$410,A153)&gt;1,"ID duplicado",IF(AND(AR153&lt;&gt;"",ABS(AR153)&gt;0.01),"Revisar balanço",IF(AND(W153&lt;&gt;"",V153&lt;&gt;"",W153&gt;V153),"Retirada &gt; estoque",IF(AND(U153&lt;&gt;"",U153&lt;'Cenário Base'!$D$8*'Cenário Base'!$D$74),"E0 abaixo do gatilho",IF(AND(V153&lt;&gt;"",V153&gt;XLOOKUP(B153,$A$414:$A$418,$B$414:$B$418)),"Excedeu capacidade","Sem alerta"))))))</x:f>
      </x:c>
    </x:row>
    <x:row r="154">
      <x:c r="A154" s="43"/>
      <x:c r="B154" s="43"/>
      <x:c r="C154" s="43"/>
      <x:c r="D154" s="43"/>
      <x:c r="E154" s="43"/>
      <x:c r="F154" s="43"/>
      <x:c r="G154" s="43"/>
      <x:c r="H154" s="120"/>
      <x:c r="I154" s="120"/>
      <x:c r="J154" s="120"/>
      <x:c r="K154" s="120"/>
      <x:c r="L154" s="120"/>
      <x:c r="M154" s="120"/>
      <x:c r="N154" s="120"/>
      <x:c r="O154" s="120"/>
      <x:c r="P154" s="120"/>
      <x:c r="Q154" s="120"/>
      <x:c r="R154" s="120"/>
      <x:c r="S154" s="120"/>
      <x:c r="T154" s="120"/>
      <x:c r="U154" s="48"/>
      <x:c r="V154" s="48"/>
      <x:c r="W154" s="48"/>
      <x:c r="X154" s="48"/>
      <x:c r="Y154" s="48"/>
      <x:c r="Z154" s="49"/>
      <x:c r="AA154" s="43"/>
      <x:c r="AB154" s="43"/>
      <x:c r="AC154" s="43"/>
      <x:c r="AD154" s="43"/>
      <x:c r="AE154" s="43"/>
      <x:c r="AF154" s="87" t="str">
        <x:f>IF(OR(H154="",I154="",I154&lt;H154),"",(I154-H154)*1440)</x:f>
      </x:c>
      <x:c r="AG154" s="87" t="str">
        <x:f>IF(OR(I154="",M154="",M154&lt;I154),"",(M154-I154)*1440)</x:f>
      </x:c>
      <x:c r="AH154" s="87" t="str">
        <x:f>IF(OR(M154="",N154="",N154&lt;M154),"",(N154-M154)*1440)</x:f>
      </x:c>
      <x:c r="AI154" s="87" t="str">
        <x:f>IF(OR(H154="",N154="",N154&lt;H154),"",(N154-H154)*1440)</x:f>
      </x:c>
      <x:c r="AJ154" s="87" t="str">
        <x:f>IF(OR(I154="",N154="",N154&lt;I154),"",(N154-I154)*1440)</x:f>
      </x:c>
      <x:c r="AK154" s="87" t="str">
        <x:f>IF(OR(N154="",O154="",O154&lt;N154),"",(O154-N154)*1440)</x:f>
      </x:c>
      <x:c r="AL154" s="87" t="str">
        <x:f>IF(OR(O154="",P154="",P154&lt;O154),"",(P154-O154)*1440)</x:f>
      </x:c>
      <x:c r="AM154" s="87" t="str">
        <x:f>IF(OR(Q154="",R154="",R154&lt;Q154),"",(R154-Q154)*1440)</x:f>
      </x:c>
      <x:c r="AN154" s="87" t="str">
        <x:f>IF(OR(S154="",T154="",T154&lt;S154),"",(T154-S154)*1440)</x:f>
      </x:c>
      <x:c r="AO154" s="87" t="str">
        <x:f>IF(OR(U154="",V154=""),"",V154-U154)</x:f>
      </x:c>
      <x:c r="AP154" s="63" t="str">
        <x:f>IF(A154="","",IF(OR(B154="",H154="",N154=""),"Incompleto",IF(N154&lt;H154,"Revisar",IF(OR(G154="",G154="Não observado"),"Qualidade E0 ausente",IF(OR(G154="Sensor",G154="Marcação física"),"Válido — E0 observado",IF(G154="Cálculo","Válido — E0 calculado","Válido — E0 estimado"))))))</x:f>
      </x:c>
      <x:c r="AQ154" s="63" t="str">
        <x:f>IF(A154="","",IF(COUNTA(H154:T154)&lt;13,"Incompleta",IF(OR(I154&lt;H154,J154&lt;I154,K154&lt;J154,L154&lt;K154,M154&lt;L154,N154&lt;M154,O154&lt;N154,P154&lt;O154,Q154&lt;P154,R154&lt;Q154,S154&lt;R154,T154&lt;S154),"Revisar","Completa")))</x:f>
      </x:c>
      <x:c r="AR154" s="87" t="str">
        <x:f>IF(OR(V154="",W154="",Y154=""),"",Y154-(V154-W154))</x:f>
      </x:c>
      <x:c r="AS154" s="63" t="str">
        <x:f>IF(A154="","",IF(AND(E154&lt;&gt;"",F154&lt;&gt;"",G154&lt;&gt;"",Z154&lt;&gt;"",AA154&lt;&gt;"",AB154&lt;&gt;"",AC154&lt;&gt;""),"Completa","Incompleta"))</x:f>
      </x:c>
      <x:c r="AT154" s="63" t="str">
        <x:f>IF(A154="","",IF(COUNTIF($A$11:$A$410,A154)&gt;1,"ID duplicado",IF(AND(AR154&lt;&gt;"",ABS(AR154)&gt;0.01),"Revisar balanço",IF(AND(W154&lt;&gt;"",V154&lt;&gt;"",W154&gt;V154),"Retirada &gt; estoque",IF(AND(U154&lt;&gt;"",U154&lt;'Cenário Base'!$D$8*'Cenário Base'!$D$74),"E0 abaixo do gatilho",IF(AND(V154&lt;&gt;"",V154&gt;XLOOKUP(B154,$A$414:$A$418,$B$414:$B$418)),"Excedeu capacidade","Sem alerta"))))))</x:f>
      </x:c>
    </x:row>
    <x:row r="155">
      <x:c r="A155" s="43"/>
      <x:c r="B155" s="43"/>
      <x:c r="C155" s="43"/>
      <x:c r="D155" s="43"/>
      <x:c r="E155" s="43"/>
      <x:c r="F155" s="43"/>
      <x:c r="G155" s="43"/>
      <x:c r="H155" s="120"/>
      <x:c r="I155" s="120"/>
      <x:c r="J155" s="120"/>
      <x:c r="K155" s="120"/>
      <x:c r="L155" s="120"/>
      <x:c r="M155" s="120"/>
      <x:c r="N155" s="120"/>
      <x:c r="O155" s="120"/>
      <x:c r="P155" s="120"/>
      <x:c r="Q155" s="120"/>
      <x:c r="R155" s="120"/>
      <x:c r="S155" s="120"/>
      <x:c r="T155" s="120"/>
      <x:c r="U155" s="48"/>
      <x:c r="V155" s="48"/>
      <x:c r="W155" s="48"/>
      <x:c r="X155" s="48"/>
      <x:c r="Y155" s="48"/>
      <x:c r="Z155" s="49"/>
      <x:c r="AA155" s="43"/>
      <x:c r="AB155" s="43"/>
      <x:c r="AC155" s="43"/>
      <x:c r="AD155" s="43"/>
      <x:c r="AE155" s="43"/>
      <x:c r="AF155" s="87" t="str">
        <x:f>IF(OR(H155="",I155="",I155&lt;H155),"",(I155-H155)*1440)</x:f>
      </x:c>
      <x:c r="AG155" s="87" t="str">
        <x:f>IF(OR(I155="",M155="",M155&lt;I155),"",(M155-I155)*1440)</x:f>
      </x:c>
      <x:c r="AH155" s="87" t="str">
        <x:f>IF(OR(M155="",N155="",N155&lt;M155),"",(N155-M155)*1440)</x:f>
      </x:c>
      <x:c r="AI155" s="87" t="str">
        <x:f>IF(OR(H155="",N155="",N155&lt;H155),"",(N155-H155)*1440)</x:f>
      </x:c>
      <x:c r="AJ155" s="87" t="str">
        <x:f>IF(OR(I155="",N155="",N155&lt;I155),"",(N155-I155)*1440)</x:f>
      </x:c>
      <x:c r="AK155" s="87" t="str">
        <x:f>IF(OR(N155="",O155="",O155&lt;N155),"",(O155-N155)*1440)</x:f>
      </x:c>
      <x:c r="AL155" s="87" t="str">
        <x:f>IF(OR(O155="",P155="",P155&lt;O155),"",(P155-O155)*1440)</x:f>
      </x:c>
      <x:c r="AM155" s="87" t="str">
        <x:f>IF(OR(Q155="",R155="",R155&lt;Q155),"",(R155-Q155)*1440)</x:f>
      </x:c>
      <x:c r="AN155" s="87" t="str">
        <x:f>IF(OR(S155="",T155="",T155&lt;S155),"",(T155-S155)*1440)</x:f>
      </x:c>
      <x:c r="AO155" s="87" t="str">
        <x:f>IF(OR(U155="",V155=""),"",V155-U155)</x:f>
      </x:c>
      <x:c r="AP155" s="63" t="str">
        <x:f>IF(A155="","",IF(OR(B155="",H155="",N155=""),"Incompleto",IF(N155&lt;H155,"Revisar",IF(OR(G155="",G155="Não observado"),"Qualidade E0 ausente",IF(OR(G155="Sensor",G155="Marcação física"),"Válido — E0 observado",IF(G155="Cálculo","Válido — E0 calculado","Válido — E0 estimado"))))))</x:f>
      </x:c>
      <x:c r="AQ155" s="63" t="str">
        <x:f>IF(A155="","",IF(COUNTA(H155:T155)&lt;13,"Incompleta",IF(OR(I155&lt;H155,J155&lt;I155,K155&lt;J155,L155&lt;K155,M155&lt;L155,N155&lt;M155,O155&lt;N155,P155&lt;O155,Q155&lt;P155,R155&lt;Q155,S155&lt;R155,T155&lt;S155),"Revisar","Completa")))</x:f>
      </x:c>
      <x:c r="AR155" s="87" t="str">
        <x:f>IF(OR(V155="",W155="",Y155=""),"",Y155-(V155-W155))</x:f>
      </x:c>
      <x:c r="AS155" s="63" t="str">
        <x:f>IF(A155="","",IF(AND(E155&lt;&gt;"",F155&lt;&gt;"",G155&lt;&gt;"",Z155&lt;&gt;"",AA155&lt;&gt;"",AB155&lt;&gt;"",AC155&lt;&gt;""),"Completa","Incompleta"))</x:f>
      </x:c>
      <x:c r="AT155" s="63" t="str">
        <x:f>IF(A155="","",IF(COUNTIF($A$11:$A$410,A155)&gt;1,"ID duplicado",IF(AND(AR155&lt;&gt;"",ABS(AR155)&gt;0.01),"Revisar balanço",IF(AND(W155&lt;&gt;"",V155&lt;&gt;"",W155&gt;V155),"Retirada &gt; estoque",IF(AND(U155&lt;&gt;"",U155&lt;'Cenário Base'!$D$8*'Cenário Base'!$D$74),"E0 abaixo do gatilho",IF(AND(V155&lt;&gt;"",V155&gt;XLOOKUP(B155,$A$414:$A$418,$B$414:$B$418)),"Excedeu capacidade","Sem alerta"))))))</x:f>
      </x:c>
    </x:row>
    <x:row r="156">
      <x:c r="A156" s="43"/>
      <x:c r="B156" s="43"/>
      <x:c r="C156" s="43"/>
      <x:c r="D156" s="43"/>
      <x:c r="E156" s="43"/>
      <x:c r="F156" s="43"/>
      <x:c r="G156" s="43"/>
      <x:c r="H156" s="120"/>
      <x:c r="I156" s="120"/>
      <x:c r="J156" s="120"/>
      <x:c r="K156" s="120"/>
      <x:c r="L156" s="120"/>
      <x:c r="M156" s="120"/>
      <x:c r="N156" s="120"/>
      <x:c r="O156" s="120"/>
      <x:c r="P156" s="120"/>
      <x:c r="Q156" s="120"/>
      <x:c r="R156" s="120"/>
      <x:c r="S156" s="120"/>
      <x:c r="T156" s="120"/>
      <x:c r="U156" s="48"/>
      <x:c r="V156" s="48"/>
      <x:c r="W156" s="48"/>
      <x:c r="X156" s="48"/>
      <x:c r="Y156" s="48"/>
      <x:c r="Z156" s="49"/>
      <x:c r="AA156" s="43"/>
      <x:c r="AB156" s="43"/>
      <x:c r="AC156" s="43"/>
      <x:c r="AD156" s="43"/>
      <x:c r="AE156" s="43"/>
      <x:c r="AF156" s="87" t="str">
        <x:f>IF(OR(H156="",I156="",I156&lt;H156),"",(I156-H156)*1440)</x:f>
      </x:c>
      <x:c r="AG156" s="87" t="str">
        <x:f>IF(OR(I156="",M156="",M156&lt;I156),"",(M156-I156)*1440)</x:f>
      </x:c>
      <x:c r="AH156" s="87" t="str">
        <x:f>IF(OR(M156="",N156="",N156&lt;M156),"",(N156-M156)*1440)</x:f>
      </x:c>
      <x:c r="AI156" s="87" t="str">
        <x:f>IF(OR(H156="",N156="",N156&lt;H156),"",(N156-H156)*1440)</x:f>
      </x:c>
      <x:c r="AJ156" s="87" t="str">
        <x:f>IF(OR(I156="",N156="",N156&lt;I156),"",(N156-I156)*1440)</x:f>
      </x:c>
      <x:c r="AK156" s="87" t="str">
        <x:f>IF(OR(N156="",O156="",O156&lt;N156),"",(O156-N156)*1440)</x:f>
      </x:c>
      <x:c r="AL156" s="87" t="str">
        <x:f>IF(OR(O156="",P156="",P156&lt;O156),"",(P156-O156)*1440)</x:f>
      </x:c>
      <x:c r="AM156" s="87" t="str">
        <x:f>IF(OR(Q156="",R156="",R156&lt;Q156),"",(R156-Q156)*1440)</x:f>
      </x:c>
      <x:c r="AN156" s="87" t="str">
        <x:f>IF(OR(S156="",T156="",T156&lt;S156),"",(T156-S156)*1440)</x:f>
      </x:c>
      <x:c r="AO156" s="87" t="str">
        <x:f>IF(OR(U156="",V156=""),"",V156-U156)</x:f>
      </x:c>
      <x:c r="AP156" s="63" t="str">
        <x:f>IF(A156="","",IF(OR(B156="",H156="",N156=""),"Incompleto",IF(N156&lt;H156,"Revisar",IF(OR(G156="",G156="Não observado"),"Qualidade E0 ausente",IF(OR(G156="Sensor",G156="Marcação física"),"Válido — E0 observado",IF(G156="Cálculo","Válido — E0 calculado","Válido — E0 estimado"))))))</x:f>
      </x:c>
      <x:c r="AQ156" s="63" t="str">
        <x:f>IF(A156="","",IF(COUNTA(H156:T156)&lt;13,"Incompleta",IF(OR(I156&lt;H156,J156&lt;I156,K156&lt;J156,L156&lt;K156,M156&lt;L156,N156&lt;M156,O156&lt;N156,P156&lt;O156,Q156&lt;P156,R156&lt;Q156,S156&lt;R156,T156&lt;S156),"Revisar","Completa")))</x:f>
      </x:c>
      <x:c r="AR156" s="87" t="str">
        <x:f>IF(OR(V156="",W156="",Y156=""),"",Y156-(V156-W156))</x:f>
      </x:c>
      <x:c r="AS156" s="63" t="str">
        <x:f>IF(A156="","",IF(AND(E156&lt;&gt;"",F156&lt;&gt;"",G156&lt;&gt;"",Z156&lt;&gt;"",AA156&lt;&gt;"",AB156&lt;&gt;"",AC156&lt;&gt;""),"Completa","Incompleta"))</x:f>
      </x:c>
      <x:c r="AT156" s="63" t="str">
        <x:f>IF(A156="","",IF(COUNTIF($A$11:$A$410,A156)&gt;1,"ID duplicado",IF(AND(AR156&lt;&gt;"",ABS(AR156)&gt;0.01),"Revisar balanço",IF(AND(W156&lt;&gt;"",V156&lt;&gt;"",W156&gt;V156),"Retirada &gt; estoque",IF(AND(U156&lt;&gt;"",U156&lt;'Cenário Base'!$D$8*'Cenário Base'!$D$74),"E0 abaixo do gatilho",IF(AND(V156&lt;&gt;"",V156&gt;XLOOKUP(B156,$A$414:$A$418,$B$414:$B$418)),"Excedeu capacidade","Sem alerta"))))))</x:f>
      </x:c>
    </x:row>
    <x:row r="157">
      <x:c r="A157" s="43"/>
      <x:c r="B157" s="43"/>
      <x:c r="C157" s="43"/>
      <x:c r="D157" s="43"/>
      <x:c r="E157" s="43"/>
      <x:c r="F157" s="43"/>
      <x:c r="G157" s="43"/>
      <x:c r="H157" s="120"/>
      <x:c r="I157" s="120"/>
      <x:c r="J157" s="120"/>
      <x:c r="K157" s="120"/>
      <x:c r="L157" s="120"/>
      <x:c r="M157" s="120"/>
      <x:c r="N157" s="120"/>
      <x:c r="O157" s="120"/>
      <x:c r="P157" s="120"/>
      <x:c r="Q157" s="120"/>
      <x:c r="R157" s="120"/>
      <x:c r="S157" s="120"/>
      <x:c r="T157" s="120"/>
      <x:c r="U157" s="48"/>
      <x:c r="V157" s="48"/>
      <x:c r="W157" s="48"/>
      <x:c r="X157" s="48"/>
      <x:c r="Y157" s="48"/>
      <x:c r="Z157" s="49"/>
      <x:c r="AA157" s="43"/>
      <x:c r="AB157" s="43"/>
      <x:c r="AC157" s="43"/>
      <x:c r="AD157" s="43"/>
      <x:c r="AE157" s="43"/>
      <x:c r="AF157" s="87" t="str">
        <x:f>IF(OR(H157="",I157="",I157&lt;H157),"",(I157-H157)*1440)</x:f>
      </x:c>
      <x:c r="AG157" s="87" t="str">
        <x:f>IF(OR(I157="",M157="",M157&lt;I157),"",(M157-I157)*1440)</x:f>
      </x:c>
      <x:c r="AH157" s="87" t="str">
        <x:f>IF(OR(M157="",N157="",N157&lt;M157),"",(N157-M157)*1440)</x:f>
      </x:c>
      <x:c r="AI157" s="87" t="str">
        <x:f>IF(OR(H157="",N157="",N157&lt;H157),"",(N157-H157)*1440)</x:f>
      </x:c>
      <x:c r="AJ157" s="87" t="str">
        <x:f>IF(OR(I157="",N157="",N157&lt;I157),"",(N157-I157)*1440)</x:f>
      </x:c>
      <x:c r="AK157" s="87" t="str">
        <x:f>IF(OR(N157="",O157="",O157&lt;N157),"",(O157-N157)*1440)</x:f>
      </x:c>
      <x:c r="AL157" s="87" t="str">
        <x:f>IF(OR(O157="",P157="",P157&lt;O157),"",(P157-O157)*1440)</x:f>
      </x:c>
      <x:c r="AM157" s="87" t="str">
        <x:f>IF(OR(Q157="",R157="",R157&lt;Q157),"",(R157-Q157)*1440)</x:f>
      </x:c>
      <x:c r="AN157" s="87" t="str">
        <x:f>IF(OR(S157="",T157="",T157&lt;S157),"",(T157-S157)*1440)</x:f>
      </x:c>
      <x:c r="AO157" s="87" t="str">
        <x:f>IF(OR(U157="",V157=""),"",V157-U157)</x:f>
      </x:c>
      <x:c r="AP157" s="63" t="str">
        <x:f>IF(A157="","",IF(OR(B157="",H157="",N157=""),"Incompleto",IF(N157&lt;H157,"Revisar",IF(OR(G157="",G157="Não observado"),"Qualidade E0 ausente",IF(OR(G157="Sensor",G157="Marcação física"),"Válido — E0 observado",IF(G157="Cálculo","Válido — E0 calculado","Válido — E0 estimado"))))))</x:f>
      </x:c>
      <x:c r="AQ157" s="63" t="str">
        <x:f>IF(A157="","",IF(COUNTA(H157:T157)&lt;13,"Incompleta",IF(OR(I157&lt;H157,J157&lt;I157,K157&lt;J157,L157&lt;K157,M157&lt;L157,N157&lt;M157,O157&lt;N157,P157&lt;O157,Q157&lt;P157,R157&lt;Q157,S157&lt;R157,T157&lt;S157),"Revisar","Completa")))</x:f>
      </x:c>
      <x:c r="AR157" s="87" t="str">
        <x:f>IF(OR(V157="",W157="",Y157=""),"",Y157-(V157-W157))</x:f>
      </x:c>
      <x:c r="AS157" s="63" t="str">
        <x:f>IF(A157="","",IF(AND(E157&lt;&gt;"",F157&lt;&gt;"",G157&lt;&gt;"",Z157&lt;&gt;"",AA157&lt;&gt;"",AB157&lt;&gt;"",AC157&lt;&gt;""),"Completa","Incompleta"))</x:f>
      </x:c>
      <x:c r="AT157" s="63" t="str">
        <x:f>IF(A157="","",IF(COUNTIF($A$11:$A$410,A157)&gt;1,"ID duplicado",IF(AND(AR157&lt;&gt;"",ABS(AR157)&gt;0.01),"Revisar balanço",IF(AND(W157&lt;&gt;"",V157&lt;&gt;"",W157&gt;V157),"Retirada &gt; estoque",IF(AND(U157&lt;&gt;"",U157&lt;'Cenário Base'!$D$8*'Cenário Base'!$D$74),"E0 abaixo do gatilho",IF(AND(V157&lt;&gt;"",V157&gt;XLOOKUP(B157,$A$414:$A$418,$B$414:$B$418)),"Excedeu capacidade","Sem alerta"))))))</x:f>
      </x:c>
    </x:row>
    <x:row r="158">
      <x:c r="A158" s="43"/>
      <x:c r="B158" s="43"/>
      <x:c r="C158" s="43"/>
      <x:c r="D158" s="43"/>
      <x:c r="E158" s="43"/>
      <x:c r="F158" s="43"/>
      <x:c r="G158" s="43"/>
      <x:c r="H158" s="120"/>
      <x:c r="I158" s="120"/>
      <x:c r="J158" s="120"/>
      <x:c r="K158" s="120"/>
      <x:c r="L158" s="120"/>
      <x:c r="M158" s="120"/>
      <x:c r="N158" s="120"/>
      <x:c r="O158" s="120"/>
      <x:c r="P158" s="120"/>
      <x:c r="Q158" s="120"/>
      <x:c r="R158" s="120"/>
      <x:c r="S158" s="120"/>
      <x:c r="T158" s="120"/>
      <x:c r="U158" s="48"/>
      <x:c r="V158" s="48"/>
      <x:c r="W158" s="48"/>
      <x:c r="X158" s="48"/>
      <x:c r="Y158" s="48"/>
      <x:c r="Z158" s="49"/>
      <x:c r="AA158" s="43"/>
      <x:c r="AB158" s="43"/>
      <x:c r="AC158" s="43"/>
      <x:c r="AD158" s="43"/>
      <x:c r="AE158" s="43"/>
      <x:c r="AF158" s="87" t="str">
        <x:f>IF(OR(H158="",I158="",I158&lt;H158),"",(I158-H158)*1440)</x:f>
      </x:c>
      <x:c r="AG158" s="87" t="str">
        <x:f>IF(OR(I158="",M158="",M158&lt;I158),"",(M158-I158)*1440)</x:f>
      </x:c>
      <x:c r="AH158" s="87" t="str">
        <x:f>IF(OR(M158="",N158="",N158&lt;M158),"",(N158-M158)*1440)</x:f>
      </x:c>
      <x:c r="AI158" s="87" t="str">
        <x:f>IF(OR(H158="",N158="",N158&lt;H158),"",(N158-H158)*1440)</x:f>
      </x:c>
      <x:c r="AJ158" s="87" t="str">
        <x:f>IF(OR(I158="",N158="",N158&lt;I158),"",(N158-I158)*1440)</x:f>
      </x:c>
      <x:c r="AK158" s="87" t="str">
        <x:f>IF(OR(N158="",O158="",O158&lt;N158),"",(O158-N158)*1440)</x:f>
      </x:c>
      <x:c r="AL158" s="87" t="str">
        <x:f>IF(OR(O158="",P158="",P158&lt;O158),"",(P158-O158)*1440)</x:f>
      </x:c>
      <x:c r="AM158" s="87" t="str">
        <x:f>IF(OR(Q158="",R158="",R158&lt;Q158),"",(R158-Q158)*1440)</x:f>
      </x:c>
      <x:c r="AN158" s="87" t="str">
        <x:f>IF(OR(S158="",T158="",T158&lt;S158),"",(T158-S158)*1440)</x:f>
      </x:c>
      <x:c r="AO158" s="87" t="str">
        <x:f>IF(OR(U158="",V158=""),"",V158-U158)</x:f>
      </x:c>
      <x:c r="AP158" s="63" t="str">
        <x:f>IF(A158="","",IF(OR(B158="",H158="",N158=""),"Incompleto",IF(N158&lt;H158,"Revisar",IF(OR(G158="",G158="Não observado"),"Qualidade E0 ausente",IF(OR(G158="Sensor",G158="Marcação física"),"Válido — E0 observado",IF(G158="Cálculo","Válido — E0 calculado","Válido — E0 estimado"))))))</x:f>
      </x:c>
      <x:c r="AQ158" s="63" t="str">
        <x:f>IF(A158="","",IF(COUNTA(H158:T158)&lt;13,"Incompleta",IF(OR(I158&lt;H158,J158&lt;I158,K158&lt;J158,L158&lt;K158,M158&lt;L158,N158&lt;M158,O158&lt;N158,P158&lt;O158,Q158&lt;P158,R158&lt;Q158,S158&lt;R158,T158&lt;S158),"Revisar","Completa")))</x:f>
      </x:c>
      <x:c r="AR158" s="87" t="str">
        <x:f>IF(OR(V158="",W158="",Y158=""),"",Y158-(V158-W158))</x:f>
      </x:c>
      <x:c r="AS158" s="63" t="str">
        <x:f>IF(A158="","",IF(AND(E158&lt;&gt;"",F158&lt;&gt;"",G158&lt;&gt;"",Z158&lt;&gt;"",AA158&lt;&gt;"",AB158&lt;&gt;"",AC158&lt;&gt;""),"Completa","Incompleta"))</x:f>
      </x:c>
      <x:c r="AT158" s="63" t="str">
        <x:f>IF(A158="","",IF(COUNTIF($A$11:$A$410,A158)&gt;1,"ID duplicado",IF(AND(AR158&lt;&gt;"",ABS(AR158)&gt;0.01),"Revisar balanço",IF(AND(W158&lt;&gt;"",V158&lt;&gt;"",W158&gt;V158),"Retirada &gt; estoque",IF(AND(U158&lt;&gt;"",U158&lt;'Cenário Base'!$D$8*'Cenário Base'!$D$74),"E0 abaixo do gatilho",IF(AND(V158&lt;&gt;"",V158&gt;XLOOKUP(B158,$A$414:$A$418,$B$414:$B$418)),"Excedeu capacidade","Sem alerta"))))))</x:f>
      </x:c>
    </x:row>
    <x:row r="159">
      <x:c r="A159" s="43"/>
      <x:c r="B159" s="43"/>
      <x:c r="C159" s="43"/>
      <x:c r="D159" s="43"/>
      <x:c r="E159" s="43"/>
      <x:c r="F159" s="43"/>
      <x:c r="G159" s="43"/>
      <x:c r="H159" s="120"/>
      <x:c r="I159" s="120"/>
      <x:c r="J159" s="120"/>
      <x:c r="K159" s="120"/>
      <x:c r="L159" s="120"/>
      <x:c r="M159" s="120"/>
      <x:c r="N159" s="120"/>
      <x:c r="O159" s="120"/>
      <x:c r="P159" s="120"/>
      <x:c r="Q159" s="120"/>
      <x:c r="R159" s="120"/>
      <x:c r="S159" s="120"/>
      <x:c r="T159" s="120"/>
      <x:c r="U159" s="48"/>
      <x:c r="V159" s="48"/>
      <x:c r="W159" s="48"/>
      <x:c r="X159" s="48"/>
      <x:c r="Y159" s="48"/>
      <x:c r="Z159" s="49"/>
      <x:c r="AA159" s="43"/>
      <x:c r="AB159" s="43"/>
      <x:c r="AC159" s="43"/>
      <x:c r="AD159" s="43"/>
      <x:c r="AE159" s="43"/>
      <x:c r="AF159" s="87" t="str">
        <x:f>IF(OR(H159="",I159="",I159&lt;H159),"",(I159-H159)*1440)</x:f>
      </x:c>
      <x:c r="AG159" s="87" t="str">
        <x:f>IF(OR(I159="",M159="",M159&lt;I159),"",(M159-I159)*1440)</x:f>
      </x:c>
      <x:c r="AH159" s="87" t="str">
        <x:f>IF(OR(M159="",N159="",N159&lt;M159),"",(N159-M159)*1440)</x:f>
      </x:c>
      <x:c r="AI159" s="87" t="str">
        <x:f>IF(OR(H159="",N159="",N159&lt;H159),"",(N159-H159)*1440)</x:f>
      </x:c>
      <x:c r="AJ159" s="87" t="str">
        <x:f>IF(OR(I159="",N159="",N159&lt;I159),"",(N159-I159)*1440)</x:f>
      </x:c>
      <x:c r="AK159" s="87" t="str">
        <x:f>IF(OR(N159="",O159="",O159&lt;N159),"",(O159-N159)*1440)</x:f>
      </x:c>
      <x:c r="AL159" s="87" t="str">
        <x:f>IF(OR(O159="",P159="",P159&lt;O159),"",(P159-O159)*1440)</x:f>
      </x:c>
      <x:c r="AM159" s="87" t="str">
        <x:f>IF(OR(Q159="",R159="",R159&lt;Q159),"",(R159-Q159)*1440)</x:f>
      </x:c>
      <x:c r="AN159" s="87" t="str">
        <x:f>IF(OR(S159="",T159="",T159&lt;S159),"",(T159-S159)*1440)</x:f>
      </x:c>
      <x:c r="AO159" s="87" t="str">
        <x:f>IF(OR(U159="",V159=""),"",V159-U159)</x:f>
      </x:c>
      <x:c r="AP159" s="63" t="str">
        <x:f>IF(A159="","",IF(OR(B159="",H159="",N159=""),"Incompleto",IF(N159&lt;H159,"Revisar",IF(OR(G159="",G159="Não observado"),"Qualidade E0 ausente",IF(OR(G159="Sensor",G159="Marcação física"),"Válido — E0 observado",IF(G159="Cálculo","Válido — E0 calculado","Válido — E0 estimado"))))))</x:f>
      </x:c>
      <x:c r="AQ159" s="63" t="str">
        <x:f>IF(A159="","",IF(COUNTA(H159:T159)&lt;13,"Incompleta",IF(OR(I159&lt;H159,J159&lt;I159,K159&lt;J159,L159&lt;K159,M159&lt;L159,N159&lt;M159,O159&lt;N159,P159&lt;O159,Q159&lt;P159,R159&lt;Q159,S159&lt;R159,T159&lt;S159),"Revisar","Completa")))</x:f>
      </x:c>
      <x:c r="AR159" s="87" t="str">
        <x:f>IF(OR(V159="",W159="",Y159=""),"",Y159-(V159-W159))</x:f>
      </x:c>
      <x:c r="AS159" s="63" t="str">
        <x:f>IF(A159="","",IF(AND(E159&lt;&gt;"",F159&lt;&gt;"",G159&lt;&gt;"",Z159&lt;&gt;"",AA159&lt;&gt;"",AB159&lt;&gt;"",AC159&lt;&gt;""),"Completa","Incompleta"))</x:f>
      </x:c>
      <x:c r="AT159" s="63" t="str">
        <x:f>IF(A159="","",IF(COUNTIF($A$11:$A$410,A159)&gt;1,"ID duplicado",IF(AND(AR159&lt;&gt;"",ABS(AR159)&gt;0.01),"Revisar balanço",IF(AND(W159&lt;&gt;"",V159&lt;&gt;"",W159&gt;V159),"Retirada &gt; estoque",IF(AND(U159&lt;&gt;"",U159&lt;'Cenário Base'!$D$8*'Cenário Base'!$D$74),"E0 abaixo do gatilho",IF(AND(V159&lt;&gt;"",V159&gt;XLOOKUP(B159,$A$414:$A$418,$B$414:$B$418)),"Excedeu capacidade","Sem alerta"))))))</x:f>
      </x:c>
    </x:row>
    <x:row r="160">
      <x:c r="A160" s="43"/>
      <x:c r="B160" s="43"/>
      <x:c r="C160" s="43"/>
      <x:c r="D160" s="43"/>
      <x:c r="E160" s="43"/>
      <x:c r="F160" s="43"/>
      <x:c r="G160" s="43"/>
      <x:c r="H160" s="120"/>
      <x:c r="I160" s="120"/>
      <x:c r="J160" s="120"/>
      <x:c r="K160" s="120"/>
      <x:c r="L160" s="120"/>
      <x:c r="M160" s="120"/>
      <x:c r="N160" s="120"/>
      <x:c r="O160" s="120"/>
      <x:c r="P160" s="120"/>
      <x:c r="Q160" s="120"/>
      <x:c r="R160" s="120"/>
      <x:c r="S160" s="120"/>
      <x:c r="T160" s="120"/>
      <x:c r="U160" s="48"/>
      <x:c r="V160" s="48"/>
      <x:c r="W160" s="48"/>
      <x:c r="X160" s="48"/>
      <x:c r="Y160" s="48"/>
      <x:c r="Z160" s="49"/>
      <x:c r="AA160" s="43"/>
      <x:c r="AB160" s="43"/>
      <x:c r="AC160" s="43"/>
      <x:c r="AD160" s="43"/>
      <x:c r="AE160" s="43"/>
      <x:c r="AF160" s="87" t="str">
        <x:f>IF(OR(H160="",I160="",I160&lt;H160),"",(I160-H160)*1440)</x:f>
      </x:c>
      <x:c r="AG160" s="87" t="str">
        <x:f>IF(OR(I160="",M160="",M160&lt;I160),"",(M160-I160)*1440)</x:f>
      </x:c>
      <x:c r="AH160" s="87" t="str">
        <x:f>IF(OR(M160="",N160="",N160&lt;M160),"",(N160-M160)*1440)</x:f>
      </x:c>
      <x:c r="AI160" s="87" t="str">
        <x:f>IF(OR(H160="",N160="",N160&lt;H160),"",(N160-H160)*1440)</x:f>
      </x:c>
      <x:c r="AJ160" s="87" t="str">
        <x:f>IF(OR(I160="",N160="",N160&lt;I160),"",(N160-I160)*1440)</x:f>
      </x:c>
      <x:c r="AK160" s="87" t="str">
        <x:f>IF(OR(N160="",O160="",O160&lt;N160),"",(O160-N160)*1440)</x:f>
      </x:c>
      <x:c r="AL160" s="87" t="str">
        <x:f>IF(OR(O160="",P160="",P160&lt;O160),"",(P160-O160)*1440)</x:f>
      </x:c>
      <x:c r="AM160" s="87" t="str">
        <x:f>IF(OR(Q160="",R160="",R160&lt;Q160),"",(R160-Q160)*1440)</x:f>
      </x:c>
      <x:c r="AN160" s="87" t="str">
        <x:f>IF(OR(S160="",T160="",T160&lt;S160),"",(T160-S160)*1440)</x:f>
      </x:c>
      <x:c r="AO160" s="87" t="str">
        <x:f>IF(OR(U160="",V160=""),"",V160-U160)</x:f>
      </x:c>
      <x:c r="AP160" s="63" t="str">
        <x:f>IF(A160="","",IF(OR(B160="",H160="",N160=""),"Incompleto",IF(N160&lt;H160,"Revisar",IF(OR(G160="",G160="Não observado"),"Qualidade E0 ausente",IF(OR(G160="Sensor",G160="Marcação física"),"Válido — E0 observado",IF(G160="Cálculo","Válido — E0 calculado","Válido — E0 estimado"))))))</x:f>
      </x:c>
      <x:c r="AQ160" s="63" t="str">
        <x:f>IF(A160="","",IF(COUNTA(H160:T160)&lt;13,"Incompleta",IF(OR(I160&lt;H160,J160&lt;I160,K160&lt;J160,L160&lt;K160,M160&lt;L160,N160&lt;M160,O160&lt;N160,P160&lt;O160,Q160&lt;P160,R160&lt;Q160,S160&lt;R160,T160&lt;S160),"Revisar","Completa")))</x:f>
      </x:c>
      <x:c r="AR160" s="87" t="str">
        <x:f>IF(OR(V160="",W160="",Y160=""),"",Y160-(V160-W160))</x:f>
      </x:c>
      <x:c r="AS160" s="63" t="str">
        <x:f>IF(A160="","",IF(AND(E160&lt;&gt;"",F160&lt;&gt;"",G160&lt;&gt;"",Z160&lt;&gt;"",AA160&lt;&gt;"",AB160&lt;&gt;"",AC160&lt;&gt;""),"Completa","Incompleta"))</x:f>
      </x:c>
      <x:c r="AT160" s="63" t="str">
        <x:f>IF(A160="","",IF(COUNTIF($A$11:$A$410,A160)&gt;1,"ID duplicado",IF(AND(AR160&lt;&gt;"",ABS(AR160)&gt;0.01),"Revisar balanço",IF(AND(W160&lt;&gt;"",V160&lt;&gt;"",W160&gt;V160),"Retirada &gt; estoque",IF(AND(U160&lt;&gt;"",U160&lt;'Cenário Base'!$D$8*'Cenário Base'!$D$74),"E0 abaixo do gatilho",IF(AND(V160&lt;&gt;"",V160&gt;XLOOKUP(B160,$A$414:$A$418,$B$414:$B$418)),"Excedeu capacidade","Sem alerta"))))))</x:f>
      </x:c>
    </x:row>
    <x:row r="161">
      <x:c r="A161" s="43"/>
      <x:c r="B161" s="43"/>
      <x:c r="C161" s="43"/>
      <x:c r="D161" s="43"/>
      <x:c r="E161" s="43"/>
      <x:c r="F161" s="43"/>
      <x:c r="G161" s="43"/>
      <x:c r="H161" s="120"/>
      <x:c r="I161" s="120"/>
      <x:c r="J161" s="120"/>
      <x:c r="K161" s="120"/>
      <x:c r="L161" s="120"/>
      <x:c r="M161" s="120"/>
      <x:c r="N161" s="120"/>
      <x:c r="O161" s="120"/>
      <x:c r="P161" s="120"/>
      <x:c r="Q161" s="120"/>
      <x:c r="R161" s="120"/>
      <x:c r="S161" s="120"/>
      <x:c r="T161" s="120"/>
      <x:c r="U161" s="48"/>
      <x:c r="V161" s="48"/>
      <x:c r="W161" s="48"/>
      <x:c r="X161" s="48"/>
      <x:c r="Y161" s="48"/>
      <x:c r="Z161" s="49"/>
      <x:c r="AA161" s="43"/>
      <x:c r="AB161" s="43"/>
      <x:c r="AC161" s="43"/>
      <x:c r="AD161" s="43"/>
      <x:c r="AE161" s="43"/>
      <x:c r="AF161" s="87" t="str">
        <x:f>IF(OR(H161="",I161="",I161&lt;H161),"",(I161-H161)*1440)</x:f>
      </x:c>
      <x:c r="AG161" s="87" t="str">
        <x:f>IF(OR(I161="",M161="",M161&lt;I161),"",(M161-I161)*1440)</x:f>
      </x:c>
      <x:c r="AH161" s="87" t="str">
        <x:f>IF(OR(M161="",N161="",N161&lt;M161),"",(N161-M161)*1440)</x:f>
      </x:c>
      <x:c r="AI161" s="87" t="str">
        <x:f>IF(OR(H161="",N161="",N161&lt;H161),"",(N161-H161)*1440)</x:f>
      </x:c>
      <x:c r="AJ161" s="87" t="str">
        <x:f>IF(OR(I161="",N161="",N161&lt;I161),"",(N161-I161)*1440)</x:f>
      </x:c>
      <x:c r="AK161" s="87" t="str">
        <x:f>IF(OR(N161="",O161="",O161&lt;N161),"",(O161-N161)*1440)</x:f>
      </x:c>
      <x:c r="AL161" s="87" t="str">
        <x:f>IF(OR(O161="",P161="",P161&lt;O161),"",(P161-O161)*1440)</x:f>
      </x:c>
      <x:c r="AM161" s="87" t="str">
        <x:f>IF(OR(Q161="",R161="",R161&lt;Q161),"",(R161-Q161)*1440)</x:f>
      </x:c>
      <x:c r="AN161" s="87" t="str">
        <x:f>IF(OR(S161="",T161="",T161&lt;S161),"",(T161-S161)*1440)</x:f>
      </x:c>
      <x:c r="AO161" s="87" t="str">
        <x:f>IF(OR(U161="",V161=""),"",V161-U161)</x:f>
      </x:c>
      <x:c r="AP161" s="63" t="str">
        <x:f>IF(A161="","",IF(OR(B161="",H161="",N161=""),"Incompleto",IF(N161&lt;H161,"Revisar",IF(OR(G161="",G161="Não observado"),"Qualidade E0 ausente",IF(OR(G161="Sensor",G161="Marcação física"),"Válido — E0 observado",IF(G161="Cálculo","Válido — E0 calculado","Válido — E0 estimado"))))))</x:f>
      </x:c>
      <x:c r="AQ161" s="63" t="str">
        <x:f>IF(A161="","",IF(COUNTA(H161:T161)&lt;13,"Incompleta",IF(OR(I161&lt;H161,J161&lt;I161,K161&lt;J161,L161&lt;K161,M161&lt;L161,N161&lt;M161,O161&lt;N161,P161&lt;O161,Q161&lt;P161,R161&lt;Q161,S161&lt;R161,T161&lt;S161),"Revisar","Completa")))</x:f>
      </x:c>
      <x:c r="AR161" s="87" t="str">
        <x:f>IF(OR(V161="",W161="",Y161=""),"",Y161-(V161-W161))</x:f>
      </x:c>
      <x:c r="AS161" s="63" t="str">
        <x:f>IF(A161="","",IF(AND(E161&lt;&gt;"",F161&lt;&gt;"",G161&lt;&gt;"",Z161&lt;&gt;"",AA161&lt;&gt;"",AB161&lt;&gt;"",AC161&lt;&gt;""),"Completa","Incompleta"))</x:f>
      </x:c>
      <x:c r="AT161" s="63" t="str">
        <x:f>IF(A161="","",IF(COUNTIF($A$11:$A$410,A161)&gt;1,"ID duplicado",IF(AND(AR161&lt;&gt;"",ABS(AR161)&gt;0.01),"Revisar balanço",IF(AND(W161&lt;&gt;"",V161&lt;&gt;"",W161&gt;V161),"Retirada &gt; estoque",IF(AND(U161&lt;&gt;"",U161&lt;'Cenário Base'!$D$8*'Cenário Base'!$D$74),"E0 abaixo do gatilho",IF(AND(V161&lt;&gt;"",V161&gt;XLOOKUP(B161,$A$414:$A$418,$B$414:$B$418)),"Excedeu capacidade","Sem alerta"))))))</x:f>
      </x:c>
    </x:row>
    <x:row r="162">
      <x:c r="A162" s="43"/>
      <x:c r="B162" s="43"/>
      <x:c r="C162" s="43"/>
      <x:c r="D162" s="43"/>
      <x:c r="E162" s="43"/>
      <x:c r="F162" s="43"/>
      <x:c r="G162" s="43"/>
      <x:c r="H162" s="120"/>
      <x:c r="I162" s="120"/>
      <x:c r="J162" s="120"/>
      <x:c r="K162" s="120"/>
      <x:c r="L162" s="120"/>
      <x:c r="M162" s="120"/>
      <x:c r="N162" s="120"/>
      <x:c r="O162" s="120"/>
      <x:c r="P162" s="120"/>
      <x:c r="Q162" s="120"/>
      <x:c r="R162" s="120"/>
      <x:c r="S162" s="120"/>
      <x:c r="T162" s="120"/>
      <x:c r="U162" s="48"/>
      <x:c r="V162" s="48"/>
      <x:c r="W162" s="48"/>
      <x:c r="X162" s="48"/>
      <x:c r="Y162" s="48"/>
      <x:c r="Z162" s="49"/>
      <x:c r="AA162" s="43"/>
      <x:c r="AB162" s="43"/>
      <x:c r="AC162" s="43"/>
      <x:c r="AD162" s="43"/>
      <x:c r="AE162" s="43"/>
      <x:c r="AF162" s="87" t="str">
        <x:f>IF(OR(H162="",I162="",I162&lt;H162),"",(I162-H162)*1440)</x:f>
      </x:c>
      <x:c r="AG162" s="87" t="str">
        <x:f>IF(OR(I162="",M162="",M162&lt;I162),"",(M162-I162)*1440)</x:f>
      </x:c>
      <x:c r="AH162" s="87" t="str">
        <x:f>IF(OR(M162="",N162="",N162&lt;M162),"",(N162-M162)*1440)</x:f>
      </x:c>
      <x:c r="AI162" s="87" t="str">
        <x:f>IF(OR(H162="",N162="",N162&lt;H162),"",(N162-H162)*1440)</x:f>
      </x:c>
      <x:c r="AJ162" s="87" t="str">
        <x:f>IF(OR(I162="",N162="",N162&lt;I162),"",(N162-I162)*1440)</x:f>
      </x:c>
      <x:c r="AK162" s="87" t="str">
        <x:f>IF(OR(N162="",O162="",O162&lt;N162),"",(O162-N162)*1440)</x:f>
      </x:c>
      <x:c r="AL162" s="87" t="str">
        <x:f>IF(OR(O162="",P162="",P162&lt;O162),"",(P162-O162)*1440)</x:f>
      </x:c>
      <x:c r="AM162" s="87" t="str">
        <x:f>IF(OR(Q162="",R162="",R162&lt;Q162),"",(R162-Q162)*1440)</x:f>
      </x:c>
      <x:c r="AN162" s="87" t="str">
        <x:f>IF(OR(S162="",T162="",T162&lt;S162),"",(T162-S162)*1440)</x:f>
      </x:c>
      <x:c r="AO162" s="87" t="str">
        <x:f>IF(OR(U162="",V162=""),"",V162-U162)</x:f>
      </x:c>
      <x:c r="AP162" s="63" t="str">
        <x:f>IF(A162="","",IF(OR(B162="",H162="",N162=""),"Incompleto",IF(N162&lt;H162,"Revisar",IF(OR(G162="",G162="Não observado"),"Qualidade E0 ausente",IF(OR(G162="Sensor",G162="Marcação física"),"Válido — E0 observado",IF(G162="Cálculo","Válido — E0 calculado","Válido — E0 estimado"))))))</x:f>
      </x:c>
      <x:c r="AQ162" s="63" t="str">
        <x:f>IF(A162="","",IF(COUNTA(H162:T162)&lt;13,"Incompleta",IF(OR(I162&lt;H162,J162&lt;I162,K162&lt;J162,L162&lt;K162,M162&lt;L162,N162&lt;M162,O162&lt;N162,P162&lt;O162,Q162&lt;P162,R162&lt;Q162,S162&lt;R162,T162&lt;S162),"Revisar","Completa")))</x:f>
      </x:c>
      <x:c r="AR162" s="87" t="str">
        <x:f>IF(OR(V162="",W162="",Y162=""),"",Y162-(V162-W162))</x:f>
      </x:c>
      <x:c r="AS162" s="63" t="str">
        <x:f>IF(A162="","",IF(AND(E162&lt;&gt;"",F162&lt;&gt;"",G162&lt;&gt;"",Z162&lt;&gt;"",AA162&lt;&gt;"",AB162&lt;&gt;"",AC162&lt;&gt;""),"Completa","Incompleta"))</x:f>
      </x:c>
      <x:c r="AT162" s="63" t="str">
        <x:f>IF(A162="","",IF(COUNTIF($A$11:$A$410,A162)&gt;1,"ID duplicado",IF(AND(AR162&lt;&gt;"",ABS(AR162)&gt;0.01),"Revisar balanço",IF(AND(W162&lt;&gt;"",V162&lt;&gt;"",W162&gt;V162),"Retirada &gt; estoque",IF(AND(U162&lt;&gt;"",U162&lt;'Cenário Base'!$D$8*'Cenário Base'!$D$74),"E0 abaixo do gatilho",IF(AND(V162&lt;&gt;"",V162&gt;XLOOKUP(B162,$A$414:$A$418,$B$414:$B$418)),"Excedeu capacidade","Sem alerta"))))))</x:f>
      </x:c>
    </x:row>
    <x:row r="163">
      <x:c r="A163" s="43"/>
      <x:c r="B163" s="43"/>
      <x:c r="C163" s="43"/>
      <x:c r="D163" s="43"/>
      <x:c r="E163" s="43"/>
      <x:c r="F163" s="43"/>
      <x:c r="G163" s="43"/>
      <x:c r="H163" s="120"/>
      <x:c r="I163" s="120"/>
      <x:c r="J163" s="120"/>
      <x:c r="K163" s="120"/>
      <x:c r="L163" s="120"/>
      <x:c r="M163" s="120"/>
      <x:c r="N163" s="120"/>
      <x:c r="O163" s="120"/>
      <x:c r="P163" s="120"/>
      <x:c r="Q163" s="120"/>
      <x:c r="R163" s="120"/>
      <x:c r="S163" s="120"/>
      <x:c r="T163" s="120"/>
      <x:c r="U163" s="48"/>
      <x:c r="V163" s="48"/>
      <x:c r="W163" s="48"/>
      <x:c r="X163" s="48"/>
      <x:c r="Y163" s="48"/>
      <x:c r="Z163" s="49"/>
      <x:c r="AA163" s="43"/>
      <x:c r="AB163" s="43"/>
      <x:c r="AC163" s="43"/>
      <x:c r="AD163" s="43"/>
      <x:c r="AE163" s="43"/>
      <x:c r="AF163" s="87" t="str">
        <x:f>IF(OR(H163="",I163="",I163&lt;H163),"",(I163-H163)*1440)</x:f>
      </x:c>
      <x:c r="AG163" s="87" t="str">
        <x:f>IF(OR(I163="",M163="",M163&lt;I163),"",(M163-I163)*1440)</x:f>
      </x:c>
      <x:c r="AH163" s="87" t="str">
        <x:f>IF(OR(M163="",N163="",N163&lt;M163),"",(N163-M163)*1440)</x:f>
      </x:c>
      <x:c r="AI163" s="87" t="str">
        <x:f>IF(OR(H163="",N163="",N163&lt;H163),"",(N163-H163)*1440)</x:f>
      </x:c>
      <x:c r="AJ163" s="87" t="str">
        <x:f>IF(OR(I163="",N163="",N163&lt;I163),"",(N163-I163)*1440)</x:f>
      </x:c>
      <x:c r="AK163" s="87" t="str">
        <x:f>IF(OR(N163="",O163="",O163&lt;N163),"",(O163-N163)*1440)</x:f>
      </x:c>
      <x:c r="AL163" s="87" t="str">
        <x:f>IF(OR(O163="",P163="",P163&lt;O163),"",(P163-O163)*1440)</x:f>
      </x:c>
      <x:c r="AM163" s="87" t="str">
        <x:f>IF(OR(Q163="",R163="",R163&lt;Q163),"",(R163-Q163)*1440)</x:f>
      </x:c>
      <x:c r="AN163" s="87" t="str">
        <x:f>IF(OR(S163="",T163="",T163&lt;S163),"",(T163-S163)*1440)</x:f>
      </x:c>
      <x:c r="AO163" s="87" t="str">
        <x:f>IF(OR(U163="",V163=""),"",V163-U163)</x:f>
      </x:c>
      <x:c r="AP163" s="63" t="str">
        <x:f>IF(A163="","",IF(OR(B163="",H163="",N163=""),"Incompleto",IF(N163&lt;H163,"Revisar",IF(OR(G163="",G163="Não observado"),"Qualidade E0 ausente",IF(OR(G163="Sensor",G163="Marcação física"),"Válido — E0 observado",IF(G163="Cálculo","Válido — E0 calculado","Válido — E0 estimado"))))))</x:f>
      </x:c>
      <x:c r="AQ163" s="63" t="str">
        <x:f>IF(A163="","",IF(COUNTA(H163:T163)&lt;13,"Incompleta",IF(OR(I163&lt;H163,J163&lt;I163,K163&lt;J163,L163&lt;K163,M163&lt;L163,N163&lt;M163,O163&lt;N163,P163&lt;O163,Q163&lt;P163,R163&lt;Q163,S163&lt;R163,T163&lt;S163),"Revisar","Completa")))</x:f>
      </x:c>
      <x:c r="AR163" s="87" t="str">
        <x:f>IF(OR(V163="",W163="",Y163=""),"",Y163-(V163-W163))</x:f>
      </x:c>
      <x:c r="AS163" s="63" t="str">
        <x:f>IF(A163="","",IF(AND(E163&lt;&gt;"",F163&lt;&gt;"",G163&lt;&gt;"",Z163&lt;&gt;"",AA163&lt;&gt;"",AB163&lt;&gt;"",AC163&lt;&gt;""),"Completa","Incompleta"))</x:f>
      </x:c>
      <x:c r="AT163" s="63" t="str">
        <x:f>IF(A163="","",IF(COUNTIF($A$11:$A$410,A163)&gt;1,"ID duplicado",IF(AND(AR163&lt;&gt;"",ABS(AR163)&gt;0.01),"Revisar balanço",IF(AND(W163&lt;&gt;"",V163&lt;&gt;"",W163&gt;V163),"Retirada &gt; estoque",IF(AND(U163&lt;&gt;"",U163&lt;'Cenário Base'!$D$8*'Cenário Base'!$D$74),"E0 abaixo do gatilho",IF(AND(V163&lt;&gt;"",V163&gt;XLOOKUP(B163,$A$414:$A$418,$B$414:$B$418)),"Excedeu capacidade","Sem alerta"))))))</x:f>
      </x:c>
    </x:row>
    <x:row r="164">
      <x:c r="A164" s="43"/>
      <x:c r="B164" s="43"/>
      <x:c r="C164" s="43"/>
      <x:c r="D164" s="43"/>
      <x:c r="E164" s="43"/>
      <x:c r="F164" s="43"/>
      <x:c r="G164" s="43"/>
      <x:c r="H164" s="120"/>
      <x:c r="I164" s="120"/>
      <x:c r="J164" s="120"/>
      <x:c r="K164" s="120"/>
      <x:c r="L164" s="120"/>
      <x:c r="M164" s="120"/>
      <x:c r="N164" s="120"/>
      <x:c r="O164" s="120"/>
      <x:c r="P164" s="120"/>
      <x:c r="Q164" s="120"/>
      <x:c r="R164" s="120"/>
      <x:c r="S164" s="120"/>
      <x:c r="T164" s="120"/>
      <x:c r="U164" s="48"/>
      <x:c r="V164" s="48"/>
      <x:c r="W164" s="48"/>
      <x:c r="X164" s="48"/>
      <x:c r="Y164" s="48"/>
      <x:c r="Z164" s="49"/>
      <x:c r="AA164" s="43"/>
      <x:c r="AB164" s="43"/>
      <x:c r="AC164" s="43"/>
      <x:c r="AD164" s="43"/>
      <x:c r="AE164" s="43"/>
      <x:c r="AF164" s="87" t="str">
        <x:f>IF(OR(H164="",I164="",I164&lt;H164),"",(I164-H164)*1440)</x:f>
      </x:c>
      <x:c r="AG164" s="87" t="str">
        <x:f>IF(OR(I164="",M164="",M164&lt;I164),"",(M164-I164)*1440)</x:f>
      </x:c>
      <x:c r="AH164" s="87" t="str">
        <x:f>IF(OR(M164="",N164="",N164&lt;M164),"",(N164-M164)*1440)</x:f>
      </x:c>
      <x:c r="AI164" s="87" t="str">
        <x:f>IF(OR(H164="",N164="",N164&lt;H164),"",(N164-H164)*1440)</x:f>
      </x:c>
      <x:c r="AJ164" s="87" t="str">
        <x:f>IF(OR(I164="",N164="",N164&lt;I164),"",(N164-I164)*1440)</x:f>
      </x:c>
      <x:c r="AK164" s="87" t="str">
        <x:f>IF(OR(N164="",O164="",O164&lt;N164),"",(O164-N164)*1440)</x:f>
      </x:c>
      <x:c r="AL164" s="87" t="str">
        <x:f>IF(OR(O164="",P164="",P164&lt;O164),"",(P164-O164)*1440)</x:f>
      </x:c>
      <x:c r="AM164" s="87" t="str">
        <x:f>IF(OR(Q164="",R164="",R164&lt;Q164),"",(R164-Q164)*1440)</x:f>
      </x:c>
      <x:c r="AN164" s="87" t="str">
        <x:f>IF(OR(S164="",T164="",T164&lt;S164),"",(T164-S164)*1440)</x:f>
      </x:c>
      <x:c r="AO164" s="87" t="str">
        <x:f>IF(OR(U164="",V164=""),"",V164-U164)</x:f>
      </x:c>
      <x:c r="AP164" s="63" t="str">
        <x:f>IF(A164="","",IF(OR(B164="",H164="",N164=""),"Incompleto",IF(N164&lt;H164,"Revisar",IF(OR(G164="",G164="Não observado"),"Qualidade E0 ausente",IF(OR(G164="Sensor",G164="Marcação física"),"Válido — E0 observado",IF(G164="Cálculo","Válido — E0 calculado","Válido — E0 estimado"))))))</x:f>
      </x:c>
      <x:c r="AQ164" s="63" t="str">
        <x:f>IF(A164="","",IF(COUNTA(H164:T164)&lt;13,"Incompleta",IF(OR(I164&lt;H164,J164&lt;I164,K164&lt;J164,L164&lt;K164,M164&lt;L164,N164&lt;M164,O164&lt;N164,P164&lt;O164,Q164&lt;P164,R164&lt;Q164,S164&lt;R164,T164&lt;S164),"Revisar","Completa")))</x:f>
      </x:c>
      <x:c r="AR164" s="87" t="str">
        <x:f>IF(OR(V164="",W164="",Y164=""),"",Y164-(V164-W164))</x:f>
      </x:c>
      <x:c r="AS164" s="63" t="str">
        <x:f>IF(A164="","",IF(AND(E164&lt;&gt;"",F164&lt;&gt;"",G164&lt;&gt;"",Z164&lt;&gt;"",AA164&lt;&gt;"",AB164&lt;&gt;"",AC164&lt;&gt;""),"Completa","Incompleta"))</x:f>
      </x:c>
      <x:c r="AT164" s="63" t="str">
        <x:f>IF(A164="","",IF(COUNTIF($A$11:$A$410,A164)&gt;1,"ID duplicado",IF(AND(AR164&lt;&gt;"",ABS(AR164)&gt;0.01),"Revisar balanço",IF(AND(W164&lt;&gt;"",V164&lt;&gt;"",W164&gt;V164),"Retirada &gt; estoque",IF(AND(U164&lt;&gt;"",U164&lt;'Cenário Base'!$D$8*'Cenário Base'!$D$74),"E0 abaixo do gatilho",IF(AND(V164&lt;&gt;"",V164&gt;XLOOKUP(B164,$A$414:$A$418,$B$414:$B$418)),"Excedeu capacidade","Sem alerta"))))))</x:f>
      </x:c>
    </x:row>
    <x:row r="165">
      <x:c r="A165" s="43"/>
      <x:c r="B165" s="43"/>
      <x:c r="C165" s="43"/>
      <x:c r="D165" s="43"/>
      <x:c r="E165" s="43"/>
      <x:c r="F165" s="43"/>
      <x:c r="G165" s="43"/>
      <x:c r="H165" s="120"/>
      <x:c r="I165" s="120"/>
      <x:c r="J165" s="120"/>
      <x:c r="K165" s="120"/>
      <x:c r="L165" s="120"/>
      <x:c r="M165" s="120"/>
      <x:c r="N165" s="120"/>
      <x:c r="O165" s="120"/>
      <x:c r="P165" s="120"/>
      <x:c r="Q165" s="120"/>
      <x:c r="R165" s="120"/>
      <x:c r="S165" s="120"/>
      <x:c r="T165" s="120"/>
      <x:c r="U165" s="48"/>
      <x:c r="V165" s="48"/>
      <x:c r="W165" s="48"/>
      <x:c r="X165" s="48"/>
      <x:c r="Y165" s="48"/>
      <x:c r="Z165" s="49"/>
      <x:c r="AA165" s="43"/>
      <x:c r="AB165" s="43"/>
      <x:c r="AC165" s="43"/>
      <x:c r="AD165" s="43"/>
      <x:c r="AE165" s="43"/>
      <x:c r="AF165" s="87" t="str">
        <x:f>IF(OR(H165="",I165="",I165&lt;H165),"",(I165-H165)*1440)</x:f>
      </x:c>
      <x:c r="AG165" s="87" t="str">
        <x:f>IF(OR(I165="",M165="",M165&lt;I165),"",(M165-I165)*1440)</x:f>
      </x:c>
      <x:c r="AH165" s="87" t="str">
        <x:f>IF(OR(M165="",N165="",N165&lt;M165),"",(N165-M165)*1440)</x:f>
      </x:c>
      <x:c r="AI165" s="87" t="str">
        <x:f>IF(OR(H165="",N165="",N165&lt;H165),"",(N165-H165)*1440)</x:f>
      </x:c>
      <x:c r="AJ165" s="87" t="str">
        <x:f>IF(OR(I165="",N165="",N165&lt;I165),"",(N165-I165)*1440)</x:f>
      </x:c>
      <x:c r="AK165" s="87" t="str">
        <x:f>IF(OR(N165="",O165="",O165&lt;N165),"",(O165-N165)*1440)</x:f>
      </x:c>
      <x:c r="AL165" s="87" t="str">
        <x:f>IF(OR(O165="",P165="",P165&lt;O165),"",(P165-O165)*1440)</x:f>
      </x:c>
      <x:c r="AM165" s="87" t="str">
        <x:f>IF(OR(Q165="",R165="",R165&lt;Q165),"",(R165-Q165)*1440)</x:f>
      </x:c>
      <x:c r="AN165" s="87" t="str">
        <x:f>IF(OR(S165="",T165="",T165&lt;S165),"",(T165-S165)*1440)</x:f>
      </x:c>
      <x:c r="AO165" s="87" t="str">
        <x:f>IF(OR(U165="",V165=""),"",V165-U165)</x:f>
      </x:c>
      <x:c r="AP165" s="63" t="str">
        <x:f>IF(A165="","",IF(OR(B165="",H165="",N165=""),"Incompleto",IF(N165&lt;H165,"Revisar",IF(OR(G165="",G165="Não observado"),"Qualidade E0 ausente",IF(OR(G165="Sensor",G165="Marcação física"),"Válido — E0 observado",IF(G165="Cálculo","Válido — E0 calculado","Válido — E0 estimado"))))))</x:f>
      </x:c>
      <x:c r="AQ165" s="63" t="str">
        <x:f>IF(A165="","",IF(COUNTA(H165:T165)&lt;13,"Incompleta",IF(OR(I165&lt;H165,J165&lt;I165,K165&lt;J165,L165&lt;K165,M165&lt;L165,N165&lt;M165,O165&lt;N165,P165&lt;O165,Q165&lt;P165,R165&lt;Q165,S165&lt;R165,T165&lt;S165),"Revisar","Completa")))</x:f>
      </x:c>
      <x:c r="AR165" s="87" t="str">
        <x:f>IF(OR(V165="",W165="",Y165=""),"",Y165-(V165-W165))</x:f>
      </x:c>
      <x:c r="AS165" s="63" t="str">
        <x:f>IF(A165="","",IF(AND(E165&lt;&gt;"",F165&lt;&gt;"",G165&lt;&gt;"",Z165&lt;&gt;"",AA165&lt;&gt;"",AB165&lt;&gt;"",AC165&lt;&gt;""),"Completa","Incompleta"))</x:f>
      </x:c>
      <x:c r="AT165" s="63" t="str">
        <x:f>IF(A165="","",IF(COUNTIF($A$11:$A$410,A165)&gt;1,"ID duplicado",IF(AND(AR165&lt;&gt;"",ABS(AR165)&gt;0.01),"Revisar balanço",IF(AND(W165&lt;&gt;"",V165&lt;&gt;"",W165&gt;V165),"Retirada &gt; estoque",IF(AND(U165&lt;&gt;"",U165&lt;'Cenário Base'!$D$8*'Cenário Base'!$D$74),"E0 abaixo do gatilho",IF(AND(V165&lt;&gt;"",V165&gt;XLOOKUP(B165,$A$414:$A$418,$B$414:$B$418)),"Excedeu capacidade","Sem alerta"))))))</x:f>
      </x:c>
    </x:row>
    <x:row r="166">
      <x:c r="A166" s="43"/>
      <x:c r="B166" s="43"/>
      <x:c r="C166" s="43"/>
      <x:c r="D166" s="43"/>
      <x:c r="E166" s="43"/>
      <x:c r="F166" s="43"/>
      <x:c r="G166" s="43"/>
      <x:c r="H166" s="120"/>
      <x:c r="I166" s="120"/>
      <x:c r="J166" s="120"/>
      <x:c r="K166" s="120"/>
      <x:c r="L166" s="120"/>
      <x:c r="M166" s="120"/>
      <x:c r="N166" s="120"/>
      <x:c r="O166" s="120"/>
      <x:c r="P166" s="120"/>
      <x:c r="Q166" s="120"/>
      <x:c r="R166" s="120"/>
      <x:c r="S166" s="120"/>
      <x:c r="T166" s="120"/>
      <x:c r="U166" s="48"/>
      <x:c r="V166" s="48"/>
      <x:c r="W166" s="48"/>
      <x:c r="X166" s="48"/>
      <x:c r="Y166" s="48"/>
      <x:c r="Z166" s="49"/>
      <x:c r="AA166" s="43"/>
      <x:c r="AB166" s="43"/>
      <x:c r="AC166" s="43"/>
      <x:c r="AD166" s="43"/>
      <x:c r="AE166" s="43"/>
      <x:c r="AF166" s="87" t="str">
        <x:f>IF(OR(H166="",I166="",I166&lt;H166),"",(I166-H166)*1440)</x:f>
      </x:c>
      <x:c r="AG166" s="87" t="str">
        <x:f>IF(OR(I166="",M166="",M166&lt;I166),"",(M166-I166)*1440)</x:f>
      </x:c>
      <x:c r="AH166" s="87" t="str">
        <x:f>IF(OR(M166="",N166="",N166&lt;M166),"",(N166-M166)*1440)</x:f>
      </x:c>
      <x:c r="AI166" s="87" t="str">
        <x:f>IF(OR(H166="",N166="",N166&lt;H166),"",(N166-H166)*1440)</x:f>
      </x:c>
      <x:c r="AJ166" s="87" t="str">
        <x:f>IF(OR(I166="",N166="",N166&lt;I166),"",(N166-I166)*1440)</x:f>
      </x:c>
      <x:c r="AK166" s="87" t="str">
        <x:f>IF(OR(N166="",O166="",O166&lt;N166),"",(O166-N166)*1440)</x:f>
      </x:c>
      <x:c r="AL166" s="87" t="str">
        <x:f>IF(OR(O166="",P166="",P166&lt;O166),"",(P166-O166)*1440)</x:f>
      </x:c>
      <x:c r="AM166" s="87" t="str">
        <x:f>IF(OR(Q166="",R166="",R166&lt;Q166),"",(R166-Q166)*1440)</x:f>
      </x:c>
      <x:c r="AN166" s="87" t="str">
        <x:f>IF(OR(S166="",T166="",T166&lt;S166),"",(T166-S166)*1440)</x:f>
      </x:c>
      <x:c r="AO166" s="87" t="str">
        <x:f>IF(OR(U166="",V166=""),"",V166-U166)</x:f>
      </x:c>
      <x:c r="AP166" s="63" t="str">
        <x:f>IF(A166="","",IF(OR(B166="",H166="",N166=""),"Incompleto",IF(N166&lt;H166,"Revisar",IF(OR(G166="",G166="Não observado"),"Qualidade E0 ausente",IF(OR(G166="Sensor",G166="Marcação física"),"Válido — E0 observado",IF(G166="Cálculo","Válido — E0 calculado","Válido — E0 estimado"))))))</x:f>
      </x:c>
      <x:c r="AQ166" s="63" t="str">
        <x:f>IF(A166="","",IF(COUNTA(H166:T166)&lt;13,"Incompleta",IF(OR(I166&lt;H166,J166&lt;I166,K166&lt;J166,L166&lt;K166,M166&lt;L166,N166&lt;M166,O166&lt;N166,P166&lt;O166,Q166&lt;P166,R166&lt;Q166,S166&lt;R166,T166&lt;S166),"Revisar","Completa")))</x:f>
      </x:c>
      <x:c r="AR166" s="87" t="str">
        <x:f>IF(OR(V166="",W166="",Y166=""),"",Y166-(V166-W166))</x:f>
      </x:c>
      <x:c r="AS166" s="63" t="str">
        <x:f>IF(A166="","",IF(AND(E166&lt;&gt;"",F166&lt;&gt;"",G166&lt;&gt;"",Z166&lt;&gt;"",AA166&lt;&gt;"",AB166&lt;&gt;"",AC166&lt;&gt;""),"Completa","Incompleta"))</x:f>
      </x:c>
      <x:c r="AT166" s="63" t="str">
        <x:f>IF(A166="","",IF(COUNTIF($A$11:$A$410,A166)&gt;1,"ID duplicado",IF(AND(AR166&lt;&gt;"",ABS(AR166)&gt;0.01),"Revisar balanço",IF(AND(W166&lt;&gt;"",V166&lt;&gt;"",W166&gt;V166),"Retirada &gt; estoque",IF(AND(U166&lt;&gt;"",U166&lt;'Cenário Base'!$D$8*'Cenário Base'!$D$74),"E0 abaixo do gatilho",IF(AND(V166&lt;&gt;"",V166&gt;XLOOKUP(B166,$A$414:$A$418,$B$414:$B$418)),"Excedeu capacidade","Sem alerta"))))))</x:f>
      </x:c>
    </x:row>
    <x:row r="167">
      <x:c r="A167" s="43"/>
      <x:c r="B167" s="43"/>
      <x:c r="C167" s="43"/>
      <x:c r="D167" s="43"/>
      <x:c r="E167" s="43"/>
      <x:c r="F167" s="43"/>
      <x:c r="G167" s="43"/>
      <x:c r="H167" s="120"/>
      <x:c r="I167" s="120"/>
      <x:c r="J167" s="120"/>
      <x:c r="K167" s="120"/>
      <x:c r="L167" s="120"/>
      <x:c r="M167" s="120"/>
      <x:c r="N167" s="120"/>
      <x:c r="O167" s="120"/>
      <x:c r="P167" s="120"/>
      <x:c r="Q167" s="120"/>
      <x:c r="R167" s="120"/>
      <x:c r="S167" s="120"/>
      <x:c r="T167" s="120"/>
      <x:c r="U167" s="48"/>
      <x:c r="V167" s="48"/>
      <x:c r="W167" s="48"/>
      <x:c r="X167" s="48"/>
      <x:c r="Y167" s="48"/>
      <x:c r="Z167" s="49"/>
      <x:c r="AA167" s="43"/>
      <x:c r="AB167" s="43"/>
      <x:c r="AC167" s="43"/>
      <x:c r="AD167" s="43"/>
      <x:c r="AE167" s="43"/>
      <x:c r="AF167" s="87" t="str">
        <x:f>IF(OR(H167="",I167="",I167&lt;H167),"",(I167-H167)*1440)</x:f>
      </x:c>
      <x:c r="AG167" s="87" t="str">
        <x:f>IF(OR(I167="",M167="",M167&lt;I167),"",(M167-I167)*1440)</x:f>
      </x:c>
      <x:c r="AH167" s="87" t="str">
        <x:f>IF(OR(M167="",N167="",N167&lt;M167),"",(N167-M167)*1440)</x:f>
      </x:c>
      <x:c r="AI167" s="87" t="str">
        <x:f>IF(OR(H167="",N167="",N167&lt;H167),"",(N167-H167)*1440)</x:f>
      </x:c>
      <x:c r="AJ167" s="87" t="str">
        <x:f>IF(OR(I167="",N167="",N167&lt;I167),"",(N167-I167)*1440)</x:f>
      </x:c>
      <x:c r="AK167" s="87" t="str">
        <x:f>IF(OR(N167="",O167="",O167&lt;N167),"",(O167-N167)*1440)</x:f>
      </x:c>
      <x:c r="AL167" s="87" t="str">
        <x:f>IF(OR(O167="",P167="",P167&lt;O167),"",(P167-O167)*1440)</x:f>
      </x:c>
      <x:c r="AM167" s="87" t="str">
        <x:f>IF(OR(Q167="",R167="",R167&lt;Q167),"",(R167-Q167)*1440)</x:f>
      </x:c>
      <x:c r="AN167" s="87" t="str">
        <x:f>IF(OR(S167="",T167="",T167&lt;S167),"",(T167-S167)*1440)</x:f>
      </x:c>
      <x:c r="AO167" s="87" t="str">
        <x:f>IF(OR(U167="",V167=""),"",V167-U167)</x:f>
      </x:c>
      <x:c r="AP167" s="63" t="str">
        <x:f>IF(A167="","",IF(OR(B167="",H167="",N167=""),"Incompleto",IF(N167&lt;H167,"Revisar",IF(OR(G167="",G167="Não observado"),"Qualidade E0 ausente",IF(OR(G167="Sensor",G167="Marcação física"),"Válido — E0 observado",IF(G167="Cálculo","Válido — E0 calculado","Válido — E0 estimado"))))))</x:f>
      </x:c>
      <x:c r="AQ167" s="63" t="str">
        <x:f>IF(A167="","",IF(COUNTA(H167:T167)&lt;13,"Incompleta",IF(OR(I167&lt;H167,J167&lt;I167,K167&lt;J167,L167&lt;K167,M167&lt;L167,N167&lt;M167,O167&lt;N167,P167&lt;O167,Q167&lt;P167,R167&lt;Q167,S167&lt;R167,T167&lt;S167),"Revisar","Completa")))</x:f>
      </x:c>
      <x:c r="AR167" s="87" t="str">
        <x:f>IF(OR(V167="",W167="",Y167=""),"",Y167-(V167-W167))</x:f>
      </x:c>
      <x:c r="AS167" s="63" t="str">
        <x:f>IF(A167="","",IF(AND(E167&lt;&gt;"",F167&lt;&gt;"",G167&lt;&gt;"",Z167&lt;&gt;"",AA167&lt;&gt;"",AB167&lt;&gt;"",AC167&lt;&gt;""),"Completa","Incompleta"))</x:f>
      </x:c>
      <x:c r="AT167" s="63" t="str">
        <x:f>IF(A167="","",IF(COUNTIF($A$11:$A$410,A167)&gt;1,"ID duplicado",IF(AND(AR167&lt;&gt;"",ABS(AR167)&gt;0.01),"Revisar balanço",IF(AND(W167&lt;&gt;"",V167&lt;&gt;"",W167&gt;V167),"Retirada &gt; estoque",IF(AND(U167&lt;&gt;"",U167&lt;'Cenário Base'!$D$8*'Cenário Base'!$D$74),"E0 abaixo do gatilho",IF(AND(V167&lt;&gt;"",V167&gt;XLOOKUP(B167,$A$414:$A$418,$B$414:$B$418)),"Excedeu capacidade","Sem alerta"))))))</x:f>
      </x:c>
    </x:row>
    <x:row r="168">
      <x:c r="A168" s="43"/>
      <x:c r="B168" s="43"/>
      <x:c r="C168" s="43"/>
      <x:c r="D168" s="43"/>
      <x:c r="E168" s="43"/>
      <x:c r="F168" s="43"/>
      <x:c r="G168" s="43"/>
      <x:c r="H168" s="120"/>
      <x:c r="I168" s="120"/>
      <x:c r="J168" s="120"/>
      <x:c r="K168" s="120"/>
      <x:c r="L168" s="120"/>
      <x:c r="M168" s="120"/>
      <x:c r="N168" s="120"/>
      <x:c r="O168" s="120"/>
      <x:c r="P168" s="120"/>
      <x:c r="Q168" s="120"/>
      <x:c r="R168" s="120"/>
      <x:c r="S168" s="120"/>
      <x:c r="T168" s="120"/>
      <x:c r="U168" s="48"/>
      <x:c r="V168" s="48"/>
      <x:c r="W168" s="48"/>
      <x:c r="X168" s="48"/>
      <x:c r="Y168" s="48"/>
      <x:c r="Z168" s="49"/>
      <x:c r="AA168" s="43"/>
      <x:c r="AB168" s="43"/>
      <x:c r="AC168" s="43"/>
      <x:c r="AD168" s="43"/>
      <x:c r="AE168" s="43"/>
      <x:c r="AF168" s="87" t="str">
        <x:f>IF(OR(H168="",I168="",I168&lt;H168),"",(I168-H168)*1440)</x:f>
      </x:c>
      <x:c r="AG168" s="87" t="str">
        <x:f>IF(OR(I168="",M168="",M168&lt;I168),"",(M168-I168)*1440)</x:f>
      </x:c>
      <x:c r="AH168" s="87" t="str">
        <x:f>IF(OR(M168="",N168="",N168&lt;M168),"",(N168-M168)*1440)</x:f>
      </x:c>
      <x:c r="AI168" s="87" t="str">
        <x:f>IF(OR(H168="",N168="",N168&lt;H168),"",(N168-H168)*1440)</x:f>
      </x:c>
      <x:c r="AJ168" s="87" t="str">
        <x:f>IF(OR(I168="",N168="",N168&lt;I168),"",(N168-I168)*1440)</x:f>
      </x:c>
      <x:c r="AK168" s="87" t="str">
        <x:f>IF(OR(N168="",O168="",O168&lt;N168),"",(O168-N168)*1440)</x:f>
      </x:c>
      <x:c r="AL168" s="87" t="str">
        <x:f>IF(OR(O168="",P168="",P168&lt;O168),"",(P168-O168)*1440)</x:f>
      </x:c>
      <x:c r="AM168" s="87" t="str">
        <x:f>IF(OR(Q168="",R168="",R168&lt;Q168),"",(R168-Q168)*1440)</x:f>
      </x:c>
      <x:c r="AN168" s="87" t="str">
        <x:f>IF(OR(S168="",T168="",T168&lt;S168),"",(T168-S168)*1440)</x:f>
      </x:c>
      <x:c r="AO168" s="87" t="str">
        <x:f>IF(OR(U168="",V168=""),"",V168-U168)</x:f>
      </x:c>
      <x:c r="AP168" s="63" t="str">
        <x:f>IF(A168="","",IF(OR(B168="",H168="",N168=""),"Incompleto",IF(N168&lt;H168,"Revisar",IF(OR(G168="",G168="Não observado"),"Qualidade E0 ausente",IF(OR(G168="Sensor",G168="Marcação física"),"Válido — E0 observado",IF(G168="Cálculo","Válido — E0 calculado","Válido — E0 estimado"))))))</x:f>
      </x:c>
      <x:c r="AQ168" s="63" t="str">
        <x:f>IF(A168="","",IF(COUNTA(H168:T168)&lt;13,"Incompleta",IF(OR(I168&lt;H168,J168&lt;I168,K168&lt;J168,L168&lt;K168,M168&lt;L168,N168&lt;M168,O168&lt;N168,P168&lt;O168,Q168&lt;P168,R168&lt;Q168,S168&lt;R168,T168&lt;S168),"Revisar","Completa")))</x:f>
      </x:c>
      <x:c r="AR168" s="87" t="str">
        <x:f>IF(OR(V168="",W168="",Y168=""),"",Y168-(V168-W168))</x:f>
      </x:c>
      <x:c r="AS168" s="63" t="str">
        <x:f>IF(A168="","",IF(AND(E168&lt;&gt;"",F168&lt;&gt;"",G168&lt;&gt;"",Z168&lt;&gt;"",AA168&lt;&gt;"",AB168&lt;&gt;"",AC168&lt;&gt;""),"Completa","Incompleta"))</x:f>
      </x:c>
      <x:c r="AT168" s="63" t="str">
        <x:f>IF(A168="","",IF(COUNTIF($A$11:$A$410,A168)&gt;1,"ID duplicado",IF(AND(AR168&lt;&gt;"",ABS(AR168)&gt;0.01),"Revisar balanço",IF(AND(W168&lt;&gt;"",V168&lt;&gt;"",W168&gt;V168),"Retirada &gt; estoque",IF(AND(U168&lt;&gt;"",U168&lt;'Cenário Base'!$D$8*'Cenário Base'!$D$74),"E0 abaixo do gatilho",IF(AND(V168&lt;&gt;"",V168&gt;XLOOKUP(B168,$A$414:$A$418,$B$414:$B$418)),"Excedeu capacidade","Sem alerta"))))))</x:f>
      </x:c>
    </x:row>
    <x:row r="169">
      <x:c r="A169" s="43"/>
      <x:c r="B169" s="43"/>
      <x:c r="C169" s="43"/>
      <x:c r="D169" s="43"/>
      <x:c r="E169" s="43"/>
      <x:c r="F169" s="43"/>
      <x:c r="G169" s="43"/>
      <x:c r="H169" s="120"/>
      <x:c r="I169" s="120"/>
      <x:c r="J169" s="120"/>
      <x:c r="K169" s="120"/>
      <x:c r="L169" s="120"/>
      <x:c r="M169" s="120"/>
      <x:c r="N169" s="120"/>
      <x:c r="O169" s="120"/>
      <x:c r="P169" s="120"/>
      <x:c r="Q169" s="120"/>
      <x:c r="R169" s="120"/>
      <x:c r="S169" s="120"/>
      <x:c r="T169" s="120"/>
      <x:c r="U169" s="48"/>
      <x:c r="V169" s="48"/>
      <x:c r="W169" s="48"/>
      <x:c r="X169" s="48"/>
      <x:c r="Y169" s="48"/>
      <x:c r="Z169" s="49"/>
      <x:c r="AA169" s="43"/>
      <x:c r="AB169" s="43"/>
      <x:c r="AC169" s="43"/>
      <x:c r="AD169" s="43"/>
      <x:c r="AE169" s="43"/>
      <x:c r="AF169" s="87" t="str">
        <x:f>IF(OR(H169="",I169="",I169&lt;H169),"",(I169-H169)*1440)</x:f>
      </x:c>
      <x:c r="AG169" s="87" t="str">
        <x:f>IF(OR(I169="",M169="",M169&lt;I169),"",(M169-I169)*1440)</x:f>
      </x:c>
      <x:c r="AH169" s="87" t="str">
        <x:f>IF(OR(M169="",N169="",N169&lt;M169),"",(N169-M169)*1440)</x:f>
      </x:c>
      <x:c r="AI169" s="87" t="str">
        <x:f>IF(OR(H169="",N169="",N169&lt;H169),"",(N169-H169)*1440)</x:f>
      </x:c>
      <x:c r="AJ169" s="87" t="str">
        <x:f>IF(OR(I169="",N169="",N169&lt;I169),"",(N169-I169)*1440)</x:f>
      </x:c>
      <x:c r="AK169" s="87" t="str">
        <x:f>IF(OR(N169="",O169="",O169&lt;N169),"",(O169-N169)*1440)</x:f>
      </x:c>
      <x:c r="AL169" s="87" t="str">
        <x:f>IF(OR(O169="",P169="",P169&lt;O169),"",(P169-O169)*1440)</x:f>
      </x:c>
      <x:c r="AM169" s="87" t="str">
        <x:f>IF(OR(Q169="",R169="",R169&lt;Q169),"",(R169-Q169)*1440)</x:f>
      </x:c>
      <x:c r="AN169" s="87" t="str">
        <x:f>IF(OR(S169="",T169="",T169&lt;S169),"",(T169-S169)*1440)</x:f>
      </x:c>
      <x:c r="AO169" s="87" t="str">
        <x:f>IF(OR(U169="",V169=""),"",V169-U169)</x:f>
      </x:c>
      <x:c r="AP169" s="63" t="str">
        <x:f>IF(A169="","",IF(OR(B169="",H169="",N169=""),"Incompleto",IF(N169&lt;H169,"Revisar",IF(OR(G169="",G169="Não observado"),"Qualidade E0 ausente",IF(OR(G169="Sensor",G169="Marcação física"),"Válido — E0 observado",IF(G169="Cálculo","Válido — E0 calculado","Válido — E0 estimado"))))))</x:f>
      </x:c>
      <x:c r="AQ169" s="63" t="str">
        <x:f>IF(A169="","",IF(COUNTA(H169:T169)&lt;13,"Incompleta",IF(OR(I169&lt;H169,J169&lt;I169,K169&lt;J169,L169&lt;K169,M169&lt;L169,N169&lt;M169,O169&lt;N169,P169&lt;O169,Q169&lt;P169,R169&lt;Q169,S169&lt;R169,T169&lt;S169),"Revisar","Completa")))</x:f>
      </x:c>
      <x:c r="AR169" s="87" t="str">
        <x:f>IF(OR(V169="",W169="",Y169=""),"",Y169-(V169-W169))</x:f>
      </x:c>
      <x:c r="AS169" s="63" t="str">
        <x:f>IF(A169="","",IF(AND(E169&lt;&gt;"",F169&lt;&gt;"",G169&lt;&gt;"",Z169&lt;&gt;"",AA169&lt;&gt;"",AB169&lt;&gt;"",AC169&lt;&gt;""),"Completa","Incompleta"))</x:f>
      </x:c>
      <x:c r="AT169" s="63" t="str">
        <x:f>IF(A169="","",IF(COUNTIF($A$11:$A$410,A169)&gt;1,"ID duplicado",IF(AND(AR169&lt;&gt;"",ABS(AR169)&gt;0.01),"Revisar balanço",IF(AND(W169&lt;&gt;"",V169&lt;&gt;"",W169&gt;V169),"Retirada &gt; estoque",IF(AND(U169&lt;&gt;"",U169&lt;'Cenário Base'!$D$8*'Cenário Base'!$D$74),"E0 abaixo do gatilho",IF(AND(V169&lt;&gt;"",V169&gt;XLOOKUP(B169,$A$414:$A$418,$B$414:$B$418)),"Excedeu capacidade","Sem alerta"))))))</x:f>
      </x:c>
    </x:row>
    <x:row r="170">
      <x:c r="A170" s="43"/>
      <x:c r="B170" s="43"/>
      <x:c r="C170" s="43"/>
      <x:c r="D170" s="43"/>
      <x:c r="E170" s="43"/>
      <x:c r="F170" s="43"/>
      <x:c r="G170" s="43"/>
      <x:c r="H170" s="120"/>
      <x:c r="I170" s="120"/>
      <x:c r="J170" s="120"/>
      <x:c r="K170" s="120"/>
      <x:c r="L170" s="120"/>
      <x:c r="M170" s="120"/>
      <x:c r="N170" s="120"/>
      <x:c r="O170" s="120"/>
      <x:c r="P170" s="120"/>
      <x:c r="Q170" s="120"/>
      <x:c r="R170" s="120"/>
      <x:c r="S170" s="120"/>
      <x:c r="T170" s="120"/>
      <x:c r="U170" s="48"/>
      <x:c r="V170" s="48"/>
      <x:c r="W170" s="48"/>
      <x:c r="X170" s="48"/>
      <x:c r="Y170" s="48"/>
      <x:c r="Z170" s="49"/>
      <x:c r="AA170" s="43"/>
      <x:c r="AB170" s="43"/>
      <x:c r="AC170" s="43"/>
      <x:c r="AD170" s="43"/>
      <x:c r="AE170" s="43"/>
      <x:c r="AF170" s="87" t="str">
        <x:f>IF(OR(H170="",I170="",I170&lt;H170),"",(I170-H170)*1440)</x:f>
      </x:c>
      <x:c r="AG170" s="87" t="str">
        <x:f>IF(OR(I170="",M170="",M170&lt;I170),"",(M170-I170)*1440)</x:f>
      </x:c>
      <x:c r="AH170" s="87" t="str">
        <x:f>IF(OR(M170="",N170="",N170&lt;M170),"",(N170-M170)*1440)</x:f>
      </x:c>
      <x:c r="AI170" s="87" t="str">
        <x:f>IF(OR(H170="",N170="",N170&lt;H170),"",(N170-H170)*1440)</x:f>
      </x:c>
      <x:c r="AJ170" s="87" t="str">
        <x:f>IF(OR(I170="",N170="",N170&lt;I170),"",(N170-I170)*1440)</x:f>
      </x:c>
      <x:c r="AK170" s="87" t="str">
        <x:f>IF(OR(N170="",O170="",O170&lt;N170),"",(O170-N170)*1440)</x:f>
      </x:c>
      <x:c r="AL170" s="87" t="str">
        <x:f>IF(OR(O170="",P170="",P170&lt;O170),"",(P170-O170)*1440)</x:f>
      </x:c>
      <x:c r="AM170" s="87" t="str">
        <x:f>IF(OR(Q170="",R170="",R170&lt;Q170),"",(R170-Q170)*1440)</x:f>
      </x:c>
      <x:c r="AN170" s="87" t="str">
        <x:f>IF(OR(S170="",T170="",T170&lt;S170),"",(T170-S170)*1440)</x:f>
      </x:c>
      <x:c r="AO170" s="87" t="str">
        <x:f>IF(OR(U170="",V170=""),"",V170-U170)</x:f>
      </x:c>
      <x:c r="AP170" s="63" t="str">
        <x:f>IF(A170="","",IF(OR(B170="",H170="",N170=""),"Incompleto",IF(N170&lt;H170,"Revisar",IF(OR(G170="",G170="Não observado"),"Qualidade E0 ausente",IF(OR(G170="Sensor",G170="Marcação física"),"Válido — E0 observado",IF(G170="Cálculo","Válido — E0 calculado","Válido — E0 estimado"))))))</x:f>
      </x:c>
      <x:c r="AQ170" s="63" t="str">
        <x:f>IF(A170="","",IF(COUNTA(H170:T170)&lt;13,"Incompleta",IF(OR(I170&lt;H170,J170&lt;I170,K170&lt;J170,L170&lt;K170,M170&lt;L170,N170&lt;M170,O170&lt;N170,P170&lt;O170,Q170&lt;P170,R170&lt;Q170,S170&lt;R170,T170&lt;S170),"Revisar","Completa")))</x:f>
      </x:c>
      <x:c r="AR170" s="87" t="str">
        <x:f>IF(OR(V170="",W170="",Y170=""),"",Y170-(V170-W170))</x:f>
      </x:c>
      <x:c r="AS170" s="63" t="str">
        <x:f>IF(A170="","",IF(AND(E170&lt;&gt;"",F170&lt;&gt;"",G170&lt;&gt;"",Z170&lt;&gt;"",AA170&lt;&gt;"",AB170&lt;&gt;"",AC170&lt;&gt;""),"Completa","Incompleta"))</x:f>
      </x:c>
      <x:c r="AT170" s="63" t="str">
        <x:f>IF(A170="","",IF(COUNTIF($A$11:$A$410,A170)&gt;1,"ID duplicado",IF(AND(AR170&lt;&gt;"",ABS(AR170)&gt;0.01),"Revisar balanço",IF(AND(W170&lt;&gt;"",V170&lt;&gt;"",W170&gt;V170),"Retirada &gt; estoque",IF(AND(U170&lt;&gt;"",U170&lt;'Cenário Base'!$D$8*'Cenário Base'!$D$74),"E0 abaixo do gatilho",IF(AND(V170&lt;&gt;"",V170&gt;XLOOKUP(B170,$A$414:$A$418,$B$414:$B$418)),"Excedeu capacidade","Sem alerta"))))))</x:f>
      </x:c>
    </x:row>
    <x:row r="171">
      <x:c r="A171" s="43"/>
      <x:c r="B171" s="43"/>
      <x:c r="C171" s="43"/>
      <x:c r="D171" s="43"/>
      <x:c r="E171" s="43"/>
      <x:c r="F171" s="43"/>
      <x:c r="G171" s="43"/>
      <x:c r="H171" s="120"/>
      <x:c r="I171" s="120"/>
      <x:c r="J171" s="120"/>
      <x:c r="K171" s="120"/>
      <x:c r="L171" s="120"/>
      <x:c r="M171" s="120"/>
      <x:c r="N171" s="120"/>
      <x:c r="O171" s="120"/>
      <x:c r="P171" s="120"/>
      <x:c r="Q171" s="120"/>
      <x:c r="R171" s="120"/>
      <x:c r="S171" s="120"/>
      <x:c r="T171" s="120"/>
      <x:c r="U171" s="48"/>
      <x:c r="V171" s="48"/>
      <x:c r="W171" s="48"/>
      <x:c r="X171" s="48"/>
      <x:c r="Y171" s="48"/>
      <x:c r="Z171" s="49"/>
      <x:c r="AA171" s="43"/>
      <x:c r="AB171" s="43"/>
      <x:c r="AC171" s="43"/>
      <x:c r="AD171" s="43"/>
      <x:c r="AE171" s="43"/>
      <x:c r="AF171" s="87" t="str">
        <x:f>IF(OR(H171="",I171="",I171&lt;H171),"",(I171-H171)*1440)</x:f>
      </x:c>
      <x:c r="AG171" s="87" t="str">
        <x:f>IF(OR(I171="",M171="",M171&lt;I171),"",(M171-I171)*1440)</x:f>
      </x:c>
      <x:c r="AH171" s="87" t="str">
        <x:f>IF(OR(M171="",N171="",N171&lt;M171),"",(N171-M171)*1440)</x:f>
      </x:c>
      <x:c r="AI171" s="87" t="str">
        <x:f>IF(OR(H171="",N171="",N171&lt;H171),"",(N171-H171)*1440)</x:f>
      </x:c>
      <x:c r="AJ171" s="87" t="str">
        <x:f>IF(OR(I171="",N171="",N171&lt;I171),"",(N171-I171)*1440)</x:f>
      </x:c>
      <x:c r="AK171" s="87" t="str">
        <x:f>IF(OR(N171="",O171="",O171&lt;N171),"",(O171-N171)*1440)</x:f>
      </x:c>
      <x:c r="AL171" s="87" t="str">
        <x:f>IF(OR(O171="",P171="",P171&lt;O171),"",(P171-O171)*1440)</x:f>
      </x:c>
      <x:c r="AM171" s="87" t="str">
        <x:f>IF(OR(Q171="",R171="",R171&lt;Q171),"",(R171-Q171)*1440)</x:f>
      </x:c>
      <x:c r="AN171" s="87" t="str">
        <x:f>IF(OR(S171="",T171="",T171&lt;S171),"",(T171-S171)*1440)</x:f>
      </x:c>
      <x:c r="AO171" s="87" t="str">
        <x:f>IF(OR(U171="",V171=""),"",V171-U171)</x:f>
      </x:c>
      <x:c r="AP171" s="63" t="str">
        <x:f>IF(A171="","",IF(OR(B171="",H171="",N171=""),"Incompleto",IF(N171&lt;H171,"Revisar",IF(OR(G171="",G171="Não observado"),"Qualidade E0 ausente",IF(OR(G171="Sensor",G171="Marcação física"),"Válido — E0 observado",IF(G171="Cálculo","Válido — E0 calculado","Válido — E0 estimado"))))))</x:f>
      </x:c>
      <x:c r="AQ171" s="63" t="str">
        <x:f>IF(A171="","",IF(COUNTA(H171:T171)&lt;13,"Incompleta",IF(OR(I171&lt;H171,J171&lt;I171,K171&lt;J171,L171&lt;K171,M171&lt;L171,N171&lt;M171,O171&lt;N171,P171&lt;O171,Q171&lt;P171,R171&lt;Q171,S171&lt;R171,T171&lt;S171),"Revisar","Completa")))</x:f>
      </x:c>
      <x:c r="AR171" s="87" t="str">
        <x:f>IF(OR(V171="",W171="",Y171=""),"",Y171-(V171-W171))</x:f>
      </x:c>
      <x:c r="AS171" s="63" t="str">
        <x:f>IF(A171="","",IF(AND(E171&lt;&gt;"",F171&lt;&gt;"",G171&lt;&gt;"",Z171&lt;&gt;"",AA171&lt;&gt;"",AB171&lt;&gt;"",AC171&lt;&gt;""),"Completa","Incompleta"))</x:f>
      </x:c>
      <x:c r="AT171" s="63" t="str">
        <x:f>IF(A171="","",IF(COUNTIF($A$11:$A$410,A171)&gt;1,"ID duplicado",IF(AND(AR171&lt;&gt;"",ABS(AR171)&gt;0.01),"Revisar balanço",IF(AND(W171&lt;&gt;"",V171&lt;&gt;"",W171&gt;V171),"Retirada &gt; estoque",IF(AND(U171&lt;&gt;"",U171&lt;'Cenário Base'!$D$8*'Cenário Base'!$D$74),"E0 abaixo do gatilho",IF(AND(V171&lt;&gt;"",V171&gt;XLOOKUP(B171,$A$414:$A$418,$B$414:$B$418)),"Excedeu capacidade","Sem alerta"))))))</x:f>
      </x:c>
    </x:row>
    <x:row r="172">
      <x:c r="A172" s="43"/>
      <x:c r="B172" s="43"/>
      <x:c r="C172" s="43"/>
      <x:c r="D172" s="43"/>
      <x:c r="E172" s="43"/>
      <x:c r="F172" s="43"/>
      <x:c r="G172" s="43"/>
      <x:c r="H172" s="120"/>
      <x:c r="I172" s="120"/>
      <x:c r="J172" s="120"/>
      <x:c r="K172" s="120"/>
      <x:c r="L172" s="120"/>
      <x:c r="M172" s="120"/>
      <x:c r="N172" s="120"/>
      <x:c r="O172" s="120"/>
      <x:c r="P172" s="120"/>
      <x:c r="Q172" s="120"/>
      <x:c r="R172" s="120"/>
      <x:c r="S172" s="120"/>
      <x:c r="T172" s="120"/>
      <x:c r="U172" s="48"/>
      <x:c r="V172" s="48"/>
      <x:c r="W172" s="48"/>
      <x:c r="X172" s="48"/>
      <x:c r="Y172" s="48"/>
      <x:c r="Z172" s="49"/>
      <x:c r="AA172" s="43"/>
      <x:c r="AB172" s="43"/>
      <x:c r="AC172" s="43"/>
      <x:c r="AD172" s="43"/>
      <x:c r="AE172" s="43"/>
      <x:c r="AF172" s="87" t="str">
        <x:f>IF(OR(H172="",I172="",I172&lt;H172),"",(I172-H172)*1440)</x:f>
      </x:c>
      <x:c r="AG172" s="87" t="str">
        <x:f>IF(OR(I172="",M172="",M172&lt;I172),"",(M172-I172)*1440)</x:f>
      </x:c>
      <x:c r="AH172" s="87" t="str">
        <x:f>IF(OR(M172="",N172="",N172&lt;M172),"",(N172-M172)*1440)</x:f>
      </x:c>
      <x:c r="AI172" s="87" t="str">
        <x:f>IF(OR(H172="",N172="",N172&lt;H172),"",(N172-H172)*1440)</x:f>
      </x:c>
      <x:c r="AJ172" s="87" t="str">
        <x:f>IF(OR(I172="",N172="",N172&lt;I172),"",(N172-I172)*1440)</x:f>
      </x:c>
      <x:c r="AK172" s="87" t="str">
        <x:f>IF(OR(N172="",O172="",O172&lt;N172),"",(O172-N172)*1440)</x:f>
      </x:c>
      <x:c r="AL172" s="87" t="str">
        <x:f>IF(OR(O172="",P172="",P172&lt;O172),"",(P172-O172)*1440)</x:f>
      </x:c>
      <x:c r="AM172" s="87" t="str">
        <x:f>IF(OR(Q172="",R172="",R172&lt;Q172),"",(R172-Q172)*1440)</x:f>
      </x:c>
      <x:c r="AN172" s="87" t="str">
        <x:f>IF(OR(S172="",T172="",T172&lt;S172),"",(T172-S172)*1440)</x:f>
      </x:c>
      <x:c r="AO172" s="87" t="str">
        <x:f>IF(OR(U172="",V172=""),"",V172-U172)</x:f>
      </x:c>
      <x:c r="AP172" s="63" t="str">
        <x:f>IF(A172="","",IF(OR(B172="",H172="",N172=""),"Incompleto",IF(N172&lt;H172,"Revisar",IF(OR(G172="",G172="Não observado"),"Qualidade E0 ausente",IF(OR(G172="Sensor",G172="Marcação física"),"Válido — E0 observado",IF(G172="Cálculo","Válido — E0 calculado","Válido — E0 estimado"))))))</x:f>
      </x:c>
      <x:c r="AQ172" s="63" t="str">
        <x:f>IF(A172="","",IF(COUNTA(H172:T172)&lt;13,"Incompleta",IF(OR(I172&lt;H172,J172&lt;I172,K172&lt;J172,L172&lt;K172,M172&lt;L172,N172&lt;M172,O172&lt;N172,P172&lt;O172,Q172&lt;P172,R172&lt;Q172,S172&lt;R172,T172&lt;S172),"Revisar","Completa")))</x:f>
      </x:c>
      <x:c r="AR172" s="87" t="str">
        <x:f>IF(OR(V172="",W172="",Y172=""),"",Y172-(V172-W172))</x:f>
      </x:c>
      <x:c r="AS172" s="63" t="str">
        <x:f>IF(A172="","",IF(AND(E172&lt;&gt;"",F172&lt;&gt;"",G172&lt;&gt;"",Z172&lt;&gt;"",AA172&lt;&gt;"",AB172&lt;&gt;"",AC172&lt;&gt;""),"Completa","Incompleta"))</x:f>
      </x:c>
      <x:c r="AT172" s="63" t="str">
        <x:f>IF(A172="","",IF(COUNTIF($A$11:$A$410,A172)&gt;1,"ID duplicado",IF(AND(AR172&lt;&gt;"",ABS(AR172)&gt;0.01),"Revisar balanço",IF(AND(W172&lt;&gt;"",V172&lt;&gt;"",W172&gt;V172),"Retirada &gt; estoque",IF(AND(U172&lt;&gt;"",U172&lt;'Cenário Base'!$D$8*'Cenário Base'!$D$74),"E0 abaixo do gatilho",IF(AND(V172&lt;&gt;"",V172&gt;XLOOKUP(B172,$A$414:$A$418,$B$414:$B$418)),"Excedeu capacidade","Sem alerta"))))))</x:f>
      </x:c>
    </x:row>
    <x:row r="173">
      <x:c r="A173" s="43"/>
      <x:c r="B173" s="43"/>
      <x:c r="C173" s="43"/>
      <x:c r="D173" s="43"/>
      <x:c r="E173" s="43"/>
      <x:c r="F173" s="43"/>
      <x:c r="G173" s="43"/>
      <x:c r="H173" s="120"/>
      <x:c r="I173" s="120"/>
      <x:c r="J173" s="120"/>
      <x:c r="K173" s="120"/>
      <x:c r="L173" s="120"/>
      <x:c r="M173" s="120"/>
      <x:c r="N173" s="120"/>
      <x:c r="O173" s="120"/>
      <x:c r="P173" s="120"/>
      <x:c r="Q173" s="120"/>
      <x:c r="R173" s="120"/>
      <x:c r="S173" s="120"/>
      <x:c r="T173" s="120"/>
      <x:c r="U173" s="48"/>
      <x:c r="V173" s="48"/>
      <x:c r="W173" s="48"/>
      <x:c r="X173" s="48"/>
      <x:c r="Y173" s="48"/>
      <x:c r="Z173" s="49"/>
      <x:c r="AA173" s="43"/>
      <x:c r="AB173" s="43"/>
      <x:c r="AC173" s="43"/>
      <x:c r="AD173" s="43"/>
      <x:c r="AE173" s="43"/>
      <x:c r="AF173" s="87" t="str">
        <x:f>IF(OR(H173="",I173="",I173&lt;H173),"",(I173-H173)*1440)</x:f>
      </x:c>
      <x:c r="AG173" s="87" t="str">
        <x:f>IF(OR(I173="",M173="",M173&lt;I173),"",(M173-I173)*1440)</x:f>
      </x:c>
      <x:c r="AH173" s="87" t="str">
        <x:f>IF(OR(M173="",N173="",N173&lt;M173),"",(N173-M173)*1440)</x:f>
      </x:c>
      <x:c r="AI173" s="87" t="str">
        <x:f>IF(OR(H173="",N173="",N173&lt;H173),"",(N173-H173)*1440)</x:f>
      </x:c>
      <x:c r="AJ173" s="87" t="str">
        <x:f>IF(OR(I173="",N173="",N173&lt;I173),"",(N173-I173)*1440)</x:f>
      </x:c>
      <x:c r="AK173" s="87" t="str">
        <x:f>IF(OR(N173="",O173="",O173&lt;N173),"",(O173-N173)*1440)</x:f>
      </x:c>
      <x:c r="AL173" s="87" t="str">
        <x:f>IF(OR(O173="",P173="",P173&lt;O173),"",(P173-O173)*1440)</x:f>
      </x:c>
      <x:c r="AM173" s="87" t="str">
        <x:f>IF(OR(Q173="",R173="",R173&lt;Q173),"",(R173-Q173)*1440)</x:f>
      </x:c>
      <x:c r="AN173" s="87" t="str">
        <x:f>IF(OR(S173="",T173="",T173&lt;S173),"",(T173-S173)*1440)</x:f>
      </x:c>
      <x:c r="AO173" s="87" t="str">
        <x:f>IF(OR(U173="",V173=""),"",V173-U173)</x:f>
      </x:c>
      <x:c r="AP173" s="63" t="str">
        <x:f>IF(A173="","",IF(OR(B173="",H173="",N173=""),"Incompleto",IF(N173&lt;H173,"Revisar",IF(OR(G173="",G173="Não observado"),"Qualidade E0 ausente",IF(OR(G173="Sensor",G173="Marcação física"),"Válido — E0 observado",IF(G173="Cálculo","Válido — E0 calculado","Válido — E0 estimado"))))))</x:f>
      </x:c>
      <x:c r="AQ173" s="63" t="str">
        <x:f>IF(A173="","",IF(COUNTA(H173:T173)&lt;13,"Incompleta",IF(OR(I173&lt;H173,J173&lt;I173,K173&lt;J173,L173&lt;K173,M173&lt;L173,N173&lt;M173,O173&lt;N173,P173&lt;O173,Q173&lt;P173,R173&lt;Q173,S173&lt;R173,T173&lt;S173),"Revisar","Completa")))</x:f>
      </x:c>
      <x:c r="AR173" s="87" t="str">
        <x:f>IF(OR(V173="",W173="",Y173=""),"",Y173-(V173-W173))</x:f>
      </x:c>
      <x:c r="AS173" s="63" t="str">
        <x:f>IF(A173="","",IF(AND(E173&lt;&gt;"",F173&lt;&gt;"",G173&lt;&gt;"",Z173&lt;&gt;"",AA173&lt;&gt;"",AB173&lt;&gt;"",AC173&lt;&gt;""),"Completa","Incompleta"))</x:f>
      </x:c>
      <x:c r="AT173" s="63" t="str">
        <x:f>IF(A173="","",IF(COUNTIF($A$11:$A$410,A173)&gt;1,"ID duplicado",IF(AND(AR173&lt;&gt;"",ABS(AR173)&gt;0.01),"Revisar balanço",IF(AND(W173&lt;&gt;"",V173&lt;&gt;"",W173&gt;V173),"Retirada &gt; estoque",IF(AND(U173&lt;&gt;"",U173&lt;'Cenário Base'!$D$8*'Cenário Base'!$D$74),"E0 abaixo do gatilho",IF(AND(V173&lt;&gt;"",V173&gt;XLOOKUP(B173,$A$414:$A$418,$B$414:$B$418)),"Excedeu capacidade","Sem alerta"))))))</x:f>
      </x:c>
    </x:row>
    <x:row r="174">
      <x:c r="A174" s="43"/>
      <x:c r="B174" s="43"/>
      <x:c r="C174" s="43"/>
      <x:c r="D174" s="43"/>
      <x:c r="E174" s="43"/>
      <x:c r="F174" s="43"/>
      <x:c r="G174" s="43"/>
      <x:c r="H174" s="120"/>
      <x:c r="I174" s="120"/>
      <x:c r="J174" s="120"/>
      <x:c r="K174" s="120"/>
      <x:c r="L174" s="120"/>
      <x:c r="M174" s="120"/>
      <x:c r="N174" s="120"/>
      <x:c r="O174" s="120"/>
      <x:c r="P174" s="120"/>
      <x:c r="Q174" s="120"/>
      <x:c r="R174" s="120"/>
      <x:c r="S174" s="120"/>
      <x:c r="T174" s="120"/>
      <x:c r="U174" s="48"/>
      <x:c r="V174" s="48"/>
      <x:c r="W174" s="48"/>
      <x:c r="X174" s="48"/>
      <x:c r="Y174" s="48"/>
      <x:c r="Z174" s="49"/>
      <x:c r="AA174" s="43"/>
      <x:c r="AB174" s="43"/>
      <x:c r="AC174" s="43"/>
      <x:c r="AD174" s="43"/>
      <x:c r="AE174" s="43"/>
      <x:c r="AF174" s="87" t="str">
        <x:f>IF(OR(H174="",I174="",I174&lt;H174),"",(I174-H174)*1440)</x:f>
      </x:c>
      <x:c r="AG174" s="87" t="str">
        <x:f>IF(OR(I174="",M174="",M174&lt;I174),"",(M174-I174)*1440)</x:f>
      </x:c>
      <x:c r="AH174" s="87" t="str">
        <x:f>IF(OR(M174="",N174="",N174&lt;M174),"",(N174-M174)*1440)</x:f>
      </x:c>
      <x:c r="AI174" s="87" t="str">
        <x:f>IF(OR(H174="",N174="",N174&lt;H174),"",(N174-H174)*1440)</x:f>
      </x:c>
      <x:c r="AJ174" s="87" t="str">
        <x:f>IF(OR(I174="",N174="",N174&lt;I174),"",(N174-I174)*1440)</x:f>
      </x:c>
      <x:c r="AK174" s="87" t="str">
        <x:f>IF(OR(N174="",O174="",O174&lt;N174),"",(O174-N174)*1440)</x:f>
      </x:c>
      <x:c r="AL174" s="87" t="str">
        <x:f>IF(OR(O174="",P174="",P174&lt;O174),"",(P174-O174)*1440)</x:f>
      </x:c>
      <x:c r="AM174" s="87" t="str">
        <x:f>IF(OR(Q174="",R174="",R174&lt;Q174),"",(R174-Q174)*1440)</x:f>
      </x:c>
      <x:c r="AN174" s="87" t="str">
        <x:f>IF(OR(S174="",T174="",T174&lt;S174),"",(T174-S174)*1440)</x:f>
      </x:c>
      <x:c r="AO174" s="87" t="str">
        <x:f>IF(OR(U174="",V174=""),"",V174-U174)</x:f>
      </x:c>
      <x:c r="AP174" s="63" t="str">
        <x:f>IF(A174="","",IF(OR(B174="",H174="",N174=""),"Incompleto",IF(N174&lt;H174,"Revisar",IF(OR(G174="",G174="Não observado"),"Qualidade E0 ausente",IF(OR(G174="Sensor",G174="Marcação física"),"Válido — E0 observado",IF(G174="Cálculo","Válido — E0 calculado","Válido — E0 estimado"))))))</x:f>
      </x:c>
      <x:c r="AQ174" s="63" t="str">
        <x:f>IF(A174="","",IF(COUNTA(H174:T174)&lt;13,"Incompleta",IF(OR(I174&lt;H174,J174&lt;I174,K174&lt;J174,L174&lt;K174,M174&lt;L174,N174&lt;M174,O174&lt;N174,P174&lt;O174,Q174&lt;P174,R174&lt;Q174,S174&lt;R174,T174&lt;S174),"Revisar","Completa")))</x:f>
      </x:c>
      <x:c r="AR174" s="87" t="str">
        <x:f>IF(OR(V174="",W174="",Y174=""),"",Y174-(V174-W174))</x:f>
      </x:c>
      <x:c r="AS174" s="63" t="str">
        <x:f>IF(A174="","",IF(AND(E174&lt;&gt;"",F174&lt;&gt;"",G174&lt;&gt;"",Z174&lt;&gt;"",AA174&lt;&gt;"",AB174&lt;&gt;"",AC174&lt;&gt;""),"Completa","Incompleta"))</x:f>
      </x:c>
      <x:c r="AT174" s="63" t="str">
        <x:f>IF(A174="","",IF(COUNTIF($A$11:$A$410,A174)&gt;1,"ID duplicado",IF(AND(AR174&lt;&gt;"",ABS(AR174)&gt;0.01),"Revisar balanço",IF(AND(W174&lt;&gt;"",V174&lt;&gt;"",W174&gt;V174),"Retirada &gt; estoque",IF(AND(U174&lt;&gt;"",U174&lt;'Cenário Base'!$D$8*'Cenário Base'!$D$74),"E0 abaixo do gatilho",IF(AND(V174&lt;&gt;"",V174&gt;XLOOKUP(B174,$A$414:$A$418,$B$414:$B$418)),"Excedeu capacidade","Sem alerta"))))))</x:f>
      </x:c>
    </x:row>
    <x:row r="175">
      <x:c r="A175" s="43"/>
      <x:c r="B175" s="43"/>
      <x:c r="C175" s="43"/>
      <x:c r="D175" s="43"/>
      <x:c r="E175" s="43"/>
      <x:c r="F175" s="43"/>
      <x:c r="G175" s="43"/>
      <x:c r="H175" s="120"/>
      <x:c r="I175" s="120"/>
      <x:c r="J175" s="120"/>
      <x:c r="K175" s="120"/>
      <x:c r="L175" s="120"/>
      <x:c r="M175" s="120"/>
      <x:c r="N175" s="120"/>
      <x:c r="O175" s="120"/>
      <x:c r="P175" s="120"/>
      <x:c r="Q175" s="120"/>
      <x:c r="R175" s="120"/>
      <x:c r="S175" s="120"/>
      <x:c r="T175" s="120"/>
      <x:c r="U175" s="48"/>
      <x:c r="V175" s="48"/>
      <x:c r="W175" s="48"/>
      <x:c r="X175" s="48"/>
      <x:c r="Y175" s="48"/>
      <x:c r="Z175" s="49"/>
      <x:c r="AA175" s="43"/>
      <x:c r="AB175" s="43"/>
      <x:c r="AC175" s="43"/>
      <x:c r="AD175" s="43"/>
      <x:c r="AE175" s="43"/>
      <x:c r="AF175" s="87" t="str">
        <x:f>IF(OR(H175="",I175="",I175&lt;H175),"",(I175-H175)*1440)</x:f>
      </x:c>
      <x:c r="AG175" s="87" t="str">
        <x:f>IF(OR(I175="",M175="",M175&lt;I175),"",(M175-I175)*1440)</x:f>
      </x:c>
      <x:c r="AH175" s="87" t="str">
        <x:f>IF(OR(M175="",N175="",N175&lt;M175),"",(N175-M175)*1440)</x:f>
      </x:c>
      <x:c r="AI175" s="87" t="str">
        <x:f>IF(OR(H175="",N175="",N175&lt;H175),"",(N175-H175)*1440)</x:f>
      </x:c>
      <x:c r="AJ175" s="87" t="str">
        <x:f>IF(OR(I175="",N175="",N175&lt;I175),"",(N175-I175)*1440)</x:f>
      </x:c>
      <x:c r="AK175" s="87" t="str">
        <x:f>IF(OR(N175="",O175="",O175&lt;N175),"",(O175-N175)*1440)</x:f>
      </x:c>
      <x:c r="AL175" s="87" t="str">
        <x:f>IF(OR(O175="",P175="",P175&lt;O175),"",(P175-O175)*1440)</x:f>
      </x:c>
      <x:c r="AM175" s="87" t="str">
        <x:f>IF(OR(Q175="",R175="",R175&lt;Q175),"",(R175-Q175)*1440)</x:f>
      </x:c>
      <x:c r="AN175" s="87" t="str">
        <x:f>IF(OR(S175="",T175="",T175&lt;S175),"",(T175-S175)*1440)</x:f>
      </x:c>
      <x:c r="AO175" s="87" t="str">
        <x:f>IF(OR(U175="",V175=""),"",V175-U175)</x:f>
      </x:c>
      <x:c r="AP175" s="63" t="str">
        <x:f>IF(A175="","",IF(OR(B175="",H175="",N175=""),"Incompleto",IF(N175&lt;H175,"Revisar",IF(OR(G175="",G175="Não observado"),"Qualidade E0 ausente",IF(OR(G175="Sensor",G175="Marcação física"),"Válido — E0 observado",IF(G175="Cálculo","Válido — E0 calculado","Válido — E0 estimado"))))))</x:f>
      </x:c>
      <x:c r="AQ175" s="63" t="str">
        <x:f>IF(A175="","",IF(COUNTA(H175:T175)&lt;13,"Incompleta",IF(OR(I175&lt;H175,J175&lt;I175,K175&lt;J175,L175&lt;K175,M175&lt;L175,N175&lt;M175,O175&lt;N175,P175&lt;O175,Q175&lt;P175,R175&lt;Q175,S175&lt;R175,T175&lt;S175),"Revisar","Completa")))</x:f>
      </x:c>
      <x:c r="AR175" s="87" t="str">
        <x:f>IF(OR(V175="",W175="",Y175=""),"",Y175-(V175-W175))</x:f>
      </x:c>
      <x:c r="AS175" s="63" t="str">
        <x:f>IF(A175="","",IF(AND(E175&lt;&gt;"",F175&lt;&gt;"",G175&lt;&gt;"",Z175&lt;&gt;"",AA175&lt;&gt;"",AB175&lt;&gt;"",AC175&lt;&gt;""),"Completa","Incompleta"))</x:f>
      </x:c>
      <x:c r="AT175" s="63" t="str">
        <x:f>IF(A175="","",IF(COUNTIF($A$11:$A$410,A175)&gt;1,"ID duplicado",IF(AND(AR175&lt;&gt;"",ABS(AR175)&gt;0.01),"Revisar balanço",IF(AND(W175&lt;&gt;"",V175&lt;&gt;"",W175&gt;V175),"Retirada &gt; estoque",IF(AND(U175&lt;&gt;"",U175&lt;'Cenário Base'!$D$8*'Cenário Base'!$D$74),"E0 abaixo do gatilho",IF(AND(V175&lt;&gt;"",V175&gt;XLOOKUP(B175,$A$414:$A$418,$B$414:$B$418)),"Excedeu capacidade","Sem alerta"))))))</x:f>
      </x:c>
    </x:row>
    <x:row r="176">
      <x:c r="A176" s="43"/>
      <x:c r="B176" s="43"/>
      <x:c r="C176" s="43"/>
      <x:c r="D176" s="43"/>
      <x:c r="E176" s="43"/>
      <x:c r="F176" s="43"/>
      <x:c r="G176" s="43"/>
      <x:c r="H176" s="120"/>
      <x:c r="I176" s="120"/>
      <x:c r="J176" s="120"/>
      <x:c r="K176" s="120"/>
      <x:c r="L176" s="120"/>
      <x:c r="M176" s="120"/>
      <x:c r="N176" s="120"/>
      <x:c r="O176" s="120"/>
      <x:c r="P176" s="120"/>
      <x:c r="Q176" s="120"/>
      <x:c r="R176" s="120"/>
      <x:c r="S176" s="120"/>
      <x:c r="T176" s="120"/>
      <x:c r="U176" s="48"/>
      <x:c r="V176" s="48"/>
      <x:c r="W176" s="48"/>
      <x:c r="X176" s="48"/>
      <x:c r="Y176" s="48"/>
      <x:c r="Z176" s="49"/>
      <x:c r="AA176" s="43"/>
      <x:c r="AB176" s="43"/>
      <x:c r="AC176" s="43"/>
      <x:c r="AD176" s="43"/>
      <x:c r="AE176" s="43"/>
      <x:c r="AF176" s="87" t="str">
        <x:f>IF(OR(H176="",I176="",I176&lt;H176),"",(I176-H176)*1440)</x:f>
      </x:c>
      <x:c r="AG176" s="87" t="str">
        <x:f>IF(OR(I176="",M176="",M176&lt;I176),"",(M176-I176)*1440)</x:f>
      </x:c>
      <x:c r="AH176" s="87" t="str">
        <x:f>IF(OR(M176="",N176="",N176&lt;M176),"",(N176-M176)*1440)</x:f>
      </x:c>
      <x:c r="AI176" s="87" t="str">
        <x:f>IF(OR(H176="",N176="",N176&lt;H176),"",(N176-H176)*1440)</x:f>
      </x:c>
      <x:c r="AJ176" s="87" t="str">
        <x:f>IF(OR(I176="",N176="",N176&lt;I176),"",(N176-I176)*1440)</x:f>
      </x:c>
      <x:c r="AK176" s="87" t="str">
        <x:f>IF(OR(N176="",O176="",O176&lt;N176),"",(O176-N176)*1440)</x:f>
      </x:c>
      <x:c r="AL176" s="87" t="str">
        <x:f>IF(OR(O176="",P176="",P176&lt;O176),"",(P176-O176)*1440)</x:f>
      </x:c>
      <x:c r="AM176" s="87" t="str">
        <x:f>IF(OR(Q176="",R176="",R176&lt;Q176),"",(R176-Q176)*1440)</x:f>
      </x:c>
      <x:c r="AN176" s="87" t="str">
        <x:f>IF(OR(S176="",T176="",T176&lt;S176),"",(T176-S176)*1440)</x:f>
      </x:c>
      <x:c r="AO176" s="87" t="str">
        <x:f>IF(OR(U176="",V176=""),"",V176-U176)</x:f>
      </x:c>
      <x:c r="AP176" s="63" t="str">
        <x:f>IF(A176="","",IF(OR(B176="",H176="",N176=""),"Incompleto",IF(N176&lt;H176,"Revisar",IF(OR(G176="",G176="Não observado"),"Qualidade E0 ausente",IF(OR(G176="Sensor",G176="Marcação física"),"Válido — E0 observado",IF(G176="Cálculo","Válido — E0 calculado","Válido — E0 estimado"))))))</x:f>
      </x:c>
      <x:c r="AQ176" s="63" t="str">
        <x:f>IF(A176="","",IF(COUNTA(H176:T176)&lt;13,"Incompleta",IF(OR(I176&lt;H176,J176&lt;I176,K176&lt;J176,L176&lt;K176,M176&lt;L176,N176&lt;M176,O176&lt;N176,P176&lt;O176,Q176&lt;P176,R176&lt;Q176,S176&lt;R176,T176&lt;S176),"Revisar","Completa")))</x:f>
      </x:c>
      <x:c r="AR176" s="87" t="str">
        <x:f>IF(OR(V176="",W176="",Y176=""),"",Y176-(V176-W176))</x:f>
      </x:c>
      <x:c r="AS176" s="63" t="str">
        <x:f>IF(A176="","",IF(AND(E176&lt;&gt;"",F176&lt;&gt;"",G176&lt;&gt;"",Z176&lt;&gt;"",AA176&lt;&gt;"",AB176&lt;&gt;"",AC176&lt;&gt;""),"Completa","Incompleta"))</x:f>
      </x:c>
      <x:c r="AT176" s="63" t="str">
        <x:f>IF(A176="","",IF(COUNTIF($A$11:$A$410,A176)&gt;1,"ID duplicado",IF(AND(AR176&lt;&gt;"",ABS(AR176)&gt;0.01),"Revisar balanço",IF(AND(W176&lt;&gt;"",V176&lt;&gt;"",W176&gt;V176),"Retirada &gt; estoque",IF(AND(U176&lt;&gt;"",U176&lt;'Cenário Base'!$D$8*'Cenário Base'!$D$74),"E0 abaixo do gatilho",IF(AND(V176&lt;&gt;"",V176&gt;XLOOKUP(B176,$A$414:$A$418,$B$414:$B$418)),"Excedeu capacidade","Sem alerta"))))))</x:f>
      </x:c>
    </x:row>
    <x:row r="177">
      <x:c r="A177" s="43"/>
      <x:c r="B177" s="43"/>
      <x:c r="C177" s="43"/>
      <x:c r="D177" s="43"/>
      <x:c r="E177" s="43"/>
      <x:c r="F177" s="43"/>
      <x:c r="G177" s="43"/>
      <x:c r="H177" s="120"/>
      <x:c r="I177" s="120"/>
      <x:c r="J177" s="120"/>
      <x:c r="K177" s="120"/>
      <x:c r="L177" s="120"/>
      <x:c r="M177" s="120"/>
      <x:c r="N177" s="120"/>
      <x:c r="O177" s="120"/>
      <x:c r="P177" s="120"/>
      <x:c r="Q177" s="120"/>
      <x:c r="R177" s="120"/>
      <x:c r="S177" s="120"/>
      <x:c r="T177" s="120"/>
      <x:c r="U177" s="48"/>
      <x:c r="V177" s="48"/>
      <x:c r="W177" s="48"/>
      <x:c r="X177" s="48"/>
      <x:c r="Y177" s="48"/>
      <x:c r="Z177" s="49"/>
      <x:c r="AA177" s="43"/>
      <x:c r="AB177" s="43"/>
      <x:c r="AC177" s="43"/>
      <x:c r="AD177" s="43"/>
      <x:c r="AE177" s="43"/>
      <x:c r="AF177" s="87" t="str">
        <x:f>IF(OR(H177="",I177="",I177&lt;H177),"",(I177-H177)*1440)</x:f>
      </x:c>
      <x:c r="AG177" s="87" t="str">
        <x:f>IF(OR(I177="",M177="",M177&lt;I177),"",(M177-I177)*1440)</x:f>
      </x:c>
      <x:c r="AH177" s="87" t="str">
        <x:f>IF(OR(M177="",N177="",N177&lt;M177),"",(N177-M177)*1440)</x:f>
      </x:c>
      <x:c r="AI177" s="87" t="str">
        <x:f>IF(OR(H177="",N177="",N177&lt;H177),"",(N177-H177)*1440)</x:f>
      </x:c>
      <x:c r="AJ177" s="87" t="str">
        <x:f>IF(OR(I177="",N177="",N177&lt;I177),"",(N177-I177)*1440)</x:f>
      </x:c>
      <x:c r="AK177" s="87" t="str">
        <x:f>IF(OR(N177="",O177="",O177&lt;N177),"",(O177-N177)*1440)</x:f>
      </x:c>
      <x:c r="AL177" s="87" t="str">
        <x:f>IF(OR(O177="",P177="",P177&lt;O177),"",(P177-O177)*1440)</x:f>
      </x:c>
      <x:c r="AM177" s="87" t="str">
        <x:f>IF(OR(Q177="",R177="",R177&lt;Q177),"",(R177-Q177)*1440)</x:f>
      </x:c>
      <x:c r="AN177" s="87" t="str">
        <x:f>IF(OR(S177="",T177="",T177&lt;S177),"",(T177-S177)*1440)</x:f>
      </x:c>
      <x:c r="AO177" s="87" t="str">
        <x:f>IF(OR(U177="",V177=""),"",V177-U177)</x:f>
      </x:c>
      <x:c r="AP177" s="63" t="str">
        <x:f>IF(A177="","",IF(OR(B177="",H177="",N177=""),"Incompleto",IF(N177&lt;H177,"Revisar",IF(OR(G177="",G177="Não observado"),"Qualidade E0 ausente",IF(OR(G177="Sensor",G177="Marcação física"),"Válido — E0 observado",IF(G177="Cálculo","Válido — E0 calculado","Válido — E0 estimado"))))))</x:f>
      </x:c>
      <x:c r="AQ177" s="63" t="str">
        <x:f>IF(A177="","",IF(COUNTA(H177:T177)&lt;13,"Incompleta",IF(OR(I177&lt;H177,J177&lt;I177,K177&lt;J177,L177&lt;K177,M177&lt;L177,N177&lt;M177,O177&lt;N177,P177&lt;O177,Q177&lt;P177,R177&lt;Q177,S177&lt;R177,T177&lt;S177),"Revisar","Completa")))</x:f>
      </x:c>
      <x:c r="AR177" s="87" t="str">
        <x:f>IF(OR(V177="",W177="",Y177=""),"",Y177-(V177-W177))</x:f>
      </x:c>
      <x:c r="AS177" s="63" t="str">
        <x:f>IF(A177="","",IF(AND(E177&lt;&gt;"",F177&lt;&gt;"",G177&lt;&gt;"",Z177&lt;&gt;"",AA177&lt;&gt;"",AB177&lt;&gt;"",AC177&lt;&gt;""),"Completa","Incompleta"))</x:f>
      </x:c>
      <x:c r="AT177" s="63" t="str">
        <x:f>IF(A177="","",IF(COUNTIF($A$11:$A$410,A177)&gt;1,"ID duplicado",IF(AND(AR177&lt;&gt;"",ABS(AR177)&gt;0.01),"Revisar balanço",IF(AND(W177&lt;&gt;"",V177&lt;&gt;"",W177&gt;V177),"Retirada &gt; estoque",IF(AND(U177&lt;&gt;"",U177&lt;'Cenário Base'!$D$8*'Cenário Base'!$D$74),"E0 abaixo do gatilho",IF(AND(V177&lt;&gt;"",V177&gt;XLOOKUP(B177,$A$414:$A$418,$B$414:$B$418)),"Excedeu capacidade","Sem alerta"))))))</x:f>
      </x:c>
    </x:row>
    <x:row r="178">
      <x:c r="A178" s="43"/>
      <x:c r="B178" s="43"/>
      <x:c r="C178" s="43"/>
      <x:c r="D178" s="43"/>
      <x:c r="E178" s="43"/>
      <x:c r="F178" s="43"/>
      <x:c r="G178" s="43"/>
      <x:c r="H178" s="120"/>
      <x:c r="I178" s="120"/>
      <x:c r="J178" s="120"/>
      <x:c r="K178" s="120"/>
      <x:c r="L178" s="120"/>
      <x:c r="M178" s="120"/>
      <x:c r="N178" s="120"/>
      <x:c r="O178" s="120"/>
      <x:c r="P178" s="120"/>
      <x:c r="Q178" s="120"/>
      <x:c r="R178" s="120"/>
      <x:c r="S178" s="120"/>
      <x:c r="T178" s="120"/>
      <x:c r="U178" s="48"/>
      <x:c r="V178" s="48"/>
      <x:c r="W178" s="48"/>
      <x:c r="X178" s="48"/>
      <x:c r="Y178" s="48"/>
      <x:c r="Z178" s="49"/>
      <x:c r="AA178" s="43"/>
      <x:c r="AB178" s="43"/>
      <x:c r="AC178" s="43"/>
      <x:c r="AD178" s="43"/>
      <x:c r="AE178" s="43"/>
      <x:c r="AF178" s="87" t="str">
        <x:f>IF(OR(H178="",I178="",I178&lt;H178),"",(I178-H178)*1440)</x:f>
      </x:c>
      <x:c r="AG178" s="87" t="str">
        <x:f>IF(OR(I178="",M178="",M178&lt;I178),"",(M178-I178)*1440)</x:f>
      </x:c>
      <x:c r="AH178" s="87" t="str">
        <x:f>IF(OR(M178="",N178="",N178&lt;M178),"",(N178-M178)*1440)</x:f>
      </x:c>
      <x:c r="AI178" s="87" t="str">
        <x:f>IF(OR(H178="",N178="",N178&lt;H178),"",(N178-H178)*1440)</x:f>
      </x:c>
      <x:c r="AJ178" s="87" t="str">
        <x:f>IF(OR(I178="",N178="",N178&lt;I178),"",(N178-I178)*1440)</x:f>
      </x:c>
      <x:c r="AK178" s="87" t="str">
        <x:f>IF(OR(N178="",O178="",O178&lt;N178),"",(O178-N178)*1440)</x:f>
      </x:c>
      <x:c r="AL178" s="87" t="str">
        <x:f>IF(OR(O178="",P178="",P178&lt;O178),"",(P178-O178)*1440)</x:f>
      </x:c>
      <x:c r="AM178" s="87" t="str">
        <x:f>IF(OR(Q178="",R178="",R178&lt;Q178),"",(R178-Q178)*1440)</x:f>
      </x:c>
      <x:c r="AN178" s="87" t="str">
        <x:f>IF(OR(S178="",T178="",T178&lt;S178),"",(T178-S178)*1440)</x:f>
      </x:c>
      <x:c r="AO178" s="87" t="str">
        <x:f>IF(OR(U178="",V178=""),"",V178-U178)</x:f>
      </x:c>
      <x:c r="AP178" s="63" t="str">
        <x:f>IF(A178="","",IF(OR(B178="",H178="",N178=""),"Incompleto",IF(N178&lt;H178,"Revisar",IF(OR(G178="",G178="Não observado"),"Qualidade E0 ausente",IF(OR(G178="Sensor",G178="Marcação física"),"Válido — E0 observado",IF(G178="Cálculo","Válido — E0 calculado","Válido — E0 estimado"))))))</x:f>
      </x:c>
      <x:c r="AQ178" s="63" t="str">
        <x:f>IF(A178="","",IF(COUNTA(H178:T178)&lt;13,"Incompleta",IF(OR(I178&lt;H178,J178&lt;I178,K178&lt;J178,L178&lt;K178,M178&lt;L178,N178&lt;M178,O178&lt;N178,P178&lt;O178,Q178&lt;P178,R178&lt;Q178,S178&lt;R178,T178&lt;S178),"Revisar","Completa")))</x:f>
      </x:c>
      <x:c r="AR178" s="87" t="str">
        <x:f>IF(OR(V178="",W178="",Y178=""),"",Y178-(V178-W178))</x:f>
      </x:c>
      <x:c r="AS178" s="63" t="str">
        <x:f>IF(A178="","",IF(AND(E178&lt;&gt;"",F178&lt;&gt;"",G178&lt;&gt;"",Z178&lt;&gt;"",AA178&lt;&gt;"",AB178&lt;&gt;"",AC178&lt;&gt;""),"Completa","Incompleta"))</x:f>
      </x:c>
      <x:c r="AT178" s="63" t="str">
        <x:f>IF(A178="","",IF(COUNTIF($A$11:$A$410,A178)&gt;1,"ID duplicado",IF(AND(AR178&lt;&gt;"",ABS(AR178)&gt;0.01),"Revisar balanço",IF(AND(W178&lt;&gt;"",V178&lt;&gt;"",W178&gt;V178),"Retirada &gt; estoque",IF(AND(U178&lt;&gt;"",U178&lt;'Cenário Base'!$D$8*'Cenário Base'!$D$74),"E0 abaixo do gatilho",IF(AND(V178&lt;&gt;"",V178&gt;XLOOKUP(B178,$A$414:$A$418,$B$414:$B$418)),"Excedeu capacidade","Sem alerta"))))))</x:f>
      </x:c>
    </x:row>
    <x:row r="179">
      <x:c r="A179" s="43"/>
      <x:c r="B179" s="43"/>
      <x:c r="C179" s="43"/>
      <x:c r="D179" s="43"/>
      <x:c r="E179" s="43"/>
      <x:c r="F179" s="43"/>
      <x:c r="G179" s="43"/>
      <x:c r="H179" s="120"/>
      <x:c r="I179" s="120"/>
      <x:c r="J179" s="120"/>
      <x:c r="K179" s="120"/>
      <x:c r="L179" s="120"/>
      <x:c r="M179" s="120"/>
      <x:c r="N179" s="120"/>
      <x:c r="O179" s="120"/>
      <x:c r="P179" s="120"/>
      <x:c r="Q179" s="120"/>
      <x:c r="R179" s="120"/>
      <x:c r="S179" s="120"/>
      <x:c r="T179" s="120"/>
      <x:c r="U179" s="48"/>
      <x:c r="V179" s="48"/>
      <x:c r="W179" s="48"/>
      <x:c r="X179" s="48"/>
      <x:c r="Y179" s="48"/>
      <x:c r="Z179" s="49"/>
      <x:c r="AA179" s="43"/>
      <x:c r="AB179" s="43"/>
      <x:c r="AC179" s="43"/>
      <x:c r="AD179" s="43"/>
      <x:c r="AE179" s="43"/>
      <x:c r="AF179" s="87" t="str">
        <x:f>IF(OR(H179="",I179="",I179&lt;H179),"",(I179-H179)*1440)</x:f>
      </x:c>
      <x:c r="AG179" s="87" t="str">
        <x:f>IF(OR(I179="",M179="",M179&lt;I179),"",(M179-I179)*1440)</x:f>
      </x:c>
      <x:c r="AH179" s="87" t="str">
        <x:f>IF(OR(M179="",N179="",N179&lt;M179),"",(N179-M179)*1440)</x:f>
      </x:c>
      <x:c r="AI179" s="87" t="str">
        <x:f>IF(OR(H179="",N179="",N179&lt;H179),"",(N179-H179)*1440)</x:f>
      </x:c>
      <x:c r="AJ179" s="87" t="str">
        <x:f>IF(OR(I179="",N179="",N179&lt;I179),"",(N179-I179)*1440)</x:f>
      </x:c>
      <x:c r="AK179" s="87" t="str">
        <x:f>IF(OR(N179="",O179="",O179&lt;N179),"",(O179-N179)*1440)</x:f>
      </x:c>
      <x:c r="AL179" s="87" t="str">
        <x:f>IF(OR(O179="",P179="",P179&lt;O179),"",(P179-O179)*1440)</x:f>
      </x:c>
      <x:c r="AM179" s="87" t="str">
        <x:f>IF(OR(Q179="",R179="",R179&lt;Q179),"",(R179-Q179)*1440)</x:f>
      </x:c>
      <x:c r="AN179" s="87" t="str">
        <x:f>IF(OR(S179="",T179="",T179&lt;S179),"",(T179-S179)*1440)</x:f>
      </x:c>
      <x:c r="AO179" s="87" t="str">
        <x:f>IF(OR(U179="",V179=""),"",V179-U179)</x:f>
      </x:c>
      <x:c r="AP179" s="63" t="str">
        <x:f>IF(A179="","",IF(OR(B179="",H179="",N179=""),"Incompleto",IF(N179&lt;H179,"Revisar",IF(OR(G179="",G179="Não observado"),"Qualidade E0 ausente",IF(OR(G179="Sensor",G179="Marcação física"),"Válido — E0 observado",IF(G179="Cálculo","Válido — E0 calculado","Válido — E0 estimado"))))))</x:f>
      </x:c>
      <x:c r="AQ179" s="63" t="str">
        <x:f>IF(A179="","",IF(COUNTA(H179:T179)&lt;13,"Incompleta",IF(OR(I179&lt;H179,J179&lt;I179,K179&lt;J179,L179&lt;K179,M179&lt;L179,N179&lt;M179,O179&lt;N179,P179&lt;O179,Q179&lt;P179,R179&lt;Q179,S179&lt;R179,T179&lt;S179),"Revisar","Completa")))</x:f>
      </x:c>
      <x:c r="AR179" s="87" t="str">
        <x:f>IF(OR(V179="",W179="",Y179=""),"",Y179-(V179-W179))</x:f>
      </x:c>
      <x:c r="AS179" s="63" t="str">
        <x:f>IF(A179="","",IF(AND(E179&lt;&gt;"",F179&lt;&gt;"",G179&lt;&gt;"",Z179&lt;&gt;"",AA179&lt;&gt;"",AB179&lt;&gt;"",AC179&lt;&gt;""),"Completa","Incompleta"))</x:f>
      </x:c>
      <x:c r="AT179" s="63" t="str">
        <x:f>IF(A179="","",IF(COUNTIF($A$11:$A$410,A179)&gt;1,"ID duplicado",IF(AND(AR179&lt;&gt;"",ABS(AR179)&gt;0.01),"Revisar balanço",IF(AND(W179&lt;&gt;"",V179&lt;&gt;"",W179&gt;V179),"Retirada &gt; estoque",IF(AND(U179&lt;&gt;"",U179&lt;'Cenário Base'!$D$8*'Cenário Base'!$D$74),"E0 abaixo do gatilho",IF(AND(V179&lt;&gt;"",V179&gt;XLOOKUP(B179,$A$414:$A$418,$B$414:$B$418)),"Excedeu capacidade","Sem alerta"))))))</x:f>
      </x:c>
    </x:row>
    <x:row r="180">
      <x:c r="A180" s="43"/>
      <x:c r="B180" s="43"/>
      <x:c r="C180" s="43"/>
      <x:c r="D180" s="43"/>
      <x:c r="E180" s="43"/>
      <x:c r="F180" s="43"/>
      <x:c r="G180" s="43"/>
      <x:c r="H180" s="120"/>
      <x:c r="I180" s="120"/>
      <x:c r="J180" s="120"/>
      <x:c r="K180" s="120"/>
      <x:c r="L180" s="120"/>
      <x:c r="M180" s="120"/>
      <x:c r="N180" s="120"/>
      <x:c r="O180" s="120"/>
      <x:c r="P180" s="120"/>
      <x:c r="Q180" s="120"/>
      <x:c r="R180" s="120"/>
      <x:c r="S180" s="120"/>
      <x:c r="T180" s="120"/>
      <x:c r="U180" s="48"/>
      <x:c r="V180" s="48"/>
      <x:c r="W180" s="48"/>
      <x:c r="X180" s="48"/>
      <x:c r="Y180" s="48"/>
      <x:c r="Z180" s="49"/>
      <x:c r="AA180" s="43"/>
      <x:c r="AB180" s="43"/>
      <x:c r="AC180" s="43"/>
      <x:c r="AD180" s="43"/>
      <x:c r="AE180" s="43"/>
      <x:c r="AF180" s="87" t="str">
        <x:f>IF(OR(H180="",I180="",I180&lt;H180),"",(I180-H180)*1440)</x:f>
      </x:c>
      <x:c r="AG180" s="87" t="str">
        <x:f>IF(OR(I180="",M180="",M180&lt;I180),"",(M180-I180)*1440)</x:f>
      </x:c>
      <x:c r="AH180" s="87" t="str">
        <x:f>IF(OR(M180="",N180="",N180&lt;M180),"",(N180-M180)*1440)</x:f>
      </x:c>
      <x:c r="AI180" s="87" t="str">
        <x:f>IF(OR(H180="",N180="",N180&lt;H180),"",(N180-H180)*1440)</x:f>
      </x:c>
      <x:c r="AJ180" s="87" t="str">
        <x:f>IF(OR(I180="",N180="",N180&lt;I180),"",(N180-I180)*1440)</x:f>
      </x:c>
      <x:c r="AK180" s="87" t="str">
        <x:f>IF(OR(N180="",O180="",O180&lt;N180),"",(O180-N180)*1440)</x:f>
      </x:c>
      <x:c r="AL180" s="87" t="str">
        <x:f>IF(OR(O180="",P180="",P180&lt;O180),"",(P180-O180)*1440)</x:f>
      </x:c>
      <x:c r="AM180" s="87" t="str">
        <x:f>IF(OR(Q180="",R180="",R180&lt;Q180),"",(R180-Q180)*1440)</x:f>
      </x:c>
      <x:c r="AN180" s="87" t="str">
        <x:f>IF(OR(S180="",T180="",T180&lt;S180),"",(T180-S180)*1440)</x:f>
      </x:c>
      <x:c r="AO180" s="87" t="str">
        <x:f>IF(OR(U180="",V180=""),"",V180-U180)</x:f>
      </x:c>
      <x:c r="AP180" s="63" t="str">
        <x:f>IF(A180="","",IF(OR(B180="",H180="",N180=""),"Incompleto",IF(N180&lt;H180,"Revisar",IF(OR(G180="",G180="Não observado"),"Qualidade E0 ausente",IF(OR(G180="Sensor",G180="Marcação física"),"Válido — E0 observado",IF(G180="Cálculo","Válido — E0 calculado","Válido — E0 estimado"))))))</x:f>
      </x:c>
      <x:c r="AQ180" s="63" t="str">
        <x:f>IF(A180="","",IF(COUNTA(H180:T180)&lt;13,"Incompleta",IF(OR(I180&lt;H180,J180&lt;I180,K180&lt;J180,L180&lt;K180,M180&lt;L180,N180&lt;M180,O180&lt;N180,P180&lt;O180,Q180&lt;P180,R180&lt;Q180,S180&lt;R180,T180&lt;S180),"Revisar","Completa")))</x:f>
      </x:c>
      <x:c r="AR180" s="87" t="str">
        <x:f>IF(OR(V180="",W180="",Y180=""),"",Y180-(V180-W180))</x:f>
      </x:c>
      <x:c r="AS180" s="63" t="str">
        <x:f>IF(A180="","",IF(AND(E180&lt;&gt;"",F180&lt;&gt;"",G180&lt;&gt;"",Z180&lt;&gt;"",AA180&lt;&gt;"",AB180&lt;&gt;"",AC180&lt;&gt;""),"Completa","Incompleta"))</x:f>
      </x:c>
      <x:c r="AT180" s="63" t="str">
        <x:f>IF(A180="","",IF(COUNTIF($A$11:$A$410,A180)&gt;1,"ID duplicado",IF(AND(AR180&lt;&gt;"",ABS(AR180)&gt;0.01),"Revisar balanço",IF(AND(W180&lt;&gt;"",V180&lt;&gt;"",W180&gt;V180),"Retirada &gt; estoque",IF(AND(U180&lt;&gt;"",U180&lt;'Cenário Base'!$D$8*'Cenário Base'!$D$74),"E0 abaixo do gatilho",IF(AND(V180&lt;&gt;"",V180&gt;XLOOKUP(B180,$A$414:$A$418,$B$414:$B$418)),"Excedeu capacidade","Sem alerta"))))))</x:f>
      </x:c>
    </x:row>
    <x:row r="181">
      <x:c r="A181" s="43"/>
      <x:c r="B181" s="43"/>
      <x:c r="C181" s="43"/>
      <x:c r="D181" s="43"/>
      <x:c r="E181" s="43"/>
      <x:c r="F181" s="43"/>
      <x:c r="G181" s="43"/>
      <x:c r="H181" s="120"/>
      <x:c r="I181" s="120"/>
      <x:c r="J181" s="120"/>
      <x:c r="K181" s="120"/>
      <x:c r="L181" s="120"/>
      <x:c r="M181" s="120"/>
      <x:c r="N181" s="120"/>
      <x:c r="O181" s="120"/>
      <x:c r="P181" s="120"/>
      <x:c r="Q181" s="120"/>
      <x:c r="R181" s="120"/>
      <x:c r="S181" s="120"/>
      <x:c r="T181" s="120"/>
      <x:c r="U181" s="48"/>
      <x:c r="V181" s="48"/>
      <x:c r="W181" s="48"/>
      <x:c r="X181" s="48"/>
      <x:c r="Y181" s="48"/>
      <x:c r="Z181" s="49"/>
      <x:c r="AA181" s="43"/>
      <x:c r="AB181" s="43"/>
      <x:c r="AC181" s="43"/>
      <x:c r="AD181" s="43"/>
      <x:c r="AE181" s="43"/>
      <x:c r="AF181" s="87" t="str">
        <x:f>IF(OR(H181="",I181="",I181&lt;H181),"",(I181-H181)*1440)</x:f>
      </x:c>
      <x:c r="AG181" s="87" t="str">
        <x:f>IF(OR(I181="",M181="",M181&lt;I181),"",(M181-I181)*1440)</x:f>
      </x:c>
      <x:c r="AH181" s="87" t="str">
        <x:f>IF(OR(M181="",N181="",N181&lt;M181),"",(N181-M181)*1440)</x:f>
      </x:c>
      <x:c r="AI181" s="87" t="str">
        <x:f>IF(OR(H181="",N181="",N181&lt;H181),"",(N181-H181)*1440)</x:f>
      </x:c>
      <x:c r="AJ181" s="87" t="str">
        <x:f>IF(OR(I181="",N181="",N181&lt;I181),"",(N181-I181)*1440)</x:f>
      </x:c>
      <x:c r="AK181" s="87" t="str">
        <x:f>IF(OR(N181="",O181="",O181&lt;N181),"",(O181-N181)*1440)</x:f>
      </x:c>
      <x:c r="AL181" s="87" t="str">
        <x:f>IF(OR(O181="",P181="",P181&lt;O181),"",(P181-O181)*1440)</x:f>
      </x:c>
      <x:c r="AM181" s="87" t="str">
        <x:f>IF(OR(Q181="",R181="",R181&lt;Q181),"",(R181-Q181)*1440)</x:f>
      </x:c>
      <x:c r="AN181" s="87" t="str">
        <x:f>IF(OR(S181="",T181="",T181&lt;S181),"",(T181-S181)*1440)</x:f>
      </x:c>
      <x:c r="AO181" s="87" t="str">
        <x:f>IF(OR(U181="",V181=""),"",V181-U181)</x:f>
      </x:c>
      <x:c r="AP181" s="63" t="str">
        <x:f>IF(A181="","",IF(OR(B181="",H181="",N181=""),"Incompleto",IF(N181&lt;H181,"Revisar",IF(OR(G181="",G181="Não observado"),"Qualidade E0 ausente",IF(OR(G181="Sensor",G181="Marcação física"),"Válido — E0 observado",IF(G181="Cálculo","Válido — E0 calculado","Válido — E0 estimado"))))))</x:f>
      </x:c>
      <x:c r="AQ181" s="63" t="str">
        <x:f>IF(A181="","",IF(COUNTA(H181:T181)&lt;13,"Incompleta",IF(OR(I181&lt;H181,J181&lt;I181,K181&lt;J181,L181&lt;K181,M181&lt;L181,N181&lt;M181,O181&lt;N181,P181&lt;O181,Q181&lt;P181,R181&lt;Q181,S181&lt;R181,T181&lt;S181),"Revisar","Completa")))</x:f>
      </x:c>
      <x:c r="AR181" s="87" t="str">
        <x:f>IF(OR(V181="",W181="",Y181=""),"",Y181-(V181-W181))</x:f>
      </x:c>
      <x:c r="AS181" s="63" t="str">
        <x:f>IF(A181="","",IF(AND(E181&lt;&gt;"",F181&lt;&gt;"",G181&lt;&gt;"",Z181&lt;&gt;"",AA181&lt;&gt;"",AB181&lt;&gt;"",AC181&lt;&gt;""),"Completa","Incompleta"))</x:f>
      </x:c>
      <x:c r="AT181" s="63" t="str">
        <x:f>IF(A181="","",IF(COUNTIF($A$11:$A$410,A181)&gt;1,"ID duplicado",IF(AND(AR181&lt;&gt;"",ABS(AR181)&gt;0.01),"Revisar balanço",IF(AND(W181&lt;&gt;"",V181&lt;&gt;"",W181&gt;V181),"Retirada &gt; estoque",IF(AND(U181&lt;&gt;"",U181&lt;'Cenário Base'!$D$8*'Cenário Base'!$D$74),"E0 abaixo do gatilho",IF(AND(V181&lt;&gt;"",V181&gt;XLOOKUP(B181,$A$414:$A$418,$B$414:$B$418)),"Excedeu capacidade","Sem alerta"))))))</x:f>
      </x:c>
    </x:row>
    <x:row r="182">
      <x:c r="A182" s="43"/>
      <x:c r="B182" s="43"/>
      <x:c r="C182" s="43"/>
      <x:c r="D182" s="43"/>
      <x:c r="E182" s="43"/>
      <x:c r="F182" s="43"/>
      <x:c r="G182" s="43"/>
      <x:c r="H182" s="120"/>
      <x:c r="I182" s="120"/>
      <x:c r="J182" s="120"/>
      <x:c r="K182" s="120"/>
      <x:c r="L182" s="120"/>
      <x:c r="M182" s="120"/>
      <x:c r="N182" s="120"/>
      <x:c r="O182" s="120"/>
      <x:c r="P182" s="120"/>
      <x:c r="Q182" s="120"/>
      <x:c r="R182" s="120"/>
      <x:c r="S182" s="120"/>
      <x:c r="T182" s="120"/>
      <x:c r="U182" s="48"/>
      <x:c r="V182" s="48"/>
      <x:c r="W182" s="48"/>
      <x:c r="X182" s="48"/>
      <x:c r="Y182" s="48"/>
      <x:c r="Z182" s="49"/>
      <x:c r="AA182" s="43"/>
      <x:c r="AB182" s="43"/>
      <x:c r="AC182" s="43"/>
      <x:c r="AD182" s="43"/>
      <x:c r="AE182" s="43"/>
      <x:c r="AF182" s="87" t="str">
        <x:f>IF(OR(H182="",I182="",I182&lt;H182),"",(I182-H182)*1440)</x:f>
      </x:c>
      <x:c r="AG182" s="87" t="str">
        <x:f>IF(OR(I182="",M182="",M182&lt;I182),"",(M182-I182)*1440)</x:f>
      </x:c>
      <x:c r="AH182" s="87" t="str">
        <x:f>IF(OR(M182="",N182="",N182&lt;M182),"",(N182-M182)*1440)</x:f>
      </x:c>
      <x:c r="AI182" s="87" t="str">
        <x:f>IF(OR(H182="",N182="",N182&lt;H182),"",(N182-H182)*1440)</x:f>
      </x:c>
      <x:c r="AJ182" s="87" t="str">
        <x:f>IF(OR(I182="",N182="",N182&lt;I182),"",(N182-I182)*1440)</x:f>
      </x:c>
      <x:c r="AK182" s="87" t="str">
        <x:f>IF(OR(N182="",O182="",O182&lt;N182),"",(O182-N182)*1440)</x:f>
      </x:c>
      <x:c r="AL182" s="87" t="str">
        <x:f>IF(OR(O182="",P182="",P182&lt;O182),"",(P182-O182)*1440)</x:f>
      </x:c>
      <x:c r="AM182" s="87" t="str">
        <x:f>IF(OR(Q182="",R182="",R182&lt;Q182),"",(R182-Q182)*1440)</x:f>
      </x:c>
      <x:c r="AN182" s="87" t="str">
        <x:f>IF(OR(S182="",T182="",T182&lt;S182),"",(T182-S182)*1440)</x:f>
      </x:c>
      <x:c r="AO182" s="87" t="str">
        <x:f>IF(OR(U182="",V182=""),"",V182-U182)</x:f>
      </x:c>
      <x:c r="AP182" s="63" t="str">
        <x:f>IF(A182="","",IF(OR(B182="",H182="",N182=""),"Incompleto",IF(N182&lt;H182,"Revisar",IF(OR(G182="",G182="Não observado"),"Qualidade E0 ausente",IF(OR(G182="Sensor",G182="Marcação física"),"Válido — E0 observado",IF(G182="Cálculo","Válido — E0 calculado","Válido — E0 estimado"))))))</x:f>
      </x:c>
      <x:c r="AQ182" s="63" t="str">
        <x:f>IF(A182="","",IF(COUNTA(H182:T182)&lt;13,"Incompleta",IF(OR(I182&lt;H182,J182&lt;I182,K182&lt;J182,L182&lt;K182,M182&lt;L182,N182&lt;M182,O182&lt;N182,P182&lt;O182,Q182&lt;P182,R182&lt;Q182,S182&lt;R182,T182&lt;S182),"Revisar","Completa")))</x:f>
      </x:c>
      <x:c r="AR182" s="87" t="str">
        <x:f>IF(OR(V182="",W182="",Y182=""),"",Y182-(V182-W182))</x:f>
      </x:c>
      <x:c r="AS182" s="63" t="str">
        <x:f>IF(A182="","",IF(AND(E182&lt;&gt;"",F182&lt;&gt;"",G182&lt;&gt;"",Z182&lt;&gt;"",AA182&lt;&gt;"",AB182&lt;&gt;"",AC182&lt;&gt;""),"Completa","Incompleta"))</x:f>
      </x:c>
      <x:c r="AT182" s="63" t="str">
        <x:f>IF(A182="","",IF(COUNTIF($A$11:$A$410,A182)&gt;1,"ID duplicado",IF(AND(AR182&lt;&gt;"",ABS(AR182)&gt;0.01),"Revisar balanço",IF(AND(W182&lt;&gt;"",V182&lt;&gt;"",W182&gt;V182),"Retirada &gt; estoque",IF(AND(U182&lt;&gt;"",U182&lt;'Cenário Base'!$D$8*'Cenário Base'!$D$74),"E0 abaixo do gatilho",IF(AND(V182&lt;&gt;"",V182&gt;XLOOKUP(B182,$A$414:$A$418,$B$414:$B$418)),"Excedeu capacidade","Sem alerta"))))))</x:f>
      </x:c>
    </x:row>
    <x:row r="183">
      <x:c r="A183" s="43"/>
      <x:c r="B183" s="43"/>
      <x:c r="C183" s="43"/>
      <x:c r="D183" s="43"/>
      <x:c r="E183" s="43"/>
      <x:c r="F183" s="43"/>
      <x:c r="G183" s="43"/>
      <x:c r="H183" s="120"/>
      <x:c r="I183" s="120"/>
      <x:c r="J183" s="120"/>
      <x:c r="K183" s="120"/>
      <x:c r="L183" s="120"/>
      <x:c r="M183" s="120"/>
      <x:c r="N183" s="120"/>
      <x:c r="O183" s="120"/>
      <x:c r="P183" s="120"/>
      <x:c r="Q183" s="120"/>
      <x:c r="R183" s="120"/>
      <x:c r="S183" s="120"/>
      <x:c r="T183" s="120"/>
      <x:c r="U183" s="48"/>
      <x:c r="V183" s="48"/>
      <x:c r="W183" s="48"/>
      <x:c r="X183" s="48"/>
      <x:c r="Y183" s="48"/>
      <x:c r="Z183" s="49"/>
      <x:c r="AA183" s="43"/>
      <x:c r="AB183" s="43"/>
      <x:c r="AC183" s="43"/>
      <x:c r="AD183" s="43"/>
      <x:c r="AE183" s="43"/>
      <x:c r="AF183" s="87" t="str">
        <x:f>IF(OR(H183="",I183="",I183&lt;H183),"",(I183-H183)*1440)</x:f>
      </x:c>
      <x:c r="AG183" s="87" t="str">
        <x:f>IF(OR(I183="",M183="",M183&lt;I183),"",(M183-I183)*1440)</x:f>
      </x:c>
      <x:c r="AH183" s="87" t="str">
        <x:f>IF(OR(M183="",N183="",N183&lt;M183),"",(N183-M183)*1440)</x:f>
      </x:c>
      <x:c r="AI183" s="87" t="str">
        <x:f>IF(OR(H183="",N183="",N183&lt;H183),"",(N183-H183)*1440)</x:f>
      </x:c>
      <x:c r="AJ183" s="87" t="str">
        <x:f>IF(OR(I183="",N183="",N183&lt;I183),"",(N183-I183)*1440)</x:f>
      </x:c>
      <x:c r="AK183" s="87" t="str">
        <x:f>IF(OR(N183="",O183="",O183&lt;N183),"",(O183-N183)*1440)</x:f>
      </x:c>
      <x:c r="AL183" s="87" t="str">
        <x:f>IF(OR(O183="",P183="",P183&lt;O183),"",(P183-O183)*1440)</x:f>
      </x:c>
      <x:c r="AM183" s="87" t="str">
        <x:f>IF(OR(Q183="",R183="",R183&lt;Q183),"",(R183-Q183)*1440)</x:f>
      </x:c>
      <x:c r="AN183" s="87" t="str">
        <x:f>IF(OR(S183="",T183="",T183&lt;S183),"",(T183-S183)*1440)</x:f>
      </x:c>
      <x:c r="AO183" s="87" t="str">
        <x:f>IF(OR(U183="",V183=""),"",V183-U183)</x:f>
      </x:c>
      <x:c r="AP183" s="63" t="str">
        <x:f>IF(A183="","",IF(OR(B183="",H183="",N183=""),"Incompleto",IF(N183&lt;H183,"Revisar",IF(OR(G183="",G183="Não observado"),"Qualidade E0 ausente",IF(OR(G183="Sensor",G183="Marcação física"),"Válido — E0 observado",IF(G183="Cálculo","Válido — E0 calculado","Válido — E0 estimado"))))))</x:f>
      </x:c>
      <x:c r="AQ183" s="63" t="str">
        <x:f>IF(A183="","",IF(COUNTA(H183:T183)&lt;13,"Incompleta",IF(OR(I183&lt;H183,J183&lt;I183,K183&lt;J183,L183&lt;K183,M183&lt;L183,N183&lt;M183,O183&lt;N183,P183&lt;O183,Q183&lt;P183,R183&lt;Q183,S183&lt;R183,T183&lt;S183),"Revisar","Completa")))</x:f>
      </x:c>
      <x:c r="AR183" s="87" t="str">
        <x:f>IF(OR(V183="",W183="",Y183=""),"",Y183-(V183-W183))</x:f>
      </x:c>
      <x:c r="AS183" s="63" t="str">
        <x:f>IF(A183="","",IF(AND(E183&lt;&gt;"",F183&lt;&gt;"",G183&lt;&gt;"",Z183&lt;&gt;"",AA183&lt;&gt;"",AB183&lt;&gt;"",AC183&lt;&gt;""),"Completa","Incompleta"))</x:f>
      </x:c>
      <x:c r="AT183" s="63" t="str">
        <x:f>IF(A183="","",IF(COUNTIF($A$11:$A$410,A183)&gt;1,"ID duplicado",IF(AND(AR183&lt;&gt;"",ABS(AR183)&gt;0.01),"Revisar balanço",IF(AND(W183&lt;&gt;"",V183&lt;&gt;"",W183&gt;V183),"Retirada &gt; estoque",IF(AND(U183&lt;&gt;"",U183&lt;'Cenário Base'!$D$8*'Cenário Base'!$D$74),"E0 abaixo do gatilho",IF(AND(V183&lt;&gt;"",V183&gt;XLOOKUP(B183,$A$414:$A$418,$B$414:$B$418)),"Excedeu capacidade","Sem alerta"))))))</x:f>
      </x:c>
    </x:row>
    <x:row r="184">
      <x:c r="A184" s="43"/>
      <x:c r="B184" s="43"/>
      <x:c r="C184" s="43"/>
      <x:c r="D184" s="43"/>
      <x:c r="E184" s="43"/>
      <x:c r="F184" s="43"/>
      <x:c r="G184" s="43"/>
      <x:c r="H184" s="120"/>
      <x:c r="I184" s="120"/>
      <x:c r="J184" s="120"/>
      <x:c r="K184" s="120"/>
      <x:c r="L184" s="120"/>
      <x:c r="M184" s="120"/>
      <x:c r="N184" s="120"/>
      <x:c r="O184" s="120"/>
      <x:c r="P184" s="120"/>
      <x:c r="Q184" s="120"/>
      <x:c r="R184" s="120"/>
      <x:c r="S184" s="120"/>
      <x:c r="T184" s="120"/>
      <x:c r="U184" s="48"/>
      <x:c r="V184" s="48"/>
      <x:c r="W184" s="48"/>
      <x:c r="X184" s="48"/>
      <x:c r="Y184" s="48"/>
      <x:c r="Z184" s="49"/>
      <x:c r="AA184" s="43"/>
      <x:c r="AB184" s="43"/>
      <x:c r="AC184" s="43"/>
      <x:c r="AD184" s="43"/>
      <x:c r="AE184" s="43"/>
      <x:c r="AF184" s="87" t="str">
        <x:f>IF(OR(H184="",I184="",I184&lt;H184),"",(I184-H184)*1440)</x:f>
      </x:c>
      <x:c r="AG184" s="87" t="str">
        <x:f>IF(OR(I184="",M184="",M184&lt;I184),"",(M184-I184)*1440)</x:f>
      </x:c>
      <x:c r="AH184" s="87" t="str">
        <x:f>IF(OR(M184="",N184="",N184&lt;M184),"",(N184-M184)*1440)</x:f>
      </x:c>
      <x:c r="AI184" s="87" t="str">
        <x:f>IF(OR(H184="",N184="",N184&lt;H184),"",(N184-H184)*1440)</x:f>
      </x:c>
      <x:c r="AJ184" s="87" t="str">
        <x:f>IF(OR(I184="",N184="",N184&lt;I184),"",(N184-I184)*1440)</x:f>
      </x:c>
      <x:c r="AK184" s="87" t="str">
        <x:f>IF(OR(N184="",O184="",O184&lt;N184),"",(O184-N184)*1440)</x:f>
      </x:c>
      <x:c r="AL184" s="87" t="str">
        <x:f>IF(OR(O184="",P184="",P184&lt;O184),"",(P184-O184)*1440)</x:f>
      </x:c>
      <x:c r="AM184" s="87" t="str">
        <x:f>IF(OR(Q184="",R184="",R184&lt;Q184),"",(R184-Q184)*1440)</x:f>
      </x:c>
      <x:c r="AN184" s="87" t="str">
        <x:f>IF(OR(S184="",T184="",T184&lt;S184),"",(T184-S184)*1440)</x:f>
      </x:c>
      <x:c r="AO184" s="87" t="str">
        <x:f>IF(OR(U184="",V184=""),"",V184-U184)</x:f>
      </x:c>
      <x:c r="AP184" s="63" t="str">
        <x:f>IF(A184="","",IF(OR(B184="",H184="",N184=""),"Incompleto",IF(N184&lt;H184,"Revisar",IF(OR(G184="",G184="Não observado"),"Qualidade E0 ausente",IF(OR(G184="Sensor",G184="Marcação física"),"Válido — E0 observado",IF(G184="Cálculo","Válido — E0 calculado","Válido — E0 estimado"))))))</x:f>
      </x:c>
      <x:c r="AQ184" s="63" t="str">
        <x:f>IF(A184="","",IF(COUNTA(H184:T184)&lt;13,"Incompleta",IF(OR(I184&lt;H184,J184&lt;I184,K184&lt;J184,L184&lt;K184,M184&lt;L184,N184&lt;M184,O184&lt;N184,P184&lt;O184,Q184&lt;P184,R184&lt;Q184,S184&lt;R184,T184&lt;S184),"Revisar","Completa")))</x:f>
      </x:c>
      <x:c r="AR184" s="87" t="str">
        <x:f>IF(OR(V184="",W184="",Y184=""),"",Y184-(V184-W184))</x:f>
      </x:c>
      <x:c r="AS184" s="63" t="str">
        <x:f>IF(A184="","",IF(AND(E184&lt;&gt;"",F184&lt;&gt;"",G184&lt;&gt;"",Z184&lt;&gt;"",AA184&lt;&gt;"",AB184&lt;&gt;"",AC184&lt;&gt;""),"Completa","Incompleta"))</x:f>
      </x:c>
      <x:c r="AT184" s="63" t="str">
        <x:f>IF(A184="","",IF(COUNTIF($A$11:$A$410,A184)&gt;1,"ID duplicado",IF(AND(AR184&lt;&gt;"",ABS(AR184)&gt;0.01),"Revisar balanço",IF(AND(W184&lt;&gt;"",V184&lt;&gt;"",W184&gt;V184),"Retirada &gt; estoque",IF(AND(U184&lt;&gt;"",U184&lt;'Cenário Base'!$D$8*'Cenário Base'!$D$74),"E0 abaixo do gatilho",IF(AND(V184&lt;&gt;"",V184&gt;XLOOKUP(B184,$A$414:$A$418,$B$414:$B$418)),"Excedeu capacidade","Sem alerta"))))))</x:f>
      </x:c>
    </x:row>
    <x:row r="185">
      <x:c r="A185" s="43"/>
      <x:c r="B185" s="43"/>
      <x:c r="C185" s="43"/>
      <x:c r="D185" s="43"/>
      <x:c r="E185" s="43"/>
      <x:c r="F185" s="43"/>
      <x:c r="G185" s="43"/>
      <x:c r="H185" s="120"/>
      <x:c r="I185" s="120"/>
      <x:c r="J185" s="120"/>
      <x:c r="K185" s="120"/>
      <x:c r="L185" s="120"/>
      <x:c r="M185" s="120"/>
      <x:c r="N185" s="120"/>
      <x:c r="O185" s="120"/>
      <x:c r="P185" s="120"/>
      <x:c r="Q185" s="120"/>
      <x:c r="R185" s="120"/>
      <x:c r="S185" s="120"/>
      <x:c r="T185" s="120"/>
      <x:c r="U185" s="48"/>
      <x:c r="V185" s="48"/>
      <x:c r="W185" s="48"/>
      <x:c r="X185" s="48"/>
      <x:c r="Y185" s="48"/>
      <x:c r="Z185" s="49"/>
      <x:c r="AA185" s="43"/>
      <x:c r="AB185" s="43"/>
      <x:c r="AC185" s="43"/>
      <x:c r="AD185" s="43"/>
      <x:c r="AE185" s="43"/>
      <x:c r="AF185" s="87" t="str">
        <x:f>IF(OR(H185="",I185="",I185&lt;H185),"",(I185-H185)*1440)</x:f>
      </x:c>
      <x:c r="AG185" s="87" t="str">
        <x:f>IF(OR(I185="",M185="",M185&lt;I185),"",(M185-I185)*1440)</x:f>
      </x:c>
      <x:c r="AH185" s="87" t="str">
        <x:f>IF(OR(M185="",N185="",N185&lt;M185),"",(N185-M185)*1440)</x:f>
      </x:c>
      <x:c r="AI185" s="87" t="str">
        <x:f>IF(OR(H185="",N185="",N185&lt;H185),"",(N185-H185)*1440)</x:f>
      </x:c>
      <x:c r="AJ185" s="87" t="str">
        <x:f>IF(OR(I185="",N185="",N185&lt;I185),"",(N185-I185)*1440)</x:f>
      </x:c>
      <x:c r="AK185" s="87" t="str">
        <x:f>IF(OR(N185="",O185="",O185&lt;N185),"",(O185-N185)*1440)</x:f>
      </x:c>
      <x:c r="AL185" s="87" t="str">
        <x:f>IF(OR(O185="",P185="",P185&lt;O185),"",(P185-O185)*1440)</x:f>
      </x:c>
      <x:c r="AM185" s="87" t="str">
        <x:f>IF(OR(Q185="",R185="",R185&lt;Q185),"",(R185-Q185)*1440)</x:f>
      </x:c>
      <x:c r="AN185" s="87" t="str">
        <x:f>IF(OR(S185="",T185="",T185&lt;S185),"",(T185-S185)*1440)</x:f>
      </x:c>
      <x:c r="AO185" s="87" t="str">
        <x:f>IF(OR(U185="",V185=""),"",V185-U185)</x:f>
      </x:c>
      <x:c r="AP185" s="63" t="str">
        <x:f>IF(A185="","",IF(OR(B185="",H185="",N185=""),"Incompleto",IF(N185&lt;H185,"Revisar",IF(OR(G185="",G185="Não observado"),"Qualidade E0 ausente",IF(OR(G185="Sensor",G185="Marcação física"),"Válido — E0 observado",IF(G185="Cálculo","Válido — E0 calculado","Válido — E0 estimado"))))))</x:f>
      </x:c>
      <x:c r="AQ185" s="63" t="str">
        <x:f>IF(A185="","",IF(COUNTA(H185:T185)&lt;13,"Incompleta",IF(OR(I185&lt;H185,J185&lt;I185,K185&lt;J185,L185&lt;K185,M185&lt;L185,N185&lt;M185,O185&lt;N185,P185&lt;O185,Q185&lt;P185,R185&lt;Q185,S185&lt;R185,T185&lt;S185),"Revisar","Completa")))</x:f>
      </x:c>
      <x:c r="AR185" s="87" t="str">
        <x:f>IF(OR(V185="",W185="",Y185=""),"",Y185-(V185-W185))</x:f>
      </x:c>
      <x:c r="AS185" s="63" t="str">
        <x:f>IF(A185="","",IF(AND(E185&lt;&gt;"",F185&lt;&gt;"",G185&lt;&gt;"",Z185&lt;&gt;"",AA185&lt;&gt;"",AB185&lt;&gt;"",AC185&lt;&gt;""),"Completa","Incompleta"))</x:f>
      </x:c>
      <x:c r="AT185" s="63" t="str">
        <x:f>IF(A185="","",IF(COUNTIF($A$11:$A$410,A185)&gt;1,"ID duplicado",IF(AND(AR185&lt;&gt;"",ABS(AR185)&gt;0.01),"Revisar balanço",IF(AND(W185&lt;&gt;"",V185&lt;&gt;"",W185&gt;V185),"Retirada &gt; estoque",IF(AND(U185&lt;&gt;"",U185&lt;'Cenário Base'!$D$8*'Cenário Base'!$D$74),"E0 abaixo do gatilho",IF(AND(V185&lt;&gt;"",V185&gt;XLOOKUP(B185,$A$414:$A$418,$B$414:$B$418)),"Excedeu capacidade","Sem alerta"))))))</x:f>
      </x:c>
    </x:row>
    <x:row r="186">
      <x:c r="A186" s="43"/>
      <x:c r="B186" s="43"/>
      <x:c r="C186" s="43"/>
      <x:c r="D186" s="43"/>
      <x:c r="E186" s="43"/>
      <x:c r="F186" s="43"/>
      <x:c r="G186" s="43"/>
      <x:c r="H186" s="120"/>
      <x:c r="I186" s="120"/>
      <x:c r="J186" s="120"/>
      <x:c r="K186" s="120"/>
      <x:c r="L186" s="120"/>
      <x:c r="M186" s="120"/>
      <x:c r="N186" s="120"/>
      <x:c r="O186" s="120"/>
      <x:c r="P186" s="120"/>
      <x:c r="Q186" s="120"/>
      <x:c r="R186" s="120"/>
      <x:c r="S186" s="120"/>
      <x:c r="T186" s="120"/>
      <x:c r="U186" s="48"/>
      <x:c r="V186" s="48"/>
      <x:c r="W186" s="48"/>
      <x:c r="X186" s="48"/>
      <x:c r="Y186" s="48"/>
      <x:c r="Z186" s="49"/>
      <x:c r="AA186" s="43"/>
      <x:c r="AB186" s="43"/>
      <x:c r="AC186" s="43"/>
      <x:c r="AD186" s="43"/>
      <x:c r="AE186" s="43"/>
      <x:c r="AF186" s="87" t="str">
        <x:f>IF(OR(H186="",I186="",I186&lt;H186),"",(I186-H186)*1440)</x:f>
      </x:c>
      <x:c r="AG186" s="87" t="str">
        <x:f>IF(OR(I186="",M186="",M186&lt;I186),"",(M186-I186)*1440)</x:f>
      </x:c>
      <x:c r="AH186" s="87" t="str">
        <x:f>IF(OR(M186="",N186="",N186&lt;M186),"",(N186-M186)*1440)</x:f>
      </x:c>
      <x:c r="AI186" s="87" t="str">
        <x:f>IF(OR(H186="",N186="",N186&lt;H186),"",(N186-H186)*1440)</x:f>
      </x:c>
      <x:c r="AJ186" s="87" t="str">
        <x:f>IF(OR(I186="",N186="",N186&lt;I186),"",(N186-I186)*1440)</x:f>
      </x:c>
      <x:c r="AK186" s="87" t="str">
        <x:f>IF(OR(N186="",O186="",O186&lt;N186),"",(O186-N186)*1440)</x:f>
      </x:c>
      <x:c r="AL186" s="87" t="str">
        <x:f>IF(OR(O186="",P186="",P186&lt;O186),"",(P186-O186)*1440)</x:f>
      </x:c>
      <x:c r="AM186" s="87" t="str">
        <x:f>IF(OR(Q186="",R186="",R186&lt;Q186),"",(R186-Q186)*1440)</x:f>
      </x:c>
      <x:c r="AN186" s="87" t="str">
        <x:f>IF(OR(S186="",T186="",T186&lt;S186),"",(T186-S186)*1440)</x:f>
      </x:c>
      <x:c r="AO186" s="87" t="str">
        <x:f>IF(OR(U186="",V186=""),"",V186-U186)</x:f>
      </x:c>
      <x:c r="AP186" s="63" t="str">
        <x:f>IF(A186="","",IF(OR(B186="",H186="",N186=""),"Incompleto",IF(N186&lt;H186,"Revisar",IF(OR(G186="",G186="Não observado"),"Qualidade E0 ausente",IF(OR(G186="Sensor",G186="Marcação física"),"Válido — E0 observado",IF(G186="Cálculo","Válido — E0 calculado","Válido — E0 estimado"))))))</x:f>
      </x:c>
      <x:c r="AQ186" s="63" t="str">
        <x:f>IF(A186="","",IF(COUNTA(H186:T186)&lt;13,"Incompleta",IF(OR(I186&lt;H186,J186&lt;I186,K186&lt;J186,L186&lt;K186,M186&lt;L186,N186&lt;M186,O186&lt;N186,P186&lt;O186,Q186&lt;P186,R186&lt;Q186,S186&lt;R186,T186&lt;S186),"Revisar","Completa")))</x:f>
      </x:c>
      <x:c r="AR186" s="87" t="str">
        <x:f>IF(OR(V186="",W186="",Y186=""),"",Y186-(V186-W186))</x:f>
      </x:c>
      <x:c r="AS186" s="63" t="str">
        <x:f>IF(A186="","",IF(AND(E186&lt;&gt;"",F186&lt;&gt;"",G186&lt;&gt;"",Z186&lt;&gt;"",AA186&lt;&gt;"",AB186&lt;&gt;"",AC186&lt;&gt;""),"Completa","Incompleta"))</x:f>
      </x:c>
      <x:c r="AT186" s="63" t="str">
        <x:f>IF(A186="","",IF(COUNTIF($A$11:$A$410,A186)&gt;1,"ID duplicado",IF(AND(AR186&lt;&gt;"",ABS(AR186)&gt;0.01),"Revisar balanço",IF(AND(W186&lt;&gt;"",V186&lt;&gt;"",W186&gt;V186),"Retirada &gt; estoque",IF(AND(U186&lt;&gt;"",U186&lt;'Cenário Base'!$D$8*'Cenário Base'!$D$74),"E0 abaixo do gatilho",IF(AND(V186&lt;&gt;"",V186&gt;XLOOKUP(B186,$A$414:$A$418,$B$414:$B$418)),"Excedeu capacidade","Sem alerta"))))))</x:f>
      </x:c>
    </x:row>
    <x:row r="187">
      <x:c r="A187" s="43"/>
      <x:c r="B187" s="43"/>
      <x:c r="C187" s="43"/>
      <x:c r="D187" s="43"/>
      <x:c r="E187" s="43"/>
      <x:c r="F187" s="43"/>
      <x:c r="G187" s="43"/>
      <x:c r="H187" s="120"/>
      <x:c r="I187" s="120"/>
      <x:c r="J187" s="120"/>
      <x:c r="K187" s="120"/>
      <x:c r="L187" s="120"/>
      <x:c r="M187" s="120"/>
      <x:c r="N187" s="120"/>
      <x:c r="O187" s="120"/>
      <x:c r="P187" s="120"/>
      <x:c r="Q187" s="120"/>
      <x:c r="R187" s="120"/>
      <x:c r="S187" s="120"/>
      <x:c r="T187" s="120"/>
      <x:c r="U187" s="48"/>
      <x:c r="V187" s="48"/>
      <x:c r="W187" s="48"/>
      <x:c r="X187" s="48"/>
      <x:c r="Y187" s="48"/>
      <x:c r="Z187" s="49"/>
      <x:c r="AA187" s="43"/>
      <x:c r="AB187" s="43"/>
      <x:c r="AC187" s="43"/>
      <x:c r="AD187" s="43"/>
      <x:c r="AE187" s="43"/>
      <x:c r="AF187" s="87" t="str">
        <x:f>IF(OR(H187="",I187="",I187&lt;H187),"",(I187-H187)*1440)</x:f>
      </x:c>
      <x:c r="AG187" s="87" t="str">
        <x:f>IF(OR(I187="",M187="",M187&lt;I187),"",(M187-I187)*1440)</x:f>
      </x:c>
      <x:c r="AH187" s="87" t="str">
        <x:f>IF(OR(M187="",N187="",N187&lt;M187),"",(N187-M187)*1440)</x:f>
      </x:c>
      <x:c r="AI187" s="87" t="str">
        <x:f>IF(OR(H187="",N187="",N187&lt;H187),"",(N187-H187)*1440)</x:f>
      </x:c>
      <x:c r="AJ187" s="87" t="str">
        <x:f>IF(OR(I187="",N187="",N187&lt;I187),"",(N187-I187)*1440)</x:f>
      </x:c>
      <x:c r="AK187" s="87" t="str">
        <x:f>IF(OR(N187="",O187="",O187&lt;N187),"",(O187-N187)*1440)</x:f>
      </x:c>
      <x:c r="AL187" s="87" t="str">
        <x:f>IF(OR(O187="",P187="",P187&lt;O187),"",(P187-O187)*1440)</x:f>
      </x:c>
      <x:c r="AM187" s="87" t="str">
        <x:f>IF(OR(Q187="",R187="",R187&lt;Q187),"",(R187-Q187)*1440)</x:f>
      </x:c>
      <x:c r="AN187" s="87" t="str">
        <x:f>IF(OR(S187="",T187="",T187&lt;S187),"",(T187-S187)*1440)</x:f>
      </x:c>
      <x:c r="AO187" s="87" t="str">
        <x:f>IF(OR(U187="",V187=""),"",V187-U187)</x:f>
      </x:c>
      <x:c r="AP187" s="63" t="str">
        <x:f>IF(A187="","",IF(OR(B187="",H187="",N187=""),"Incompleto",IF(N187&lt;H187,"Revisar",IF(OR(G187="",G187="Não observado"),"Qualidade E0 ausente",IF(OR(G187="Sensor",G187="Marcação física"),"Válido — E0 observado",IF(G187="Cálculo","Válido — E0 calculado","Válido — E0 estimado"))))))</x:f>
      </x:c>
      <x:c r="AQ187" s="63" t="str">
        <x:f>IF(A187="","",IF(COUNTA(H187:T187)&lt;13,"Incompleta",IF(OR(I187&lt;H187,J187&lt;I187,K187&lt;J187,L187&lt;K187,M187&lt;L187,N187&lt;M187,O187&lt;N187,P187&lt;O187,Q187&lt;P187,R187&lt;Q187,S187&lt;R187,T187&lt;S187),"Revisar","Completa")))</x:f>
      </x:c>
      <x:c r="AR187" s="87" t="str">
        <x:f>IF(OR(V187="",W187="",Y187=""),"",Y187-(V187-W187))</x:f>
      </x:c>
      <x:c r="AS187" s="63" t="str">
        <x:f>IF(A187="","",IF(AND(E187&lt;&gt;"",F187&lt;&gt;"",G187&lt;&gt;"",Z187&lt;&gt;"",AA187&lt;&gt;"",AB187&lt;&gt;"",AC187&lt;&gt;""),"Completa","Incompleta"))</x:f>
      </x:c>
      <x:c r="AT187" s="63" t="str">
        <x:f>IF(A187="","",IF(COUNTIF($A$11:$A$410,A187)&gt;1,"ID duplicado",IF(AND(AR187&lt;&gt;"",ABS(AR187)&gt;0.01),"Revisar balanço",IF(AND(W187&lt;&gt;"",V187&lt;&gt;"",W187&gt;V187),"Retirada &gt; estoque",IF(AND(U187&lt;&gt;"",U187&lt;'Cenário Base'!$D$8*'Cenário Base'!$D$74),"E0 abaixo do gatilho",IF(AND(V187&lt;&gt;"",V187&gt;XLOOKUP(B187,$A$414:$A$418,$B$414:$B$418)),"Excedeu capacidade","Sem alerta"))))))</x:f>
      </x:c>
    </x:row>
    <x:row r="188">
      <x:c r="A188" s="43"/>
      <x:c r="B188" s="43"/>
      <x:c r="C188" s="43"/>
      <x:c r="D188" s="43"/>
      <x:c r="E188" s="43"/>
      <x:c r="F188" s="43"/>
      <x:c r="G188" s="43"/>
      <x:c r="H188" s="120"/>
      <x:c r="I188" s="120"/>
      <x:c r="J188" s="120"/>
      <x:c r="K188" s="120"/>
      <x:c r="L188" s="120"/>
      <x:c r="M188" s="120"/>
      <x:c r="N188" s="120"/>
      <x:c r="O188" s="120"/>
      <x:c r="P188" s="120"/>
      <x:c r="Q188" s="120"/>
      <x:c r="R188" s="120"/>
      <x:c r="S188" s="120"/>
      <x:c r="T188" s="120"/>
      <x:c r="U188" s="48"/>
      <x:c r="V188" s="48"/>
      <x:c r="W188" s="48"/>
      <x:c r="X188" s="48"/>
      <x:c r="Y188" s="48"/>
      <x:c r="Z188" s="49"/>
      <x:c r="AA188" s="43"/>
      <x:c r="AB188" s="43"/>
      <x:c r="AC188" s="43"/>
      <x:c r="AD188" s="43"/>
      <x:c r="AE188" s="43"/>
      <x:c r="AF188" s="87" t="str">
        <x:f>IF(OR(H188="",I188="",I188&lt;H188),"",(I188-H188)*1440)</x:f>
      </x:c>
      <x:c r="AG188" s="87" t="str">
        <x:f>IF(OR(I188="",M188="",M188&lt;I188),"",(M188-I188)*1440)</x:f>
      </x:c>
      <x:c r="AH188" s="87" t="str">
        <x:f>IF(OR(M188="",N188="",N188&lt;M188),"",(N188-M188)*1440)</x:f>
      </x:c>
      <x:c r="AI188" s="87" t="str">
        <x:f>IF(OR(H188="",N188="",N188&lt;H188),"",(N188-H188)*1440)</x:f>
      </x:c>
      <x:c r="AJ188" s="87" t="str">
        <x:f>IF(OR(I188="",N188="",N188&lt;I188),"",(N188-I188)*1440)</x:f>
      </x:c>
      <x:c r="AK188" s="87" t="str">
        <x:f>IF(OR(N188="",O188="",O188&lt;N188),"",(O188-N188)*1440)</x:f>
      </x:c>
      <x:c r="AL188" s="87" t="str">
        <x:f>IF(OR(O188="",P188="",P188&lt;O188),"",(P188-O188)*1440)</x:f>
      </x:c>
      <x:c r="AM188" s="87" t="str">
        <x:f>IF(OR(Q188="",R188="",R188&lt;Q188),"",(R188-Q188)*1440)</x:f>
      </x:c>
      <x:c r="AN188" s="87" t="str">
        <x:f>IF(OR(S188="",T188="",T188&lt;S188),"",(T188-S188)*1440)</x:f>
      </x:c>
      <x:c r="AO188" s="87" t="str">
        <x:f>IF(OR(U188="",V188=""),"",V188-U188)</x:f>
      </x:c>
      <x:c r="AP188" s="63" t="str">
        <x:f>IF(A188="","",IF(OR(B188="",H188="",N188=""),"Incompleto",IF(N188&lt;H188,"Revisar",IF(OR(G188="",G188="Não observado"),"Qualidade E0 ausente",IF(OR(G188="Sensor",G188="Marcação física"),"Válido — E0 observado",IF(G188="Cálculo","Válido — E0 calculado","Válido — E0 estimado"))))))</x:f>
      </x:c>
      <x:c r="AQ188" s="63" t="str">
        <x:f>IF(A188="","",IF(COUNTA(H188:T188)&lt;13,"Incompleta",IF(OR(I188&lt;H188,J188&lt;I188,K188&lt;J188,L188&lt;K188,M188&lt;L188,N188&lt;M188,O188&lt;N188,P188&lt;O188,Q188&lt;P188,R188&lt;Q188,S188&lt;R188,T188&lt;S188),"Revisar","Completa")))</x:f>
      </x:c>
      <x:c r="AR188" s="87" t="str">
        <x:f>IF(OR(V188="",W188="",Y188=""),"",Y188-(V188-W188))</x:f>
      </x:c>
      <x:c r="AS188" s="63" t="str">
        <x:f>IF(A188="","",IF(AND(E188&lt;&gt;"",F188&lt;&gt;"",G188&lt;&gt;"",Z188&lt;&gt;"",AA188&lt;&gt;"",AB188&lt;&gt;"",AC188&lt;&gt;""),"Completa","Incompleta"))</x:f>
      </x:c>
      <x:c r="AT188" s="63" t="str">
        <x:f>IF(A188="","",IF(COUNTIF($A$11:$A$410,A188)&gt;1,"ID duplicado",IF(AND(AR188&lt;&gt;"",ABS(AR188)&gt;0.01),"Revisar balanço",IF(AND(W188&lt;&gt;"",V188&lt;&gt;"",W188&gt;V188),"Retirada &gt; estoque",IF(AND(U188&lt;&gt;"",U188&lt;'Cenário Base'!$D$8*'Cenário Base'!$D$74),"E0 abaixo do gatilho",IF(AND(V188&lt;&gt;"",V188&gt;XLOOKUP(B188,$A$414:$A$418,$B$414:$B$418)),"Excedeu capacidade","Sem alerta"))))))</x:f>
      </x:c>
    </x:row>
    <x:row r="189">
      <x:c r="A189" s="43"/>
      <x:c r="B189" s="43"/>
      <x:c r="C189" s="43"/>
      <x:c r="D189" s="43"/>
      <x:c r="E189" s="43"/>
      <x:c r="F189" s="43"/>
      <x:c r="G189" s="43"/>
      <x:c r="H189" s="120"/>
      <x:c r="I189" s="120"/>
      <x:c r="J189" s="120"/>
      <x:c r="K189" s="120"/>
      <x:c r="L189" s="120"/>
      <x:c r="M189" s="120"/>
      <x:c r="N189" s="120"/>
      <x:c r="O189" s="120"/>
      <x:c r="P189" s="120"/>
      <x:c r="Q189" s="120"/>
      <x:c r="R189" s="120"/>
      <x:c r="S189" s="120"/>
      <x:c r="T189" s="120"/>
      <x:c r="U189" s="48"/>
      <x:c r="V189" s="48"/>
      <x:c r="W189" s="48"/>
      <x:c r="X189" s="48"/>
      <x:c r="Y189" s="48"/>
      <x:c r="Z189" s="49"/>
      <x:c r="AA189" s="43"/>
      <x:c r="AB189" s="43"/>
      <x:c r="AC189" s="43"/>
      <x:c r="AD189" s="43"/>
      <x:c r="AE189" s="43"/>
      <x:c r="AF189" s="87" t="str">
        <x:f>IF(OR(H189="",I189="",I189&lt;H189),"",(I189-H189)*1440)</x:f>
      </x:c>
      <x:c r="AG189" s="87" t="str">
        <x:f>IF(OR(I189="",M189="",M189&lt;I189),"",(M189-I189)*1440)</x:f>
      </x:c>
      <x:c r="AH189" s="87" t="str">
        <x:f>IF(OR(M189="",N189="",N189&lt;M189),"",(N189-M189)*1440)</x:f>
      </x:c>
      <x:c r="AI189" s="87" t="str">
        <x:f>IF(OR(H189="",N189="",N189&lt;H189),"",(N189-H189)*1440)</x:f>
      </x:c>
      <x:c r="AJ189" s="87" t="str">
        <x:f>IF(OR(I189="",N189="",N189&lt;I189),"",(N189-I189)*1440)</x:f>
      </x:c>
      <x:c r="AK189" s="87" t="str">
        <x:f>IF(OR(N189="",O189="",O189&lt;N189),"",(O189-N189)*1440)</x:f>
      </x:c>
      <x:c r="AL189" s="87" t="str">
        <x:f>IF(OR(O189="",P189="",P189&lt;O189),"",(P189-O189)*1440)</x:f>
      </x:c>
      <x:c r="AM189" s="87" t="str">
        <x:f>IF(OR(Q189="",R189="",R189&lt;Q189),"",(R189-Q189)*1440)</x:f>
      </x:c>
      <x:c r="AN189" s="87" t="str">
        <x:f>IF(OR(S189="",T189="",T189&lt;S189),"",(T189-S189)*1440)</x:f>
      </x:c>
      <x:c r="AO189" s="87" t="str">
        <x:f>IF(OR(U189="",V189=""),"",V189-U189)</x:f>
      </x:c>
      <x:c r="AP189" s="63" t="str">
        <x:f>IF(A189="","",IF(OR(B189="",H189="",N189=""),"Incompleto",IF(N189&lt;H189,"Revisar",IF(OR(G189="",G189="Não observado"),"Qualidade E0 ausente",IF(OR(G189="Sensor",G189="Marcação física"),"Válido — E0 observado",IF(G189="Cálculo","Válido — E0 calculado","Válido — E0 estimado"))))))</x:f>
      </x:c>
      <x:c r="AQ189" s="63" t="str">
        <x:f>IF(A189="","",IF(COUNTA(H189:T189)&lt;13,"Incompleta",IF(OR(I189&lt;H189,J189&lt;I189,K189&lt;J189,L189&lt;K189,M189&lt;L189,N189&lt;M189,O189&lt;N189,P189&lt;O189,Q189&lt;P189,R189&lt;Q189,S189&lt;R189,T189&lt;S189),"Revisar","Completa")))</x:f>
      </x:c>
      <x:c r="AR189" s="87" t="str">
        <x:f>IF(OR(V189="",W189="",Y189=""),"",Y189-(V189-W189))</x:f>
      </x:c>
      <x:c r="AS189" s="63" t="str">
        <x:f>IF(A189="","",IF(AND(E189&lt;&gt;"",F189&lt;&gt;"",G189&lt;&gt;"",Z189&lt;&gt;"",AA189&lt;&gt;"",AB189&lt;&gt;"",AC189&lt;&gt;""),"Completa","Incompleta"))</x:f>
      </x:c>
      <x:c r="AT189" s="63" t="str">
        <x:f>IF(A189="","",IF(COUNTIF($A$11:$A$410,A189)&gt;1,"ID duplicado",IF(AND(AR189&lt;&gt;"",ABS(AR189)&gt;0.01),"Revisar balanço",IF(AND(W189&lt;&gt;"",V189&lt;&gt;"",W189&gt;V189),"Retirada &gt; estoque",IF(AND(U189&lt;&gt;"",U189&lt;'Cenário Base'!$D$8*'Cenário Base'!$D$74),"E0 abaixo do gatilho",IF(AND(V189&lt;&gt;"",V189&gt;XLOOKUP(B189,$A$414:$A$418,$B$414:$B$418)),"Excedeu capacidade","Sem alerta"))))))</x:f>
      </x:c>
    </x:row>
    <x:row r="190">
      <x:c r="A190" s="43"/>
      <x:c r="B190" s="43"/>
      <x:c r="C190" s="43"/>
      <x:c r="D190" s="43"/>
      <x:c r="E190" s="43"/>
      <x:c r="F190" s="43"/>
      <x:c r="G190" s="43"/>
      <x:c r="H190" s="120"/>
      <x:c r="I190" s="120"/>
      <x:c r="J190" s="120"/>
      <x:c r="K190" s="120"/>
      <x:c r="L190" s="120"/>
      <x:c r="M190" s="120"/>
      <x:c r="N190" s="120"/>
      <x:c r="O190" s="120"/>
      <x:c r="P190" s="120"/>
      <x:c r="Q190" s="120"/>
      <x:c r="R190" s="120"/>
      <x:c r="S190" s="120"/>
      <x:c r="T190" s="120"/>
      <x:c r="U190" s="48"/>
      <x:c r="V190" s="48"/>
      <x:c r="W190" s="48"/>
      <x:c r="X190" s="48"/>
      <x:c r="Y190" s="48"/>
      <x:c r="Z190" s="49"/>
      <x:c r="AA190" s="43"/>
      <x:c r="AB190" s="43"/>
      <x:c r="AC190" s="43"/>
      <x:c r="AD190" s="43"/>
      <x:c r="AE190" s="43"/>
      <x:c r="AF190" s="87" t="str">
        <x:f>IF(OR(H190="",I190="",I190&lt;H190),"",(I190-H190)*1440)</x:f>
      </x:c>
      <x:c r="AG190" s="87" t="str">
        <x:f>IF(OR(I190="",M190="",M190&lt;I190),"",(M190-I190)*1440)</x:f>
      </x:c>
      <x:c r="AH190" s="87" t="str">
        <x:f>IF(OR(M190="",N190="",N190&lt;M190),"",(N190-M190)*1440)</x:f>
      </x:c>
      <x:c r="AI190" s="87" t="str">
        <x:f>IF(OR(H190="",N190="",N190&lt;H190),"",(N190-H190)*1440)</x:f>
      </x:c>
      <x:c r="AJ190" s="87" t="str">
        <x:f>IF(OR(I190="",N190="",N190&lt;I190),"",(N190-I190)*1440)</x:f>
      </x:c>
      <x:c r="AK190" s="87" t="str">
        <x:f>IF(OR(N190="",O190="",O190&lt;N190),"",(O190-N190)*1440)</x:f>
      </x:c>
      <x:c r="AL190" s="87" t="str">
        <x:f>IF(OR(O190="",P190="",P190&lt;O190),"",(P190-O190)*1440)</x:f>
      </x:c>
      <x:c r="AM190" s="87" t="str">
        <x:f>IF(OR(Q190="",R190="",R190&lt;Q190),"",(R190-Q190)*1440)</x:f>
      </x:c>
      <x:c r="AN190" s="87" t="str">
        <x:f>IF(OR(S190="",T190="",T190&lt;S190),"",(T190-S190)*1440)</x:f>
      </x:c>
      <x:c r="AO190" s="87" t="str">
        <x:f>IF(OR(U190="",V190=""),"",V190-U190)</x:f>
      </x:c>
      <x:c r="AP190" s="63" t="str">
        <x:f>IF(A190="","",IF(OR(B190="",H190="",N190=""),"Incompleto",IF(N190&lt;H190,"Revisar",IF(OR(G190="",G190="Não observado"),"Qualidade E0 ausente",IF(OR(G190="Sensor",G190="Marcação física"),"Válido — E0 observado",IF(G190="Cálculo","Válido — E0 calculado","Válido — E0 estimado"))))))</x:f>
      </x:c>
      <x:c r="AQ190" s="63" t="str">
        <x:f>IF(A190="","",IF(COUNTA(H190:T190)&lt;13,"Incompleta",IF(OR(I190&lt;H190,J190&lt;I190,K190&lt;J190,L190&lt;K190,M190&lt;L190,N190&lt;M190,O190&lt;N190,P190&lt;O190,Q190&lt;P190,R190&lt;Q190,S190&lt;R190,T190&lt;S190),"Revisar","Completa")))</x:f>
      </x:c>
      <x:c r="AR190" s="87" t="str">
        <x:f>IF(OR(V190="",W190="",Y190=""),"",Y190-(V190-W190))</x:f>
      </x:c>
      <x:c r="AS190" s="63" t="str">
        <x:f>IF(A190="","",IF(AND(E190&lt;&gt;"",F190&lt;&gt;"",G190&lt;&gt;"",Z190&lt;&gt;"",AA190&lt;&gt;"",AB190&lt;&gt;"",AC190&lt;&gt;""),"Completa","Incompleta"))</x:f>
      </x:c>
      <x:c r="AT190" s="63" t="str">
        <x:f>IF(A190="","",IF(COUNTIF($A$11:$A$410,A190)&gt;1,"ID duplicado",IF(AND(AR190&lt;&gt;"",ABS(AR190)&gt;0.01),"Revisar balanço",IF(AND(W190&lt;&gt;"",V190&lt;&gt;"",W190&gt;V190),"Retirada &gt; estoque",IF(AND(U190&lt;&gt;"",U190&lt;'Cenário Base'!$D$8*'Cenário Base'!$D$74),"E0 abaixo do gatilho",IF(AND(V190&lt;&gt;"",V190&gt;XLOOKUP(B190,$A$414:$A$418,$B$414:$B$418)),"Excedeu capacidade","Sem alerta"))))))</x:f>
      </x:c>
    </x:row>
    <x:row r="191">
      <x:c r="A191" s="43"/>
      <x:c r="B191" s="43"/>
      <x:c r="C191" s="43"/>
      <x:c r="D191" s="43"/>
      <x:c r="E191" s="43"/>
      <x:c r="F191" s="43"/>
      <x:c r="G191" s="43"/>
      <x:c r="H191" s="120"/>
      <x:c r="I191" s="120"/>
      <x:c r="J191" s="120"/>
      <x:c r="K191" s="120"/>
      <x:c r="L191" s="120"/>
      <x:c r="M191" s="120"/>
      <x:c r="N191" s="120"/>
      <x:c r="O191" s="120"/>
      <x:c r="P191" s="120"/>
      <x:c r="Q191" s="120"/>
      <x:c r="R191" s="120"/>
      <x:c r="S191" s="120"/>
      <x:c r="T191" s="120"/>
      <x:c r="U191" s="48"/>
      <x:c r="V191" s="48"/>
      <x:c r="W191" s="48"/>
      <x:c r="X191" s="48"/>
      <x:c r="Y191" s="48"/>
      <x:c r="Z191" s="49"/>
      <x:c r="AA191" s="43"/>
      <x:c r="AB191" s="43"/>
      <x:c r="AC191" s="43"/>
      <x:c r="AD191" s="43"/>
      <x:c r="AE191" s="43"/>
      <x:c r="AF191" s="87" t="str">
        <x:f>IF(OR(H191="",I191="",I191&lt;H191),"",(I191-H191)*1440)</x:f>
      </x:c>
      <x:c r="AG191" s="87" t="str">
        <x:f>IF(OR(I191="",M191="",M191&lt;I191),"",(M191-I191)*1440)</x:f>
      </x:c>
      <x:c r="AH191" s="87" t="str">
        <x:f>IF(OR(M191="",N191="",N191&lt;M191),"",(N191-M191)*1440)</x:f>
      </x:c>
      <x:c r="AI191" s="87" t="str">
        <x:f>IF(OR(H191="",N191="",N191&lt;H191),"",(N191-H191)*1440)</x:f>
      </x:c>
      <x:c r="AJ191" s="87" t="str">
        <x:f>IF(OR(I191="",N191="",N191&lt;I191),"",(N191-I191)*1440)</x:f>
      </x:c>
      <x:c r="AK191" s="87" t="str">
        <x:f>IF(OR(N191="",O191="",O191&lt;N191),"",(O191-N191)*1440)</x:f>
      </x:c>
      <x:c r="AL191" s="87" t="str">
        <x:f>IF(OR(O191="",P191="",P191&lt;O191),"",(P191-O191)*1440)</x:f>
      </x:c>
      <x:c r="AM191" s="87" t="str">
        <x:f>IF(OR(Q191="",R191="",R191&lt;Q191),"",(R191-Q191)*1440)</x:f>
      </x:c>
      <x:c r="AN191" s="87" t="str">
        <x:f>IF(OR(S191="",T191="",T191&lt;S191),"",(T191-S191)*1440)</x:f>
      </x:c>
      <x:c r="AO191" s="87" t="str">
        <x:f>IF(OR(U191="",V191=""),"",V191-U191)</x:f>
      </x:c>
      <x:c r="AP191" s="63" t="str">
        <x:f>IF(A191="","",IF(OR(B191="",H191="",N191=""),"Incompleto",IF(N191&lt;H191,"Revisar",IF(OR(G191="",G191="Não observado"),"Qualidade E0 ausente",IF(OR(G191="Sensor",G191="Marcação física"),"Válido — E0 observado",IF(G191="Cálculo","Válido — E0 calculado","Válido — E0 estimado"))))))</x:f>
      </x:c>
      <x:c r="AQ191" s="63" t="str">
        <x:f>IF(A191="","",IF(COUNTA(H191:T191)&lt;13,"Incompleta",IF(OR(I191&lt;H191,J191&lt;I191,K191&lt;J191,L191&lt;K191,M191&lt;L191,N191&lt;M191,O191&lt;N191,P191&lt;O191,Q191&lt;P191,R191&lt;Q191,S191&lt;R191,T191&lt;S191),"Revisar","Completa")))</x:f>
      </x:c>
      <x:c r="AR191" s="87" t="str">
        <x:f>IF(OR(V191="",W191="",Y191=""),"",Y191-(V191-W191))</x:f>
      </x:c>
      <x:c r="AS191" s="63" t="str">
        <x:f>IF(A191="","",IF(AND(E191&lt;&gt;"",F191&lt;&gt;"",G191&lt;&gt;"",Z191&lt;&gt;"",AA191&lt;&gt;"",AB191&lt;&gt;"",AC191&lt;&gt;""),"Completa","Incompleta"))</x:f>
      </x:c>
      <x:c r="AT191" s="63" t="str">
        <x:f>IF(A191="","",IF(COUNTIF($A$11:$A$410,A191)&gt;1,"ID duplicado",IF(AND(AR191&lt;&gt;"",ABS(AR191)&gt;0.01),"Revisar balanço",IF(AND(W191&lt;&gt;"",V191&lt;&gt;"",W191&gt;V191),"Retirada &gt; estoque",IF(AND(U191&lt;&gt;"",U191&lt;'Cenário Base'!$D$8*'Cenário Base'!$D$74),"E0 abaixo do gatilho",IF(AND(V191&lt;&gt;"",V191&gt;XLOOKUP(B191,$A$414:$A$418,$B$414:$B$418)),"Excedeu capacidade","Sem alerta"))))))</x:f>
      </x:c>
    </x:row>
    <x:row r="192">
      <x:c r="A192" s="43"/>
      <x:c r="B192" s="43"/>
      <x:c r="C192" s="43"/>
      <x:c r="D192" s="43"/>
      <x:c r="E192" s="43"/>
      <x:c r="F192" s="43"/>
      <x:c r="G192" s="43"/>
      <x:c r="H192" s="120"/>
      <x:c r="I192" s="120"/>
      <x:c r="J192" s="120"/>
      <x:c r="K192" s="120"/>
      <x:c r="L192" s="120"/>
      <x:c r="M192" s="120"/>
      <x:c r="N192" s="120"/>
      <x:c r="O192" s="120"/>
      <x:c r="P192" s="120"/>
      <x:c r="Q192" s="120"/>
      <x:c r="R192" s="120"/>
      <x:c r="S192" s="120"/>
      <x:c r="T192" s="120"/>
      <x:c r="U192" s="48"/>
      <x:c r="V192" s="48"/>
      <x:c r="W192" s="48"/>
      <x:c r="X192" s="48"/>
      <x:c r="Y192" s="48"/>
      <x:c r="Z192" s="49"/>
      <x:c r="AA192" s="43"/>
      <x:c r="AB192" s="43"/>
      <x:c r="AC192" s="43"/>
      <x:c r="AD192" s="43"/>
      <x:c r="AE192" s="43"/>
      <x:c r="AF192" s="87" t="str">
        <x:f>IF(OR(H192="",I192="",I192&lt;H192),"",(I192-H192)*1440)</x:f>
      </x:c>
      <x:c r="AG192" s="87" t="str">
        <x:f>IF(OR(I192="",M192="",M192&lt;I192),"",(M192-I192)*1440)</x:f>
      </x:c>
      <x:c r="AH192" s="87" t="str">
        <x:f>IF(OR(M192="",N192="",N192&lt;M192),"",(N192-M192)*1440)</x:f>
      </x:c>
      <x:c r="AI192" s="87" t="str">
        <x:f>IF(OR(H192="",N192="",N192&lt;H192),"",(N192-H192)*1440)</x:f>
      </x:c>
      <x:c r="AJ192" s="87" t="str">
        <x:f>IF(OR(I192="",N192="",N192&lt;I192),"",(N192-I192)*1440)</x:f>
      </x:c>
      <x:c r="AK192" s="87" t="str">
        <x:f>IF(OR(N192="",O192="",O192&lt;N192),"",(O192-N192)*1440)</x:f>
      </x:c>
      <x:c r="AL192" s="87" t="str">
        <x:f>IF(OR(O192="",P192="",P192&lt;O192),"",(P192-O192)*1440)</x:f>
      </x:c>
      <x:c r="AM192" s="87" t="str">
        <x:f>IF(OR(Q192="",R192="",R192&lt;Q192),"",(R192-Q192)*1440)</x:f>
      </x:c>
      <x:c r="AN192" s="87" t="str">
        <x:f>IF(OR(S192="",T192="",T192&lt;S192),"",(T192-S192)*1440)</x:f>
      </x:c>
      <x:c r="AO192" s="87" t="str">
        <x:f>IF(OR(U192="",V192=""),"",V192-U192)</x:f>
      </x:c>
      <x:c r="AP192" s="63" t="str">
        <x:f>IF(A192="","",IF(OR(B192="",H192="",N192=""),"Incompleto",IF(N192&lt;H192,"Revisar",IF(OR(G192="",G192="Não observado"),"Qualidade E0 ausente",IF(OR(G192="Sensor",G192="Marcação física"),"Válido — E0 observado",IF(G192="Cálculo","Válido — E0 calculado","Válido — E0 estimado"))))))</x:f>
      </x:c>
      <x:c r="AQ192" s="63" t="str">
        <x:f>IF(A192="","",IF(COUNTA(H192:T192)&lt;13,"Incompleta",IF(OR(I192&lt;H192,J192&lt;I192,K192&lt;J192,L192&lt;K192,M192&lt;L192,N192&lt;M192,O192&lt;N192,P192&lt;O192,Q192&lt;P192,R192&lt;Q192,S192&lt;R192,T192&lt;S192),"Revisar","Completa")))</x:f>
      </x:c>
      <x:c r="AR192" s="87" t="str">
        <x:f>IF(OR(V192="",W192="",Y192=""),"",Y192-(V192-W192))</x:f>
      </x:c>
      <x:c r="AS192" s="63" t="str">
        <x:f>IF(A192="","",IF(AND(E192&lt;&gt;"",F192&lt;&gt;"",G192&lt;&gt;"",Z192&lt;&gt;"",AA192&lt;&gt;"",AB192&lt;&gt;"",AC192&lt;&gt;""),"Completa","Incompleta"))</x:f>
      </x:c>
      <x:c r="AT192" s="63" t="str">
        <x:f>IF(A192="","",IF(COUNTIF($A$11:$A$410,A192)&gt;1,"ID duplicado",IF(AND(AR192&lt;&gt;"",ABS(AR192)&gt;0.01),"Revisar balanço",IF(AND(W192&lt;&gt;"",V192&lt;&gt;"",W192&gt;V192),"Retirada &gt; estoque",IF(AND(U192&lt;&gt;"",U192&lt;'Cenário Base'!$D$8*'Cenário Base'!$D$74),"E0 abaixo do gatilho",IF(AND(V192&lt;&gt;"",V192&gt;XLOOKUP(B192,$A$414:$A$418,$B$414:$B$418)),"Excedeu capacidade","Sem alerta"))))))</x:f>
      </x:c>
    </x:row>
    <x:row r="193">
      <x:c r="A193" s="43"/>
      <x:c r="B193" s="43"/>
      <x:c r="C193" s="43"/>
      <x:c r="D193" s="43"/>
      <x:c r="E193" s="43"/>
      <x:c r="F193" s="43"/>
      <x:c r="G193" s="43"/>
      <x:c r="H193" s="120"/>
      <x:c r="I193" s="120"/>
      <x:c r="J193" s="120"/>
      <x:c r="K193" s="120"/>
      <x:c r="L193" s="120"/>
      <x:c r="M193" s="120"/>
      <x:c r="N193" s="120"/>
      <x:c r="O193" s="120"/>
      <x:c r="P193" s="120"/>
      <x:c r="Q193" s="120"/>
      <x:c r="R193" s="120"/>
      <x:c r="S193" s="120"/>
      <x:c r="T193" s="120"/>
      <x:c r="U193" s="48"/>
      <x:c r="V193" s="48"/>
      <x:c r="W193" s="48"/>
      <x:c r="X193" s="48"/>
      <x:c r="Y193" s="48"/>
      <x:c r="Z193" s="49"/>
      <x:c r="AA193" s="43"/>
      <x:c r="AB193" s="43"/>
      <x:c r="AC193" s="43"/>
      <x:c r="AD193" s="43"/>
      <x:c r="AE193" s="43"/>
      <x:c r="AF193" s="87" t="str">
        <x:f>IF(OR(H193="",I193="",I193&lt;H193),"",(I193-H193)*1440)</x:f>
      </x:c>
      <x:c r="AG193" s="87" t="str">
        <x:f>IF(OR(I193="",M193="",M193&lt;I193),"",(M193-I193)*1440)</x:f>
      </x:c>
      <x:c r="AH193" s="87" t="str">
        <x:f>IF(OR(M193="",N193="",N193&lt;M193),"",(N193-M193)*1440)</x:f>
      </x:c>
      <x:c r="AI193" s="87" t="str">
        <x:f>IF(OR(H193="",N193="",N193&lt;H193),"",(N193-H193)*1440)</x:f>
      </x:c>
      <x:c r="AJ193" s="87" t="str">
        <x:f>IF(OR(I193="",N193="",N193&lt;I193),"",(N193-I193)*1440)</x:f>
      </x:c>
      <x:c r="AK193" s="87" t="str">
        <x:f>IF(OR(N193="",O193="",O193&lt;N193),"",(O193-N193)*1440)</x:f>
      </x:c>
      <x:c r="AL193" s="87" t="str">
        <x:f>IF(OR(O193="",P193="",P193&lt;O193),"",(P193-O193)*1440)</x:f>
      </x:c>
      <x:c r="AM193" s="87" t="str">
        <x:f>IF(OR(Q193="",R193="",R193&lt;Q193),"",(R193-Q193)*1440)</x:f>
      </x:c>
      <x:c r="AN193" s="87" t="str">
        <x:f>IF(OR(S193="",T193="",T193&lt;S193),"",(T193-S193)*1440)</x:f>
      </x:c>
      <x:c r="AO193" s="87" t="str">
        <x:f>IF(OR(U193="",V193=""),"",V193-U193)</x:f>
      </x:c>
      <x:c r="AP193" s="63" t="str">
        <x:f>IF(A193="","",IF(OR(B193="",H193="",N193=""),"Incompleto",IF(N193&lt;H193,"Revisar",IF(OR(G193="",G193="Não observado"),"Qualidade E0 ausente",IF(OR(G193="Sensor",G193="Marcação física"),"Válido — E0 observado",IF(G193="Cálculo","Válido — E0 calculado","Válido — E0 estimado"))))))</x:f>
      </x:c>
      <x:c r="AQ193" s="63" t="str">
        <x:f>IF(A193="","",IF(COUNTA(H193:T193)&lt;13,"Incompleta",IF(OR(I193&lt;H193,J193&lt;I193,K193&lt;J193,L193&lt;K193,M193&lt;L193,N193&lt;M193,O193&lt;N193,P193&lt;O193,Q193&lt;P193,R193&lt;Q193,S193&lt;R193,T193&lt;S193),"Revisar","Completa")))</x:f>
      </x:c>
      <x:c r="AR193" s="87" t="str">
        <x:f>IF(OR(V193="",W193="",Y193=""),"",Y193-(V193-W193))</x:f>
      </x:c>
      <x:c r="AS193" s="63" t="str">
        <x:f>IF(A193="","",IF(AND(E193&lt;&gt;"",F193&lt;&gt;"",G193&lt;&gt;"",Z193&lt;&gt;"",AA193&lt;&gt;"",AB193&lt;&gt;"",AC193&lt;&gt;""),"Completa","Incompleta"))</x:f>
      </x:c>
      <x:c r="AT193" s="63" t="str">
        <x:f>IF(A193="","",IF(COUNTIF($A$11:$A$410,A193)&gt;1,"ID duplicado",IF(AND(AR193&lt;&gt;"",ABS(AR193)&gt;0.01),"Revisar balanço",IF(AND(W193&lt;&gt;"",V193&lt;&gt;"",W193&gt;V193),"Retirada &gt; estoque",IF(AND(U193&lt;&gt;"",U193&lt;'Cenário Base'!$D$8*'Cenário Base'!$D$74),"E0 abaixo do gatilho",IF(AND(V193&lt;&gt;"",V193&gt;XLOOKUP(B193,$A$414:$A$418,$B$414:$B$418)),"Excedeu capacidade","Sem alerta"))))))</x:f>
      </x:c>
    </x:row>
    <x:row r="194">
      <x:c r="A194" s="43"/>
      <x:c r="B194" s="43"/>
      <x:c r="C194" s="43"/>
      <x:c r="D194" s="43"/>
      <x:c r="E194" s="43"/>
      <x:c r="F194" s="43"/>
      <x:c r="G194" s="43"/>
      <x:c r="H194" s="120"/>
      <x:c r="I194" s="120"/>
      <x:c r="J194" s="120"/>
      <x:c r="K194" s="120"/>
      <x:c r="L194" s="120"/>
      <x:c r="M194" s="120"/>
      <x:c r="N194" s="120"/>
      <x:c r="O194" s="120"/>
      <x:c r="P194" s="120"/>
      <x:c r="Q194" s="120"/>
      <x:c r="R194" s="120"/>
      <x:c r="S194" s="120"/>
      <x:c r="T194" s="120"/>
      <x:c r="U194" s="48"/>
      <x:c r="V194" s="48"/>
      <x:c r="W194" s="48"/>
      <x:c r="X194" s="48"/>
      <x:c r="Y194" s="48"/>
      <x:c r="Z194" s="49"/>
      <x:c r="AA194" s="43"/>
      <x:c r="AB194" s="43"/>
      <x:c r="AC194" s="43"/>
      <x:c r="AD194" s="43"/>
      <x:c r="AE194" s="43"/>
      <x:c r="AF194" s="87" t="str">
        <x:f>IF(OR(H194="",I194="",I194&lt;H194),"",(I194-H194)*1440)</x:f>
      </x:c>
      <x:c r="AG194" s="87" t="str">
        <x:f>IF(OR(I194="",M194="",M194&lt;I194),"",(M194-I194)*1440)</x:f>
      </x:c>
      <x:c r="AH194" s="87" t="str">
        <x:f>IF(OR(M194="",N194="",N194&lt;M194),"",(N194-M194)*1440)</x:f>
      </x:c>
      <x:c r="AI194" s="87" t="str">
        <x:f>IF(OR(H194="",N194="",N194&lt;H194),"",(N194-H194)*1440)</x:f>
      </x:c>
      <x:c r="AJ194" s="87" t="str">
        <x:f>IF(OR(I194="",N194="",N194&lt;I194),"",(N194-I194)*1440)</x:f>
      </x:c>
      <x:c r="AK194" s="87" t="str">
        <x:f>IF(OR(N194="",O194="",O194&lt;N194),"",(O194-N194)*1440)</x:f>
      </x:c>
      <x:c r="AL194" s="87" t="str">
        <x:f>IF(OR(O194="",P194="",P194&lt;O194),"",(P194-O194)*1440)</x:f>
      </x:c>
      <x:c r="AM194" s="87" t="str">
        <x:f>IF(OR(Q194="",R194="",R194&lt;Q194),"",(R194-Q194)*1440)</x:f>
      </x:c>
      <x:c r="AN194" s="87" t="str">
        <x:f>IF(OR(S194="",T194="",T194&lt;S194),"",(T194-S194)*1440)</x:f>
      </x:c>
      <x:c r="AO194" s="87" t="str">
        <x:f>IF(OR(U194="",V194=""),"",V194-U194)</x:f>
      </x:c>
      <x:c r="AP194" s="63" t="str">
        <x:f>IF(A194="","",IF(OR(B194="",H194="",N194=""),"Incompleto",IF(N194&lt;H194,"Revisar",IF(OR(G194="",G194="Não observado"),"Qualidade E0 ausente",IF(OR(G194="Sensor",G194="Marcação física"),"Válido — E0 observado",IF(G194="Cálculo","Válido — E0 calculado","Válido — E0 estimado"))))))</x:f>
      </x:c>
      <x:c r="AQ194" s="63" t="str">
        <x:f>IF(A194="","",IF(COUNTA(H194:T194)&lt;13,"Incompleta",IF(OR(I194&lt;H194,J194&lt;I194,K194&lt;J194,L194&lt;K194,M194&lt;L194,N194&lt;M194,O194&lt;N194,P194&lt;O194,Q194&lt;P194,R194&lt;Q194,S194&lt;R194,T194&lt;S194),"Revisar","Completa")))</x:f>
      </x:c>
      <x:c r="AR194" s="87" t="str">
        <x:f>IF(OR(V194="",W194="",Y194=""),"",Y194-(V194-W194))</x:f>
      </x:c>
      <x:c r="AS194" s="63" t="str">
        <x:f>IF(A194="","",IF(AND(E194&lt;&gt;"",F194&lt;&gt;"",G194&lt;&gt;"",Z194&lt;&gt;"",AA194&lt;&gt;"",AB194&lt;&gt;"",AC194&lt;&gt;""),"Completa","Incompleta"))</x:f>
      </x:c>
      <x:c r="AT194" s="63" t="str">
        <x:f>IF(A194="","",IF(COUNTIF($A$11:$A$410,A194)&gt;1,"ID duplicado",IF(AND(AR194&lt;&gt;"",ABS(AR194)&gt;0.01),"Revisar balanço",IF(AND(W194&lt;&gt;"",V194&lt;&gt;"",W194&gt;V194),"Retirada &gt; estoque",IF(AND(U194&lt;&gt;"",U194&lt;'Cenário Base'!$D$8*'Cenário Base'!$D$74),"E0 abaixo do gatilho",IF(AND(V194&lt;&gt;"",V194&gt;XLOOKUP(B194,$A$414:$A$418,$B$414:$B$418)),"Excedeu capacidade","Sem alerta"))))))</x:f>
      </x:c>
    </x:row>
    <x:row r="195">
      <x:c r="A195" s="43"/>
      <x:c r="B195" s="43"/>
      <x:c r="C195" s="43"/>
      <x:c r="D195" s="43"/>
      <x:c r="E195" s="43"/>
      <x:c r="F195" s="43"/>
      <x:c r="G195" s="43"/>
      <x:c r="H195" s="120"/>
      <x:c r="I195" s="120"/>
      <x:c r="J195" s="120"/>
      <x:c r="K195" s="120"/>
      <x:c r="L195" s="120"/>
      <x:c r="M195" s="120"/>
      <x:c r="N195" s="120"/>
      <x:c r="O195" s="120"/>
      <x:c r="P195" s="120"/>
      <x:c r="Q195" s="120"/>
      <x:c r="R195" s="120"/>
      <x:c r="S195" s="120"/>
      <x:c r="T195" s="120"/>
      <x:c r="U195" s="48"/>
      <x:c r="V195" s="48"/>
      <x:c r="W195" s="48"/>
      <x:c r="X195" s="48"/>
      <x:c r="Y195" s="48"/>
      <x:c r="Z195" s="49"/>
      <x:c r="AA195" s="43"/>
      <x:c r="AB195" s="43"/>
      <x:c r="AC195" s="43"/>
      <x:c r="AD195" s="43"/>
      <x:c r="AE195" s="43"/>
      <x:c r="AF195" s="87" t="str">
        <x:f>IF(OR(H195="",I195="",I195&lt;H195),"",(I195-H195)*1440)</x:f>
      </x:c>
      <x:c r="AG195" s="87" t="str">
        <x:f>IF(OR(I195="",M195="",M195&lt;I195),"",(M195-I195)*1440)</x:f>
      </x:c>
      <x:c r="AH195" s="87" t="str">
        <x:f>IF(OR(M195="",N195="",N195&lt;M195),"",(N195-M195)*1440)</x:f>
      </x:c>
      <x:c r="AI195" s="87" t="str">
        <x:f>IF(OR(H195="",N195="",N195&lt;H195),"",(N195-H195)*1440)</x:f>
      </x:c>
      <x:c r="AJ195" s="87" t="str">
        <x:f>IF(OR(I195="",N195="",N195&lt;I195),"",(N195-I195)*1440)</x:f>
      </x:c>
      <x:c r="AK195" s="87" t="str">
        <x:f>IF(OR(N195="",O195="",O195&lt;N195),"",(O195-N195)*1440)</x:f>
      </x:c>
      <x:c r="AL195" s="87" t="str">
        <x:f>IF(OR(O195="",P195="",P195&lt;O195),"",(P195-O195)*1440)</x:f>
      </x:c>
      <x:c r="AM195" s="87" t="str">
        <x:f>IF(OR(Q195="",R195="",R195&lt;Q195),"",(R195-Q195)*1440)</x:f>
      </x:c>
      <x:c r="AN195" s="87" t="str">
        <x:f>IF(OR(S195="",T195="",T195&lt;S195),"",(T195-S195)*1440)</x:f>
      </x:c>
      <x:c r="AO195" s="87" t="str">
        <x:f>IF(OR(U195="",V195=""),"",V195-U195)</x:f>
      </x:c>
      <x:c r="AP195" s="63" t="str">
        <x:f>IF(A195="","",IF(OR(B195="",H195="",N195=""),"Incompleto",IF(N195&lt;H195,"Revisar",IF(OR(G195="",G195="Não observado"),"Qualidade E0 ausente",IF(OR(G195="Sensor",G195="Marcação física"),"Válido — E0 observado",IF(G195="Cálculo","Válido — E0 calculado","Válido — E0 estimado"))))))</x:f>
      </x:c>
      <x:c r="AQ195" s="63" t="str">
        <x:f>IF(A195="","",IF(COUNTA(H195:T195)&lt;13,"Incompleta",IF(OR(I195&lt;H195,J195&lt;I195,K195&lt;J195,L195&lt;K195,M195&lt;L195,N195&lt;M195,O195&lt;N195,P195&lt;O195,Q195&lt;P195,R195&lt;Q195,S195&lt;R195,T195&lt;S195),"Revisar","Completa")))</x:f>
      </x:c>
      <x:c r="AR195" s="87" t="str">
        <x:f>IF(OR(V195="",W195="",Y195=""),"",Y195-(V195-W195))</x:f>
      </x:c>
      <x:c r="AS195" s="63" t="str">
        <x:f>IF(A195="","",IF(AND(E195&lt;&gt;"",F195&lt;&gt;"",G195&lt;&gt;"",Z195&lt;&gt;"",AA195&lt;&gt;"",AB195&lt;&gt;"",AC195&lt;&gt;""),"Completa","Incompleta"))</x:f>
      </x:c>
      <x:c r="AT195" s="63" t="str">
        <x:f>IF(A195="","",IF(COUNTIF($A$11:$A$410,A195)&gt;1,"ID duplicado",IF(AND(AR195&lt;&gt;"",ABS(AR195)&gt;0.01),"Revisar balanço",IF(AND(W195&lt;&gt;"",V195&lt;&gt;"",W195&gt;V195),"Retirada &gt; estoque",IF(AND(U195&lt;&gt;"",U195&lt;'Cenário Base'!$D$8*'Cenário Base'!$D$74),"E0 abaixo do gatilho",IF(AND(V195&lt;&gt;"",V195&gt;XLOOKUP(B195,$A$414:$A$418,$B$414:$B$418)),"Excedeu capacidade","Sem alerta"))))))</x:f>
      </x:c>
    </x:row>
    <x:row r="196">
      <x:c r="A196" s="43"/>
      <x:c r="B196" s="43"/>
      <x:c r="C196" s="43"/>
      <x:c r="D196" s="43"/>
      <x:c r="E196" s="43"/>
      <x:c r="F196" s="43"/>
      <x:c r="G196" s="43"/>
      <x:c r="H196" s="120"/>
      <x:c r="I196" s="120"/>
      <x:c r="J196" s="120"/>
      <x:c r="K196" s="120"/>
      <x:c r="L196" s="120"/>
      <x:c r="M196" s="120"/>
      <x:c r="N196" s="120"/>
      <x:c r="O196" s="120"/>
      <x:c r="P196" s="120"/>
      <x:c r="Q196" s="120"/>
      <x:c r="R196" s="120"/>
      <x:c r="S196" s="120"/>
      <x:c r="T196" s="120"/>
      <x:c r="U196" s="48"/>
      <x:c r="V196" s="48"/>
      <x:c r="W196" s="48"/>
      <x:c r="X196" s="48"/>
      <x:c r="Y196" s="48"/>
      <x:c r="Z196" s="49"/>
      <x:c r="AA196" s="43"/>
      <x:c r="AB196" s="43"/>
      <x:c r="AC196" s="43"/>
      <x:c r="AD196" s="43"/>
      <x:c r="AE196" s="43"/>
      <x:c r="AF196" s="87" t="str">
        <x:f>IF(OR(H196="",I196="",I196&lt;H196),"",(I196-H196)*1440)</x:f>
      </x:c>
      <x:c r="AG196" s="87" t="str">
        <x:f>IF(OR(I196="",M196="",M196&lt;I196),"",(M196-I196)*1440)</x:f>
      </x:c>
      <x:c r="AH196" s="87" t="str">
        <x:f>IF(OR(M196="",N196="",N196&lt;M196),"",(N196-M196)*1440)</x:f>
      </x:c>
      <x:c r="AI196" s="87" t="str">
        <x:f>IF(OR(H196="",N196="",N196&lt;H196),"",(N196-H196)*1440)</x:f>
      </x:c>
      <x:c r="AJ196" s="87" t="str">
        <x:f>IF(OR(I196="",N196="",N196&lt;I196),"",(N196-I196)*1440)</x:f>
      </x:c>
      <x:c r="AK196" s="87" t="str">
        <x:f>IF(OR(N196="",O196="",O196&lt;N196),"",(O196-N196)*1440)</x:f>
      </x:c>
      <x:c r="AL196" s="87" t="str">
        <x:f>IF(OR(O196="",P196="",P196&lt;O196),"",(P196-O196)*1440)</x:f>
      </x:c>
      <x:c r="AM196" s="87" t="str">
        <x:f>IF(OR(Q196="",R196="",R196&lt;Q196),"",(R196-Q196)*1440)</x:f>
      </x:c>
      <x:c r="AN196" s="87" t="str">
        <x:f>IF(OR(S196="",T196="",T196&lt;S196),"",(T196-S196)*1440)</x:f>
      </x:c>
      <x:c r="AO196" s="87" t="str">
        <x:f>IF(OR(U196="",V196=""),"",V196-U196)</x:f>
      </x:c>
      <x:c r="AP196" s="63" t="str">
        <x:f>IF(A196="","",IF(OR(B196="",H196="",N196=""),"Incompleto",IF(N196&lt;H196,"Revisar",IF(OR(G196="",G196="Não observado"),"Qualidade E0 ausente",IF(OR(G196="Sensor",G196="Marcação física"),"Válido — E0 observado",IF(G196="Cálculo","Válido — E0 calculado","Válido — E0 estimado"))))))</x:f>
      </x:c>
      <x:c r="AQ196" s="63" t="str">
        <x:f>IF(A196="","",IF(COUNTA(H196:T196)&lt;13,"Incompleta",IF(OR(I196&lt;H196,J196&lt;I196,K196&lt;J196,L196&lt;K196,M196&lt;L196,N196&lt;M196,O196&lt;N196,P196&lt;O196,Q196&lt;P196,R196&lt;Q196,S196&lt;R196,T196&lt;S196),"Revisar","Completa")))</x:f>
      </x:c>
      <x:c r="AR196" s="87" t="str">
        <x:f>IF(OR(V196="",W196="",Y196=""),"",Y196-(V196-W196))</x:f>
      </x:c>
      <x:c r="AS196" s="63" t="str">
        <x:f>IF(A196="","",IF(AND(E196&lt;&gt;"",F196&lt;&gt;"",G196&lt;&gt;"",Z196&lt;&gt;"",AA196&lt;&gt;"",AB196&lt;&gt;"",AC196&lt;&gt;""),"Completa","Incompleta"))</x:f>
      </x:c>
      <x:c r="AT196" s="63" t="str">
        <x:f>IF(A196="","",IF(COUNTIF($A$11:$A$410,A196)&gt;1,"ID duplicado",IF(AND(AR196&lt;&gt;"",ABS(AR196)&gt;0.01),"Revisar balanço",IF(AND(W196&lt;&gt;"",V196&lt;&gt;"",W196&gt;V196),"Retirada &gt; estoque",IF(AND(U196&lt;&gt;"",U196&lt;'Cenário Base'!$D$8*'Cenário Base'!$D$74),"E0 abaixo do gatilho",IF(AND(V196&lt;&gt;"",V196&gt;XLOOKUP(B196,$A$414:$A$418,$B$414:$B$418)),"Excedeu capacidade","Sem alerta"))))))</x:f>
      </x:c>
    </x:row>
    <x:row r="197">
      <x:c r="A197" s="43"/>
      <x:c r="B197" s="43"/>
      <x:c r="C197" s="43"/>
      <x:c r="D197" s="43"/>
      <x:c r="E197" s="43"/>
      <x:c r="F197" s="43"/>
      <x:c r="G197" s="43"/>
      <x:c r="H197" s="120"/>
      <x:c r="I197" s="120"/>
      <x:c r="J197" s="120"/>
      <x:c r="K197" s="120"/>
      <x:c r="L197" s="120"/>
      <x:c r="M197" s="120"/>
      <x:c r="N197" s="120"/>
      <x:c r="O197" s="120"/>
      <x:c r="P197" s="120"/>
      <x:c r="Q197" s="120"/>
      <x:c r="R197" s="120"/>
      <x:c r="S197" s="120"/>
      <x:c r="T197" s="120"/>
      <x:c r="U197" s="48"/>
      <x:c r="V197" s="48"/>
      <x:c r="W197" s="48"/>
      <x:c r="X197" s="48"/>
      <x:c r="Y197" s="48"/>
      <x:c r="Z197" s="49"/>
      <x:c r="AA197" s="43"/>
      <x:c r="AB197" s="43"/>
      <x:c r="AC197" s="43"/>
      <x:c r="AD197" s="43"/>
      <x:c r="AE197" s="43"/>
      <x:c r="AF197" s="87" t="str">
        <x:f>IF(OR(H197="",I197="",I197&lt;H197),"",(I197-H197)*1440)</x:f>
      </x:c>
      <x:c r="AG197" s="87" t="str">
        <x:f>IF(OR(I197="",M197="",M197&lt;I197),"",(M197-I197)*1440)</x:f>
      </x:c>
      <x:c r="AH197" s="87" t="str">
        <x:f>IF(OR(M197="",N197="",N197&lt;M197),"",(N197-M197)*1440)</x:f>
      </x:c>
      <x:c r="AI197" s="87" t="str">
        <x:f>IF(OR(H197="",N197="",N197&lt;H197),"",(N197-H197)*1440)</x:f>
      </x:c>
      <x:c r="AJ197" s="87" t="str">
        <x:f>IF(OR(I197="",N197="",N197&lt;I197),"",(N197-I197)*1440)</x:f>
      </x:c>
      <x:c r="AK197" s="87" t="str">
        <x:f>IF(OR(N197="",O197="",O197&lt;N197),"",(O197-N197)*1440)</x:f>
      </x:c>
      <x:c r="AL197" s="87" t="str">
        <x:f>IF(OR(O197="",P197="",P197&lt;O197),"",(P197-O197)*1440)</x:f>
      </x:c>
      <x:c r="AM197" s="87" t="str">
        <x:f>IF(OR(Q197="",R197="",R197&lt;Q197),"",(R197-Q197)*1440)</x:f>
      </x:c>
      <x:c r="AN197" s="87" t="str">
        <x:f>IF(OR(S197="",T197="",T197&lt;S197),"",(T197-S197)*1440)</x:f>
      </x:c>
      <x:c r="AO197" s="87" t="str">
        <x:f>IF(OR(U197="",V197=""),"",V197-U197)</x:f>
      </x:c>
      <x:c r="AP197" s="63" t="str">
        <x:f>IF(A197="","",IF(OR(B197="",H197="",N197=""),"Incompleto",IF(N197&lt;H197,"Revisar",IF(OR(G197="",G197="Não observado"),"Qualidade E0 ausente",IF(OR(G197="Sensor",G197="Marcação física"),"Válido — E0 observado",IF(G197="Cálculo","Válido — E0 calculado","Válido — E0 estimado"))))))</x:f>
      </x:c>
      <x:c r="AQ197" s="63" t="str">
        <x:f>IF(A197="","",IF(COUNTA(H197:T197)&lt;13,"Incompleta",IF(OR(I197&lt;H197,J197&lt;I197,K197&lt;J197,L197&lt;K197,M197&lt;L197,N197&lt;M197,O197&lt;N197,P197&lt;O197,Q197&lt;P197,R197&lt;Q197,S197&lt;R197,T197&lt;S197),"Revisar","Completa")))</x:f>
      </x:c>
      <x:c r="AR197" s="87" t="str">
        <x:f>IF(OR(V197="",W197="",Y197=""),"",Y197-(V197-W197))</x:f>
      </x:c>
      <x:c r="AS197" s="63" t="str">
        <x:f>IF(A197="","",IF(AND(E197&lt;&gt;"",F197&lt;&gt;"",G197&lt;&gt;"",Z197&lt;&gt;"",AA197&lt;&gt;"",AB197&lt;&gt;"",AC197&lt;&gt;""),"Completa","Incompleta"))</x:f>
      </x:c>
      <x:c r="AT197" s="63" t="str">
        <x:f>IF(A197="","",IF(COUNTIF($A$11:$A$410,A197)&gt;1,"ID duplicado",IF(AND(AR197&lt;&gt;"",ABS(AR197)&gt;0.01),"Revisar balanço",IF(AND(W197&lt;&gt;"",V197&lt;&gt;"",W197&gt;V197),"Retirada &gt; estoque",IF(AND(U197&lt;&gt;"",U197&lt;'Cenário Base'!$D$8*'Cenário Base'!$D$74),"E0 abaixo do gatilho",IF(AND(V197&lt;&gt;"",V197&gt;XLOOKUP(B197,$A$414:$A$418,$B$414:$B$418)),"Excedeu capacidade","Sem alerta"))))))</x:f>
      </x:c>
    </x:row>
    <x:row r="198">
      <x:c r="A198" s="43"/>
      <x:c r="B198" s="43"/>
      <x:c r="C198" s="43"/>
      <x:c r="D198" s="43"/>
      <x:c r="E198" s="43"/>
      <x:c r="F198" s="43"/>
      <x:c r="G198" s="43"/>
      <x:c r="H198" s="120"/>
      <x:c r="I198" s="120"/>
      <x:c r="J198" s="120"/>
      <x:c r="K198" s="120"/>
      <x:c r="L198" s="120"/>
      <x:c r="M198" s="120"/>
      <x:c r="N198" s="120"/>
      <x:c r="O198" s="120"/>
      <x:c r="P198" s="120"/>
      <x:c r="Q198" s="120"/>
      <x:c r="R198" s="120"/>
      <x:c r="S198" s="120"/>
      <x:c r="T198" s="120"/>
      <x:c r="U198" s="48"/>
      <x:c r="V198" s="48"/>
      <x:c r="W198" s="48"/>
      <x:c r="X198" s="48"/>
      <x:c r="Y198" s="48"/>
      <x:c r="Z198" s="49"/>
      <x:c r="AA198" s="43"/>
      <x:c r="AB198" s="43"/>
      <x:c r="AC198" s="43"/>
      <x:c r="AD198" s="43"/>
      <x:c r="AE198" s="43"/>
      <x:c r="AF198" s="87" t="str">
        <x:f>IF(OR(H198="",I198="",I198&lt;H198),"",(I198-H198)*1440)</x:f>
      </x:c>
      <x:c r="AG198" s="87" t="str">
        <x:f>IF(OR(I198="",M198="",M198&lt;I198),"",(M198-I198)*1440)</x:f>
      </x:c>
      <x:c r="AH198" s="87" t="str">
        <x:f>IF(OR(M198="",N198="",N198&lt;M198),"",(N198-M198)*1440)</x:f>
      </x:c>
      <x:c r="AI198" s="87" t="str">
        <x:f>IF(OR(H198="",N198="",N198&lt;H198),"",(N198-H198)*1440)</x:f>
      </x:c>
      <x:c r="AJ198" s="87" t="str">
        <x:f>IF(OR(I198="",N198="",N198&lt;I198),"",(N198-I198)*1440)</x:f>
      </x:c>
      <x:c r="AK198" s="87" t="str">
        <x:f>IF(OR(N198="",O198="",O198&lt;N198),"",(O198-N198)*1440)</x:f>
      </x:c>
      <x:c r="AL198" s="87" t="str">
        <x:f>IF(OR(O198="",P198="",P198&lt;O198),"",(P198-O198)*1440)</x:f>
      </x:c>
      <x:c r="AM198" s="87" t="str">
        <x:f>IF(OR(Q198="",R198="",R198&lt;Q198),"",(R198-Q198)*1440)</x:f>
      </x:c>
      <x:c r="AN198" s="87" t="str">
        <x:f>IF(OR(S198="",T198="",T198&lt;S198),"",(T198-S198)*1440)</x:f>
      </x:c>
      <x:c r="AO198" s="87" t="str">
        <x:f>IF(OR(U198="",V198=""),"",V198-U198)</x:f>
      </x:c>
      <x:c r="AP198" s="63" t="str">
        <x:f>IF(A198="","",IF(OR(B198="",H198="",N198=""),"Incompleto",IF(N198&lt;H198,"Revisar",IF(OR(G198="",G198="Não observado"),"Qualidade E0 ausente",IF(OR(G198="Sensor",G198="Marcação física"),"Válido — E0 observado",IF(G198="Cálculo","Válido — E0 calculado","Válido — E0 estimado"))))))</x:f>
      </x:c>
      <x:c r="AQ198" s="63" t="str">
        <x:f>IF(A198="","",IF(COUNTA(H198:T198)&lt;13,"Incompleta",IF(OR(I198&lt;H198,J198&lt;I198,K198&lt;J198,L198&lt;K198,M198&lt;L198,N198&lt;M198,O198&lt;N198,P198&lt;O198,Q198&lt;P198,R198&lt;Q198,S198&lt;R198,T198&lt;S198),"Revisar","Completa")))</x:f>
      </x:c>
      <x:c r="AR198" s="87" t="str">
        <x:f>IF(OR(V198="",W198="",Y198=""),"",Y198-(V198-W198))</x:f>
      </x:c>
      <x:c r="AS198" s="63" t="str">
        <x:f>IF(A198="","",IF(AND(E198&lt;&gt;"",F198&lt;&gt;"",G198&lt;&gt;"",Z198&lt;&gt;"",AA198&lt;&gt;"",AB198&lt;&gt;"",AC198&lt;&gt;""),"Completa","Incompleta"))</x:f>
      </x:c>
      <x:c r="AT198" s="63" t="str">
        <x:f>IF(A198="","",IF(COUNTIF($A$11:$A$410,A198)&gt;1,"ID duplicado",IF(AND(AR198&lt;&gt;"",ABS(AR198)&gt;0.01),"Revisar balanço",IF(AND(W198&lt;&gt;"",V198&lt;&gt;"",W198&gt;V198),"Retirada &gt; estoque",IF(AND(U198&lt;&gt;"",U198&lt;'Cenário Base'!$D$8*'Cenário Base'!$D$74),"E0 abaixo do gatilho",IF(AND(V198&lt;&gt;"",V198&gt;XLOOKUP(B198,$A$414:$A$418,$B$414:$B$418)),"Excedeu capacidade","Sem alerta"))))))</x:f>
      </x:c>
    </x:row>
    <x:row r="199">
      <x:c r="A199" s="43"/>
      <x:c r="B199" s="43"/>
      <x:c r="C199" s="43"/>
      <x:c r="D199" s="43"/>
      <x:c r="E199" s="43"/>
      <x:c r="F199" s="43"/>
      <x:c r="G199" s="43"/>
      <x:c r="H199" s="120"/>
      <x:c r="I199" s="120"/>
      <x:c r="J199" s="120"/>
      <x:c r="K199" s="120"/>
      <x:c r="L199" s="120"/>
      <x:c r="M199" s="120"/>
      <x:c r="N199" s="120"/>
      <x:c r="O199" s="120"/>
      <x:c r="P199" s="120"/>
      <x:c r="Q199" s="120"/>
      <x:c r="R199" s="120"/>
      <x:c r="S199" s="120"/>
      <x:c r="T199" s="120"/>
      <x:c r="U199" s="48"/>
      <x:c r="V199" s="48"/>
      <x:c r="W199" s="48"/>
      <x:c r="X199" s="48"/>
      <x:c r="Y199" s="48"/>
      <x:c r="Z199" s="49"/>
      <x:c r="AA199" s="43"/>
      <x:c r="AB199" s="43"/>
      <x:c r="AC199" s="43"/>
      <x:c r="AD199" s="43"/>
      <x:c r="AE199" s="43"/>
      <x:c r="AF199" s="87" t="str">
        <x:f>IF(OR(H199="",I199="",I199&lt;H199),"",(I199-H199)*1440)</x:f>
      </x:c>
      <x:c r="AG199" s="87" t="str">
        <x:f>IF(OR(I199="",M199="",M199&lt;I199),"",(M199-I199)*1440)</x:f>
      </x:c>
      <x:c r="AH199" s="87" t="str">
        <x:f>IF(OR(M199="",N199="",N199&lt;M199),"",(N199-M199)*1440)</x:f>
      </x:c>
      <x:c r="AI199" s="87" t="str">
        <x:f>IF(OR(H199="",N199="",N199&lt;H199),"",(N199-H199)*1440)</x:f>
      </x:c>
      <x:c r="AJ199" s="87" t="str">
        <x:f>IF(OR(I199="",N199="",N199&lt;I199),"",(N199-I199)*1440)</x:f>
      </x:c>
      <x:c r="AK199" s="87" t="str">
        <x:f>IF(OR(N199="",O199="",O199&lt;N199),"",(O199-N199)*1440)</x:f>
      </x:c>
      <x:c r="AL199" s="87" t="str">
        <x:f>IF(OR(O199="",P199="",P199&lt;O199),"",(P199-O199)*1440)</x:f>
      </x:c>
      <x:c r="AM199" s="87" t="str">
        <x:f>IF(OR(Q199="",R199="",R199&lt;Q199),"",(R199-Q199)*1440)</x:f>
      </x:c>
      <x:c r="AN199" s="87" t="str">
        <x:f>IF(OR(S199="",T199="",T199&lt;S199),"",(T199-S199)*1440)</x:f>
      </x:c>
      <x:c r="AO199" s="87" t="str">
        <x:f>IF(OR(U199="",V199=""),"",V199-U199)</x:f>
      </x:c>
      <x:c r="AP199" s="63" t="str">
        <x:f>IF(A199="","",IF(OR(B199="",H199="",N199=""),"Incompleto",IF(N199&lt;H199,"Revisar",IF(OR(G199="",G199="Não observado"),"Qualidade E0 ausente",IF(OR(G199="Sensor",G199="Marcação física"),"Válido — E0 observado",IF(G199="Cálculo","Válido — E0 calculado","Válido — E0 estimado"))))))</x:f>
      </x:c>
      <x:c r="AQ199" s="63" t="str">
        <x:f>IF(A199="","",IF(COUNTA(H199:T199)&lt;13,"Incompleta",IF(OR(I199&lt;H199,J199&lt;I199,K199&lt;J199,L199&lt;K199,M199&lt;L199,N199&lt;M199,O199&lt;N199,P199&lt;O199,Q199&lt;P199,R199&lt;Q199,S199&lt;R199,T199&lt;S199),"Revisar","Completa")))</x:f>
      </x:c>
      <x:c r="AR199" s="87" t="str">
        <x:f>IF(OR(V199="",W199="",Y199=""),"",Y199-(V199-W199))</x:f>
      </x:c>
      <x:c r="AS199" s="63" t="str">
        <x:f>IF(A199="","",IF(AND(E199&lt;&gt;"",F199&lt;&gt;"",G199&lt;&gt;"",Z199&lt;&gt;"",AA199&lt;&gt;"",AB199&lt;&gt;"",AC199&lt;&gt;""),"Completa","Incompleta"))</x:f>
      </x:c>
      <x:c r="AT199" s="63" t="str">
        <x:f>IF(A199="","",IF(COUNTIF($A$11:$A$410,A199)&gt;1,"ID duplicado",IF(AND(AR199&lt;&gt;"",ABS(AR199)&gt;0.01),"Revisar balanço",IF(AND(W199&lt;&gt;"",V199&lt;&gt;"",W199&gt;V199),"Retirada &gt; estoque",IF(AND(U199&lt;&gt;"",U199&lt;'Cenário Base'!$D$8*'Cenário Base'!$D$74),"E0 abaixo do gatilho",IF(AND(V199&lt;&gt;"",V199&gt;XLOOKUP(B199,$A$414:$A$418,$B$414:$B$418)),"Excedeu capacidade","Sem alerta"))))))</x:f>
      </x:c>
    </x:row>
    <x:row r="200">
      <x:c r="A200" s="43"/>
      <x:c r="B200" s="43"/>
      <x:c r="C200" s="43"/>
      <x:c r="D200" s="43"/>
      <x:c r="E200" s="43"/>
      <x:c r="F200" s="43"/>
      <x:c r="G200" s="43"/>
      <x:c r="H200" s="120"/>
      <x:c r="I200" s="120"/>
      <x:c r="J200" s="120"/>
      <x:c r="K200" s="120"/>
      <x:c r="L200" s="120"/>
      <x:c r="M200" s="120"/>
      <x:c r="N200" s="120"/>
      <x:c r="O200" s="120"/>
      <x:c r="P200" s="120"/>
      <x:c r="Q200" s="120"/>
      <x:c r="R200" s="120"/>
      <x:c r="S200" s="120"/>
      <x:c r="T200" s="120"/>
      <x:c r="U200" s="48"/>
      <x:c r="V200" s="48"/>
      <x:c r="W200" s="48"/>
      <x:c r="X200" s="48"/>
      <x:c r="Y200" s="48"/>
      <x:c r="Z200" s="49"/>
      <x:c r="AA200" s="43"/>
      <x:c r="AB200" s="43"/>
      <x:c r="AC200" s="43"/>
      <x:c r="AD200" s="43"/>
      <x:c r="AE200" s="43"/>
      <x:c r="AF200" s="87" t="str">
        <x:f>IF(OR(H200="",I200="",I200&lt;H200),"",(I200-H200)*1440)</x:f>
      </x:c>
      <x:c r="AG200" s="87" t="str">
        <x:f>IF(OR(I200="",M200="",M200&lt;I200),"",(M200-I200)*1440)</x:f>
      </x:c>
      <x:c r="AH200" s="87" t="str">
        <x:f>IF(OR(M200="",N200="",N200&lt;M200),"",(N200-M200)*1440)</x:f>
      </x:c>
      <x:c r="AI200" s="87" t="str">
        <x:f>IF(OR(H200="",N200="",N200&lt;H200),"",(N200-H200)*1440)</x:f>
      </x:c>
      <x:c r="AJ200" s="87" t="str">
        <x:f>IF(OR(I200="",N200="",N200&lt;I200),"",(N200-I200)*1440)</x:f>
      </x:c>
      <x:c r="AK200" s="87" t="str">
        <x:f>IF(OR(N200="",O200="",O200&lt;N200),"",(O200-N200)*1440)</x:f>
      </x:c>
      <x:c r="AL200" s="87" t="str">
        <x:f>IF(OR(O200="",P200="",P200&lt;O200),"",(P200-O200)*1440)</x:f>
      </x:c>
      <x:c r="AM200" s="87" t="str">
        <x:f>IF(OR(Q200="",R200="",R200&lt;Q200),"",(R200-Q200)*1440)</x:f>
      </x:c>
      <x:c r="AN200" s="87" t="str">
        <x:f>IF(OR(S200="",T200="",T200&lt;S200),"",(T200-S200)*1440)</x:f>
      </x:c>
      <x:c r="AO200" s="87" t="str">
        <x:f>IF(OR(U200="",V200=""),"",V200-U200)</x:f>
      </x:c>
      <x:c r="AP200" s="63" t="str">
        <x:f>IF(A200="","",IF(OR(B200="",H200="",N200=""),"Incompleto",IF(N200&lt;H200,"Revisar",IF(OR(G200="",G200="Não observado"),"Qualidade E0 ausente",IF(OR(G200="Sensor",G200="Marcação física"),"Válido — E0 observado",IF(G200="Cálculo","Válido — E0 calculado","Válido — E0 estimado"))))))</x:f>
      </x:c>
      <x:c r="AQ200" s="63" t="str">
        <x:f>IF(A200="","",IF(COUNTA(H200:T200)&lt;13,"Incompleta",IF(OR(I200&lt;H200,J200&lt;I200,K200&lt;J200,L200&lt;K200,M200&lt;L200,N200&lt;M200,O200&lt;N200,P200&lt;O200,Q200&lt;P200,R200&lt;Q200,S200&lt;R200,T200&lt;S200),"Revisar","Completa")))</x:f>
      </x:c>
      <x:c r="AR200" s="87" t="str">
        <x:f>IF(OR(V200="",W200="",Y200=""),"",Y200-(V200-W200))</x:f>
      </x:c>
      <x:c r="AS200" s="63" t="str">
        <x:f>IF(A200="","",IF(AND(E200&lt;&gt;"",F200&lt;&gt;"",G200&lt;&gt;"",Z200&lt;&gt;"",AA200&lt;&gt;"",AB200&lt;&gt;"",AC200&lt;&gt;""),"Completa","Incompleta"))</x:f>
      </x:c>
      <x:c r="AT200" s="63" t="str">
        <x:f>IF(A200="","",IF(COUNTIF($A$11:$A$410,A200)&gt;1,"ID duplicado",IF(AND(AR200&lt;&gt;"",ABS(AR200)&gt;0.01),"Revisar balanço",IF(AND(W200&lt;&gt;"",V200&lt;&gt;"",W200&gt;V200),"Retirada &gt; estoque",IF(AND(U200&lt;&gt;"",U200&lt;'Cenário Base'!$D$8*'Cenário Base'!$D$74),"E0 abaixo do gatilho",IF(AND(V200&lt;&gt;"",V200&gt;XLOOKUP(B200,$A$414:$A$418,$B$414:$B$418)),"Excedeu capacidade","Sem alerta"))))))</x:f>
      </x:c>
    </x:row>
    <x:row r="201">
      <x:c r="A201" s="43"/>
      <x:c r="B201" s="43"/>
      <x:c r="C201" s="43"/>
      <x:c r="D201" s="43"/>
      <x:c r="E201" s="43"/>
      <x:c r="F201" s="43"/>
      <x:c r="G201" s="43"/>
      <x:c r="H201" s="120"/>
      <x:c r="I201" s="120"/>
      <x:c r="J201" s="120"/>
      <x:c r="K201" s="120"/>
      <x:c r="L201" s="120"/>
      <x:c r="M201" s="120"/>
      <x:c r="N201" s="120"/>
      <x:c r="O201" s="120"/>
      <x:c r="P201" s="120"/>
      <x:c r="Q201" s="120"/>
      <x:c r="R201" s="120"/>
      <x:c r="S201" s="120"/>
      <x:c r="T201" s="120"/>
      <x:c r="U201" s="48"/>
      <x:c r="V201" s="48"/>
      <x:c r="W201" s="48"/>
      <x:c r="X201" s="48"/>
      <x:c r="Y201" s="48"/>
      <x:c r="Z201" s="49"/>
      <x:c r="AA201" s="43"/>
      <x:c r="AB201" s="43"/>
      <x:c r="AC201" s="43"/>
      <x:c r="AD201" s="43"/>
      <x:c r="AE201" s="43"/>
      <x:c r="AF201" s="87" t="str">
        <x:f>IF(OR(H201="",I201="",I201&lt;H201),"",(I201-H201)*1440)</x:f>
      </x:c>
      <x:c r="AG201" s="87" t="str">
        <x:f>IF(OR(I201="",M201="",M201&lt;I201),"",(M201-I201)*1440)</x:f>
      </x:c>
      <x:c r="AH201" s="87" t="str">
        <x:f>IF(OR(M201="",N201="",N201&lt;M201),"",(N201-M201)*1440)</x:f>
      </x:c>
      <x:c r="AI201" s="87" t="str">
        <x:f>IF(OR(H201="",N201="",N201&lt;H201),"",(N201-H201)*1440)</x:f>
      </x:c>
      <x:c r="AJ201" s="87" t="str">
        <x:f>IF(OR(I201="",N201="",N201&lt;I201),"",(N201-I201)*1440)</x:f>
      </x:c>
      <x:c r="AK201" s="87" t="str">
        <x:f>IF(OR(N201="",O201="",O201&lt;N201),"",(O201-N201)*1440)</x:f>
      </x:c>
      <x:c r="AL201" s="87" t="str">
        <x:f>IF(OR(O201="",P201="",P201&lt;O201),"",(P201-O201)*1440)</x:f>
      </x:c>
      <x:c r="AM201" s="87" t="str">
        <x:f>IF(OR(Q201="",R201="",R201&lt;Q201),"",(R201-Q201)*1440)</x:f>
      </x:c>
      <x:c r="AN201" s="87" t="str">
        <x:f>IF(OR(S201="",T201="",T201&lt;S201),"",(T201-S201)*1440)</x:f>
      </x:c>
      <x:c r="AO201" s="87" t="str">
        <x:f>IF(OR(U201="",V201=""),"",V201-U201)</x:f>
      </x:c>
      <x:c r="AP201" s="63" t="str">
        <x:f>IF(A201="","",IF(OR(B201="",H201="",N201=""),"Incompleto",IF(N201&lt;H201,"Revisar",IF(OR(G201="",G201="Não observado"),"Qualidade E0 ausente",IF(OR(G201="Sensor",G201="Marcação física"),"Válido — E0 observado",IF(G201="Cálculo","Válido — E0 calculado","Válido — E0 estimado"))))))</x:f>
      </x:c>
      <x:c r="AQ201" s="63" t="str">
        <x:f>IF(A201="","",IF(COUNTA(H201:T201)&lt;13,"Incompleta",IF(OR(I201&lt;H201,J201&lt;I201,K201&lt;J201,L201&lt;K201,M201&lt;L201,N201&lt;M201,O201&lt;N201,P201&lt;O201,Q201&lt;P201,R201&lt;Q201,S201&lt;R201,T201&lt;S201),"Revisar","Completa")))</x:f>
      </x:c>
      <x:c r="AR201" s="87" t="str">
        <x:f>IF(OR(V201="",W201="",Y201=""),"",Y201-(V201-W201))</x:f>
      </x:c>
      <x:c r="AS201" s="63" t="str">
        <x:f>IF(A201="","",IF(AND(E201&lt;&gt;"",F201&lt;&gt;"",G201&lt;&gt;"",Z201&lt;&gt;"",AA201&lt;&gt;"",AB201&lt;&gt;"",AC201&lt;&gt;""),"Completa","Incompleta"))</x:f>
      </x:c>
      <x:c r="AT201" s="63" t="str">
        <x:f>IF(A201="","",IF(COUNTIF($A$11:$A$410,A201)&gt;1,"ID duplicado",IF(AND(AR201&lt;&gt;"",ABS(AR201)&gt;0.01),"Revisar balanço",IF(AND(W201&lt;&gt;"",V201&lt;&gt;"",W201&gt;V201),"Retirada &gt; estoque",IF(AND(U201&lt;&gt;"",U201&lt;'Cenário Base'!$D$8*'Cenário Base'!$D$74),"E0 abaixo do gatilho",IF(AND(V201&lt;&gt;"",V201&gt;XLOOKUP(B201,$A$414:$A$418,$B$414:$B$418)),"Excedeu capacidade","Sem alerta"))))))</x:f>
      </x:c>
    </x:row>
    <x:row r="202">
      <x:c r="A202" s="43"/>
      <x:c r="B202" s="43"/>
      <x:c r="C202" s="43"/>
      <x:c r="D202" s="43"/>
      <x:c r="E202" s="43"/>
      <x:c r="F202" s="43"/>
      <x:c r="G202" s="43"/>
      <x:c r="H202" s="120"/>
      <x:c r="I202" s="120"/>
      <x:c r="J202" s="120"/>
      <x:c r="K202" s="120"/>
      <x:c r="L202" s="120"/>
      <x:c r="M202" s="120"/>
      <x:c r="N202" s="120"/>
      <x:c r="O202" s="120"/>
      <x:c r="P202" s="120"/>
      <x:c r="Q202" s="120"/>
      <x:c r="R202" s="120"/>
      <x:c r="S202" s="120"/>
      <x:c r="T202" s="120"/>
      <x:c r="U202" s="48"/>
      <x:c r="V202" s="48"/>
      <x:c r="W202" s="48"/>
      <x:c r="X202" s="48"/>
      <x:c r="Y202" s="48"/>
      <x:c r="Z202" s="49"/>
      <x:c r="AA202" s="43"/>
      <x:c r="AB202" s="43"/>
      <x:c r="AC202" s="43"/>
      <x:c r="AD202" s="43"/>
      <x:c r="AE202" s="43"/>
      <x:c r="AF202" s="87" t="str">
        <x:f>IF(OR(H202="",I202="",I202&lt;H202),"",(I202-H202)*1440)</x:f>
      </x:c>
      <x:c r="AG202" s="87" t="str">
        <x:f>IF(OR(I202="",M202="",M202&lt;I202),"",(M202-I202)*1440)</x:f>
      </x:c>
      <x:c r="AH202" s="87" t="str">
        <x:f>IF(OR(M202="",N202="",N202&lt;M202),"",(N202-M202)*1440)</x:f>
      </x:c>
      <x:c r="AI202" s="87" t="str">
        <x:f>IF(OR(H202="",N202="",N202&lt;H202),"",(N202-H202)*1440)</x:f>
      </x:c>
      <x:c r="AJ202" s="87" t="str">
        <x:f>IF(OR(I202="",N202="",N202&lt;I202),"",(N202-I202)*1440)</x:f>
      </x:c>
      <x:c r="AK202" s="87" t="str">
        <x:f>IF(OR(N202="",O202="",O202&lt;N202),"",(O202-N202)*1440)</x:f>
      </x:c>
      <x:c r="AL202" s="87" t="str">
        <x:f>IF(OR(O202="",P202="",P202&lt;O202),"",(P202-O202)*1440)</x:f>
      </x:c>
      <x:c r="AM202" s="87" t="str">
        <x:f>IF(OR(Q202="",R202="",R202&lt;Q202),"",(R202-Q202)*1440)</x:f>
      </x:c>
      <x:c r="AN202" s="87" t="str">
        <x:f>IF(OR(S202="",T202="",T202&lt;S202),"",(T202-S202)*1440)</x:f>
      </x:c>
      <x:c r="AO202" s="87" t="str">
        <x:f>IF(OR(U202="",V202=""),"",V202-U202)</x:f>
      </x:c>
      <x:c r="AP202" s="63" t="str">
        <x:f>IF(A202="","",IF(OR(B202="",H202="",N202=""),"Incompleto",IF(N202&lt;H202,"Revisar",IF(OR(G202="",G202="Não observado"),"Qualidade E0 ausente",IF(OR(G202="Sensor",G202="Marcação física"),"Válido — E0 observado",IF(G202="Cálculo","Válido — E0 calculado","Válido — E0 estimado"))))))</x:f>
      </x:c>
      <x:c r="AQ202" s="63" t="str">
        <x:f>IF(A202="","",IF(COUNTA(H202:T202)&lt;13,"Incompleta",IF(OR(I202&lt;H202,J202&lt;I202,K202&lt;J202,L202&lt;K202,M202&lt;L202,N202&lt;M202,O202&lt;N202,P202&lt;O202,Q202&lt;P202,R202&lt;Q202,S202&lt;R202,T202&lt;S202),"Revisar","Completa")))</x:f>
      </x:c>
      <x:c r="AR202" s="87" t="str">
        <x:f>IF(OR(V202="",W202="",Y202=""),"",Y202-(V202-W202))</x:f>
      </x:c>
      <x:c r="AS202" s="63" t="str">
        <x:f>IF(A202="","",IF(AND(E202&lt;&gt;"",F202&lt;&gt;"",G202&lt;&gt;"",Z202&lt;&gt;"",AA202&lt;&gt;"",AB202&lt;&gt;"",AC202&lt;&gt;""),"Completa","Incompleta"))</x:f>
      </x:c>
      <x:c r="AT202" s="63" t="str">
        <x:f>IF(A202="","",IF(COUNTIF($A$11:$A$410,A202)&gt;1,"ID duplicado",IF(AND(AR202&lt;&gt;"",ABS(AR202)&gt;0.01),"Revisar balanço",IF(AND(W202&lt;&gt;"",V202&lt;&gt;"",W202&gt;V202),"Retirada &gt; estoque",IF(AND(U202&lt;&gt;"",U202&lt;'Cenário Base'!$D$8*'Cenário Base'!$D$74),"E0 abaixo do gatilho",IF(AND(V202&lt;&gt;"",V202&gt;XLOOKUP(B202,$A$414:$A$418,$B$414:$B$418)),"Excedeu capacidade","Sem alerta"))))))</x:f>
      </x:c>
    </x:row>
    <x:row r="203">
      <x:c r="A203" s="43"/>
      <x:c r="B203" s="43"/>
      <x:c r="C203" s="43"/>
      <x:c r="D203" s="43"/>
      <x:c r="E203" s="43"/>
      <x:c r="F203" s="43"/>
      <x:c r="G203" s="43"/>
      <x:c r="H203" s="120"/>
      <x:c r="I203" s="120"/>
      <x:c r="J203" s="120"/>
      <x:c r="K203" s="120"/>
      <x:c r="L203" s="120"/>
      <x:c r="M203" s="120"/>
      <x:c r="N203" s="120"/>
      <x:c r="O203" s="120"/>
      <x:c r="P203" s="120"/>
      <x:c r="Q203" s="120"/>
      <x:c r="R203" s="120"/>
      <x:c r="S203" s="120"/>
      <x:c r="T203" s="120"/>
      <x:c r="U203" s="48"/>
      <x:c r="V203" s="48"/>
      <x:c r="W203" s="48"/>
      <x:c r="X203" s="48"/>
      <x:c r="Y203" s="48"/>
      <x:c r="Z203" s="49"/>
      <x:c r="AA203" s="43"/>
      <x:c r="AB203" s="43"/>
      <x:c r="AC203" s="43"/>
      <x:c r="AD203" s="43"/>
      <x:c r="AE203" s="43"/>
      <x:c r="AF203" s="87" t="str">
        <x:f>IF(OR(H203="",I203="",I203&lt;H203),"",(I203-H203)*1440)</x:f>
      </x:c>
      <x:c r="AG203" s="87" t="str">
        <x:f>IF(OR(I203="",M203="",M203&lt;I203),"",(M203-I203)*1440)</x:f>
      </x:c>
      <x:c r="AH203" s="87" t="str">
        <x:f>IF(OR(M203="",N203="",N203&lt;M203),"",(N203-M203)*1440)</x:f>
      </x:c>
      <x:c r="AI203" s="87" t="str">
        <x:f>IF(OR(H203="",N203="",N203&lt;H203),"",(N203-H203)*1440)</x:f>
      </x:c>
      <x:c r="AJ203" s="87" t="str">
        <x:f>IF(OR(I203="",N203="",N203&lt;I203),"",(N203-I203)*1440)</x:f>
      </x:c>
      <x:c r="AK203" s="87" t="str">
        <x:f>IF(OR(N203="",O203="",O203&lt;N203),"",(O203-N203)*1440)</x:f>
      </x:c>
      <x:c r="AL203" s="87" t="str">
        <x:f>IF(OR(O203="",P203="",P203&lt;O203),"",(P203-O203)*1440)</x:f>
      </x:c>
      <x:c r="AM203" s="87" t="str">
        <x:f>IF(OR(Q203="",R203="",R203&lt;Q203),"",(R203-Q203)*1440)</x:f>
      </x:c>
      <x:c r="AN203" s="87" t="str">
        <x:f>IF(OR(S203="",T203="",T203&lt;S203),"",(T203-S203)*1440)</x:f>
      </x:c>
      <x:c r="AO203" s="87" t="str">
        <x:f>IF(OR(U203="",V203=""),"",V203-U203)</x:f>
      </x:c>
      <x:c r="AP203" s="63" t="str">
        <x:f>IF(A203="","",IF(OR(B203="",H203="",N203=""),"Incompleto",IF(N203&lt;H203,"Revisar",IF(OR(G203="",G203="Não observado"),"Qualidade E0 ausente",IF(OR(G203="Sensor",G203="Marcação física"),"Válido — E0 observado",IF(G203="Cálculo","Válido — E0 calculado","Válido — E0 estimado"))))))</x:f>
      </x:c>
      <x:c r="AQ203" s="63" t="str">
        <x:f>IF(A203="","",IF(COUNTA(H203:T203)&lt;13,"Incompleta",IF(OR(I203&lt;H203,J203&lt;I203,K203&lt;J203,L203&lt;K203,M203&lt;L203,N203&lt;M203,O203&lt;N203,P203&lt;O203,Q203&lt;P203,R203&lt;Q203,S203&lt;R203,T203&lt;S203),"Revisar","Completa")))</x:f>
      </x:c>
      <x:c r="AR203" s="87" t="str">
        <x:f>IF(OR(V203="",W203="",Y203=""),"",Y203-(V203-W203))</x:f>
      </x:c>
      <x:c r="AS203" s="63" t="str">
        <x:f>IF(A203="","",IF(AND(E203&lt;&gt;"",F203&lt;&gt;"",G203&lt;&gt;"",Z203&lt;&gt;"",AA203&lt;&gt;"",AB203&lt;&gt;"",AC203&lt;&gt;""),"Completa","Incompleta"))</x:f>
      </x:c>
      <x:c r="AT203" s="63" t="str">
        <x:f>IF(A203="","",IF(COUNTIF($A$11:$A$410,A203)&gt;1,"ID duplicado",IF(AND(AR203&lt;&gt;"",ABS(AR203)&gt;0.01),"Revisar balanço",IF(AND(W203&lt;&gt;"",V203&lt;&gt;"",W203&gt;V203),"Retirada &gt; estoque",IF(AND(U203&lt;&gt;"",U203&lt;'Cenário Base'!$D$8*'Cenário Base'!$D$74),"E0 abaixo do gatilho",IF(AND(V203&lt;&gt;"",V203&gt;XLOOKUP(B203,$A$414:$A$418,$B$414:$B$418)),"Excedeu capacidade","Sem alerta"))))))</x:f>
      </x:c>
    </x:row>
    <x:row r="204">
      <x:c r="A204" s="43"/>
      <x:c r="B204" s="43"/>
      <x:c r="C204" s="43"/>
      <x:c r="D204" s="43"/>
      <x:c r="E204" s="43"/>
      <x:c r="F204" s="43"/>
      <x:c r="G204" s="43"/>
      <x:c r="H204" s="120"/>
      <x:c r="I204" s="120"/>
      <x:c r="J204" s="120"/>
      <x:c r="K204" s="120"/>
      <x:c r="L204" s="120"/>
      <x:c r="M204" s="120"/>
      <x:c r="N204" s="120"/>
      <x:c r="O204" s="120"/>
      <x:c r="P204" s="120"/>
      <x:c r="Q204" s="120"/>
      <x:c r="R204" s="120"/>
      <x:c r="S204" s="120"/>
      <x:c r="T204" s="120"/>
      <x:c r="U204" s="48"/>
      <x:c r="V204" s="48"/>
      <x:c r="W204" s="48"/>
      <x:c r="X204" s="48"/>
      <x:c r="Y204" s="48"/>
      <x:c r="Z204" s="49"/>
      <x:c r="AA204" s="43"/>
      <x:c r="AB204" s="43"/>
      <x:c r="AC204" s="43"/>
      <x:c r="AD204" s="43"/>
      <x:c r="AE204" s="43"/>
      <x:c r="AF204" s="87" t="str">
        <x:f>IF(OR(H204="",I204="",I204&lt;H204),"",(I204-H204)*1440)</x:f>
      </x:c>
      <x:c r="AG204" s="87" t="str">
        <x:f>IF(OR(I204="",M204="",M204&lt;I204),"",(M204-I204)*1440)</x:f>
      </x:c>
      <x:c r="AH204" s="87" t="str">
        <x:f>IF(OR(M204="",N204="",N204&lt;M204),"",(N204-M204)*1440)</x:f>
      </x:c>
      <x:c r="AI204" s="87" t="str">
        <x:f>IF(OR(H204="",N204="",N204&lt;H204),"",(N204-H204)*1440)</x:f>
      </x:c>
      <x:c r="AJ204" s="87" t="str">
        <x:f>IF(OR(I204="",N204="",N204&lt;I204),"",(N204-I204)*1440)</x:f>
      </x:c>
      <x:c r="AK204" s="87" t="str">
        <x:f>IF(OR(N204="",O204="",O204&lt;N204),"",(O204-N204)*1440)</x:f>
      </x:c>
      <x:c r="AL204" s="87" t="str">
        <x:f>IF(OR(O204="",P204="",P204&lt;O204),"",(P204-O204)*1440)</x:f>
      </x:c>
      <x:c r="AM204" s="87" t="str">
        <x:f>IF(OR(Q204="",R204="",R204&lt;Q204),"",(R204-Q204)*1440)</x:f>
      </x:c>
      <x:c r="AN204" s="87" t="str">
        <x:f>IF(OR(S204="",T204="",T204&lt;S204),"",(T204-S204)*1440)</x:f>
      </x:c>
      <x:c r="AO204" s="87" t="str">
        <x:f>IF(OR(U204="",V204=""),"",V204-U204)</x:f>
      </x:c>
      <x:c r="AP204" s="63" t="str">
        <x:f>IF(A204="","",IF(OR(B204="",H204="",N204=""),"Incompleto",IF(N204&lt;H204,"Revisar",IF(OR(G204="",G204="Não observado"),"Qualidade E0 ausente",IF(OR(G204="Sensor",G204="Marcação física"),"Válido — E0 observado",IF(G204="Cálculo","Válido — E0 calculado","Válido — E0 estimado"))))))</x:f>
      </x:c>
      <x:c r="AQ204" s="63" t="str">
        <x:f>IF(A204="","",IF(COUNTA(H204:T204)&lt;13,"Incompleta",IF(OR(I204&lt;H204,J204&lt;I204,K204&lt;J204,L204&lt;K204,M204&lt;L204,N204&lt;M204,O204&lt;N204,P204&lt;O204,Q204&lt;P204,R204&lt;Q204,S204&lt;R204,T204&lt;S204),"Revisar","Completa")))</x:f>
      </x:c>
      <x:c r="AR204" s="87" t="str">
        <x:f>IF(OR(V204="",W204="",Y204=""),"",Y204-(V204-W204))</x:f>
      </x:c>
      <x:c r="AS204" s="63" t="str">
        <x:f>IF(A204="","",IF(AND(E204&lt;&gt;"",F204&lt;&gt;"",G204&lt;&gt;"",Z204&lt;&gt;"",AA204&lt;&gt;"",AB204&lt;&gt;"",AC204&lt;&gt;""),"Completa","Incompleta"))</x:f>
      </x:c>
      <x:c r="AT204" s="63" t="str">
        <x:f>IF(A204="","",IF(COUNTIF($A$11:$A$410,A204)&gt;1,"ID duplicado",IF(AND(AR204&lt;&gt;"",ABS(AR204)&gt;0.01),"Revisar balanço",IF(AND(W204&lt;&gt;"",V204&lt;&gt;"",W204&gt;V204),"Retirada &gt; estoque",IF(AND(U204&lt;&gt;"",U204&lt;'Cenário Base'!$D$8*'Cenário Base'!$D$74),"E0 abaixo do gatilho",IF(AND(V204&lt;&gt;"",V204&gt;XLOOKUP(B204,$A$414:$A$418,$B$414:$B$418)),"Excedeu capacidade","Sem alerta"))))))</x:f>
      </x:c>
    </x:row>
    <x:row r="205">
      <x:c r="A205" s="43"/>
      <x:c r="B205" s="43"/>
      <x:c r="C205" s="43"/>
      <x:c r="D205" s="43"/>
      <x:c r="E205" s="43"/>
      <x:c r="F205" s="43"/>
      <x:c r="G205" s="43"/>
      <x:c r="H205" s="120"/>
      <x:c r="I205" s="120"/>
      <x:c r="J205" s="120"/>
      <x:c r="K205" s="120"/>
      <x:c r="L205" s="120"/>
      <x:c r="M205" s="120"/>
      <x:c r="N205" s="120"/>
      <x:c r="O205" s="120"/>
      <x:c r="P205" s="120"/>
      <x:c r="Q205" s="120"/>
      <x:c r="R205" s="120"/>
      <x:c r="S205" s="120"/>
      <x:c r="T205" s="120"/>
      <x:c r="U205" s="48"/>
      <x:c r="V205" s="48"/>
      <x:c r="W205" s="48"/>
      <x:c r="X205" s="48"/>
      <x:c r="Y205" s="48"/>
      <x:c r="Z205" s="49"/>
      <x:c r="AA205" s="43"/>
      <x:c r="AB205" s="43"/>
      <x:c r="AC205" s="43"/>
      <x:c r="AD205" s="43"/>
      <x:c r="AE205" s="43"/>
      <x:c r="AF205" s="87" t="str">
        <x:f>IF(OR(H205="",I205="",I205&lt;H205),"",(I205-H205)*1440)</x:f>
      </x:c>
      <x:c r="AG205" s="87" t="str">
        <x:f>IF(OR(I205="",M205="",M205&lt;I205),"",(M205-I205)*1440)</x:f>
      </x:c>
      <x:c r="AH205" s="87" t="str">
        <x:f>IF(OR(M205="",N205="",N205&lt;M205),"",(N205-M205)*1440)</x:f>
      </x:c>
      <x:c r="AI205" s="87" t="str">
        <x:f>IF(OR(H205="",N205="",N205&lt;H205),"",(N205-H205)*1440)</x:f>
      </x:c>
      <x:c r="AJ205" s="87" t="str">
        <x:f>IF(OR(I205="",N205="",N205&lt;I205),"",(N205-I205)*1440)</x:f>
      </x:c>
      <x:c r="AK205" s="87" t="str">
        <x:f>IF(OR(N205="",O205="",O205&lt;N205),"",(O205-N205)*1440)</x:f>
      </x:c>
      <x:c r="AL205" s="87" t="str">
        <x:f>IF(OR(O205="",P205="",P205&lt;O205),"",(P205-O205)*1440)</x:f>
      </x:c>
      <x:c r="AM205" s="87" t="str">
        <x:f>IF(OR(Q205="",R205="",R205&lt;Q205),"",(R205-Q205)*1440)</x:f>
      </x:c>
      <x:c r="AN205" s="87" t="str">
        <x:f>IF(OR(S205="",T205="",T205&lt;S205),"",(T205-S205)*1440)</x:f>
      </x:c>
      <x:c r="AO205" s="87" t="str">
        <x:f>IF(OR(U205="",V205=""),"",V205-U205)</x:f>
      </x:c>
      <x:c r="AP205" s="63" t="str">
        <x:f>IF(A205="","",IF(OR(B205="",H205="",N205=""),"Incompleto",IF(N205&lt;H205,"Revisar",IF(OR(G205="",G205="Não observado"),"Qualidade E0 ausente",IF(OR(G205="Sensor",G205="Marcação física"),"Válido — E0 observado",IF(G205="Cálculo","Válido — E0 calculado","Válido — E0 estimado"))))))</x:f>
      </x:c>
      <x:c r="AQ205" s="63" t="str">
        <x:f>IF(A205="","",IF(COUNTA(H205:T205)&lt;13,"Incompleta",IF(OR(I205&lt;H205,J205&lt;I205,K205&lt;J205,L205&lt;K205,M205&lt;L205,N205&lt;M205,O205&lt;N205,P205&lt;O205,Q205&lt;P205,R205&lt;Q205,S205&lt;R205,T205&lt;S205),"Revisar","Completa")))</x:f>
      </x:c>
      <x:c r="AR205" s="87" t="str">
        <x:f>IF(OR(V205="",W205="",Y205=""),"",Y205-(V205-W205))</x:f>
      </x:c>
      <x:c r="AS205" s="63" t="str">
        <x:f>IF(A205="","",IF(AND(E205&lt;&gt;"",F205&lt;&gt;"",G205&lt;&gt;"",Z205&lt;&gt;"",AA205&lt;&gt;"",AB205&lt;&gt;"",AC205&lt;&gt;""),"Completa","Incompleta"))</x:f>
      </x:c>
      <x:c r="AT205" s="63" t="str">
        <x:f>IF(A205="","",IF(COUNTIF($A$11:$A$410,A205)&gt;1,"ID duplicado",IF(AND(AR205&lt;&gt;"",ABS(AR205)&gt;0.01),"Revisar balanço",IF(AND(W205&lt;&gt;"",V205&lt;&gt;"",W205&gt;V205),"Retirada &gt; estoque",IF(AND(U205&lt;&gt;"",U205&lt;'Cenário Base'!$D$8*'Cenário Base'!$D$74),"E0 abaixo do gatilho",IF(AND(V205&lt;&gt;"",V205&gt;XLOOKUP(B205,$A$414:$A$418,$B$414:$B$418)),"Excedeu capacidade","Sem alerta"))))))</x:f>
      </x:c>
    </x:row>
    <x:row r="206">
      <x:c r="A206" s="43"/>
      <x:c r="B206" s="43"/>
      <x:c r="C206" s="43"/>
      <x:c r="D206" s="43"/>
      <x:c r="E206" s="43"/>
      <x:c r="F206" s="43"/>
      <x:c r="G206" s="43"/>
      <x:c r="H206" s="120"/>
      <x:c r="I206" s="120"/>
      <x:c r="J206" s="120"/>
      <x:c r="K206" s="120"/>
      <x:c r="L206" s="120"/>
      <x:c r="M206" s="120"/>
      <x:c r="N206" s="120"/>
      <x:c r="O206" s="120"/>
      <x:c r="P206" s="120"/>
      <x:c r="Q206" s="120"/>
      <x:c r="R206" s="120"/>
      <x:c r="S206" s="120"/>
      <x:c r="T206" s="120"/>
      <x:c r="U206" s="48"/>
      <x:c r="V206" s="48"/>
      <x:c r="W206" s="48"/>
      <x:c r="X206" s="48"/>
      <x:c r="Y206" s="48"/>
      <x:c r="Z206" s="49"/>
      <x:c r="AA206" s="43"/>
      <x:c r="AB206" s="43"/>
      <x:c r="AC206" s="43"/>
      <x:c r="AD206" s="43"/>
      <x:c r="AE206" s="43"/>
      <x:c r="AF206" s="87" t="str">
        <x:f>IF(OR(H206="",I206="",I206&lt;H206),"",(I206-H206)*1440)</x:f>
      </x:c>
      <x:c r="AG206" s="87" t="str">
        <x:f>IF(OR(I206="",M206="",M206&lt;I206),"",(M206-I206)*1440)</x:f>
      </x:c>
      <x:c r="AH206" s="87" t="str">
        <x:f>IF(OR(M206="",N206="",N206&lt;M206),"",(N206-M206)*1440)</x:f>
      </x:c>
      <x:c r="AI206" s="87" t="str">
        <x:f>IF(OR(H206="",N206="",N206&lt;H206),"",(N206-H206)*1440)</x:f>
      </x:c>
      <x:c r="AJ206" s="87" t="str">
        <x:f>IF(OR(I206="",N206="",N206&lt;I206),"",(N206-I206)*1440)</x:f>
      </x:c>
      <x:c r="AK206" s="87" t="str">
        <x:f>IF(OR(N206="",O206="",O206&lt;N206),"",(O206-N206)*1440)</x:f>
      </x:c>
      <x:c r="AL206" s="87" t="str">
        <x:f>IF(OR(O206="",P206="",P206&lt;O206),"",(P206-O206)*1440)</x:f>
      </x:c>
      <x:c r="AM206" s="87" t="str">
        <x:f>IF(OR(Q206="",R206="",R206&lt;Q206),"",(R206-Q206)*1440)</x:f>
      </x:c>
      <x:c r="AN206" s="87" t="str">
        <x:f>IF(OR(S206="",T206="",T206&lt;S206),"",(T206-S206)*1440)</x:f>
      </x:c>
      <x:c r="AO206" s="87" t="str">
        <x:f>IF(OR(U206="",V206=""),"",V206-U206)</x:f>
      </x:c>
      <x:c r="AP206" s="63" t="str">
        <x:f>IF(A206="","",IF(OR(B206="",H206="",N206=""),"Incompleto",IF(N206&lt;H206,"Revisar",IF(OR(G206="",G206="Não observado"),"Qualidade E0 ausente",IF(OR(G206="Sensor",G206="Marcação física"),"Válido — E0 observado",IF(G206="Cálculo","Válido — E0 calculado","Válido — E0 estimado"))))))</x:f>
      </x:c>
      <x:c r="AQ206" s="63" t="str">
        <x:f>IF(A206="","",IF(COUNTA(H206:T206)&lt;13,"Incompleta",IF(OR(I206&lt;H206,J206&lt;I206,K206&lt;J206,L206&lt;K206,M206&lt;L206,N206&lt;M206,O206&lt;N206,P206&lt;O206,Q206&lt;P206,R206&lt;Q206,S206&lt;R206,T206&lt;S206),"Revisar","Completa")))</x:f>
      </x:c>
      <x:c r="AR206" s="87" t="str">
        <x:f>IF(OR(V206="",W206="",Y206=""),"",Y206-(V206-W206))</x:f>
      </x:c>
      <x:c r="AS206" s="63" t="str">
        <x:f>IF(A206="","",IF(AND(E206&lt;&gt;"",F206&lt;&gt;"",G206&lt;&gt;"",Z206&lt;&gt;"",AA206&lt;&gt;"",AB206&lt;&gt;"",AC206&lt;&gt;""),"Completa","Incompleta"))</x:f>
      </x:c>
      <x:c r="AT206" s="63" t="str">
        <x:f>IF(A206="","",IF(COUNTIF($A$11:$A$410,A206)&gt;1,"ID duplicado",IF(AND(AR206&lt;&gt;"",ABS(AR206)&gt;0.01),"Revisar balanço",IF(AND(W206&lt;&gt;"",V206&lt;&gt;"",W206&gt;V206),"Retirada &gt; estoque",IF(AND(U206&lt;&gt;"",U206&lt;'Cenário Base'!$D$8*'Cenário Base'!$D$74),"E0 abaixo do gatilho",IF(AND(V206&lt;&gt;"",V206&gt;XLOOKUP(B206,$A$414:$A$418,$B$414:$B$418)),"Excedeu capacidade","Sem alerta"))))))</x:f>
      </x:c>
    </x:row>
    <x:row r="207">
      <x:c r="A207" s="43"/>
      <x:c r="B207" s="43"/>
      <x:c r="C207" s="43"/>
      <x:c r="D207" s="43"/>
      <x:c r="E207" s="43"/>
      <x:c r="F207" s="43"/>
      <x:c r="G207" s="43"/>
      <x:c r="H207" s="120"/>
      <x:c r="I207" s="120"/>
      <x:c r="J207" s="120"/>
      <x:c r="K207" s="120"/>
      <x:c r="L207" s="120"/>
      <x:c r="M207" s="120"/>
      <x:c r="N207" s="120"/>
      <x:c r="O207" s="120"/>
      <x:c r="P207" s="120"/>
      <x:c r="Q207" s="120"/>
      <x:c r="R207" s="120"/>
      <x:c r="S207" s="120"/>
      <x:c r="T207" s="120"/>
      <x:c r="U207" s="48"/>
      <x:c r="V207" s="48"/>
      <x:c r="W207" s="48"/>
      <x:c r="X207" s="48"/>
      <x:c r="Y207" s="48"/>
      <x:c r="Z207" s="49"/>
      <x:c r="AA207" s="43"/>
      <x:c r="AB207" s="43"/>
      <x:c r="AC207" s="43"/>
      <x:c r="AD207" s="43"/>
      <x:c r="AE207" s="43"/>
      <x:c r="AF207" s="87" t="str">
        <x:f>IF(OR(H207="",I207="",I207&lt;H207),"",(I207-H207)*1440)</x:f>
      </x:c>
      <x:c r="AG207" s="87" t="str">
        <x:f>IF(OR(I207="",M207="",M207&lt;I207),"",(M207-I207)*1440)</x:f>
      </x:c>
      <x:c r="AH207" s="87" t="str">
        <x:f>IF(OR(M207="",N207="",N207&lt;M207),"",(N207-M207)*1440)</x:f>
      </x:c>
      <x:c r="AI207" s="87" t="str">
        <x:f>IF(OR(H207="",N207="",N207&lt;H207),"",(N207-H207)*1440)</x:f>
      </x:c>
      <x:c r="AJ207" s="87" t="str">
        <x:f>IF(OR(I207="",N207="",N207&lt;I207),"",(N207-I207)*1440)</x:f>
      </x:c>
      <x:c r="AK207" s="87" t="str">
        <x:f>IF(OR(N207="",O207="",O207&lt;N207),"",(O207-N207)*1440)</x:f>
      </x:c>
      <x:c r="AL207" s="87" t="str">
        <x:f>IF(OR(O207="",P207="",P207&lt;O207),"",(P207-O207)*1440)</x:f>
      </x:c>
      <x:c r="AM207" s="87" t="str">
        <x:f>IF(OR(Q207="",R207="",R207&lt;Q207),"",(R207-Q207)*1440)</x:f>
      </x:c>
      <x:c r="AN207" s="87" t="str">
        <x:f>IF(OR(S207="",T207="",T207&lt;S207),"",(T207-S207)*1440)</x:f>
      </x:c>
      <x:c r="AO207" s="87" t="str">
        <x:f>IF(OR(U207="",V207=""),"",V207-U207)</x:f>
      </x:c>
      <x:c r="AP207" s="63" t="str">
        <x:f>IF(A207="","",IF(OR(B207="",H207="",N207=""),"Incompleto",IF(N207&lt;H207,"Revisar",IF(OR(G207="",G207="Não observado"),"Qualidade E0 ausente",IF(OR(G207="Sensor",G207="Marcação física"),"Válido — E0 observado",IF(G207="Cálculo","Válido — E0 calculado","Válido — E0 estimado"))))))</x:f>
      </x:c>
      <x:c r="AQ207" s="63" t="str">
        <x:f>IF(A207="","",IF(COUNTA(H207:T207)&lt;13,"Incompleta",IF(OR(I207&lt;H207,J207&lt;I207,K207&lt;J207,L207&lt;K207,M207&lt;L207,N207&lt;M207,O207&lt;N207,P207&lt;O207,Q207&lt;P207,R207&lt;Q207,S207&lt;R207,T207&lt;S207),"Revisar","Completa")))</x:f>
      </x:c>
      <x:c r="AR207" s="87" t="str">
        <x:f>IF(OR(V207="",W207="",Y207=""),"",Y207-(V207-W207))</x:f>
      </x:c>
      <x:c r="AS207" s="63" t="str">
        <x:f>IF(A207="","",IF(AND(E207&lt;&gt;"",F207&lt;&gt;"",G207&lt;&gt;"",Z207&lt;&gt;"",AA207&lt;&gt;"",AB207&lt;&gt;"",AC207&lt;&gt;""),"Completa","Incompleta"))</x:f>
      </x:c>
      <x:c r="AT207" s="63" t="str">
        <x:f>IF(A207="","",IF(COUNTIF($A$11:$A$410,A207)&gt;1,"ID duplicado",IF(AND(AR207&lt;&gt;"",ABS(AR207)&gt;0.01),"Revisar balanço",IF(AND(W207&lt;&gt;"",V207&lt;&gt;"",W207&gt;V207),"Retirada &gt; estoque",IF(AND(U207&lt;&gt;"",U207&lt;'Cenário Base'!$D$8*'Cenário Base'!$D$74),"E0 abaixo do gatilho",IF(AND(V207&lt;&gt;"",V207&gt;XLOOKUP(B207,$A$414:$A$418,$B$414:$B$418)),"Excedeu capacidade","Sem alerta"))))))</x:f>
      </x:c>
    </x:row>
    <x:row r="208">
      <x:c r="A208" s="43"/>
      <x:c r="B208" s="43"/>
      <x:c r="C208" s="43"/>
      <x:c r="D208" s="43"/>
      <x:c r="E208" s="43"/>
      <x:c r="F208" s="43"/>
      <x:c r="G208" s="43"/>
      <x:c r="H208" s="120"/>
      <x:c r="I208" s="120"/>
      <x:c r="J208" s="120"/>
      <x:c r="K208" s="120"/>
      <x:c r="L208" s="120"/>
      <x:c r="M208" s="120"/>
      <x:c r="N208" s="120"/>
      <x:c r="O208" s="120"/>
      <x:c r="P208" s="120"/>
      <x:c r="Q208" s="120"/>
      <x:c r="R208" s="120"/>
      <x:c r="S208" s="120"/>
      <x:c r="T208" s="120"/>
      <x:c r="U208" s="48"/>
      <x:c r="V208" s="48"/>
      <x:c r="W208" s="48"/>
      <x:c r="X208" s="48"/>
      <x:c r="Y208" s="48"/>
      <x:c r="Z208" s="49"/>
      <x:c r="AA208" s="43"/>
      <x:c r="AB208" s="43"/>
      <x:c r="AC208" s="43"/>
      <x:c r="AD208" s="43"/>
      <x:c r="AE208" s="43"/>
      <x:c r="AF208" s="87" t="str">
        <x:f>IF(OR(H208="",I208="",I208&lt;H208),"",(I208-H208)*1440)</x:f>
      </x:c>
      <x:c r="AG208" s="87" t="str">
        <x:f>IF(OR(I208="",M208="",M208&lt;I208),"",(M208-I208)*1440)</x:f>
      </x:c>
      <x:c r="AH208" s="87" t="str">
        <x:f>IF(OR(M208="",N208="",N208&lt;M208),"",(N208-M208)*1440)</x:f>
      </x:c>
      <x:c r="AI208" s="87" t="str">
        <x:f>IF(OR(H208="",N208="",N208&lt;H208),"",(N208-H208)*1440)</x:f>
      </x:c>
      <x:c r="AJ208" s="87" t="str">
        <x:f>IF(OR(I208="",N208="",N208&lt;I208),"",(N208-I208)*1440)</x:f>
      </x:c>
      <x:c r="AK208" s="87" t="str">
        <x:f>IF(OR(N208="",O208="",O208&lt;N208),"",(O208-N208)*1440)</x:f>
      </x:c>
      <x:c r="AL208" s="87" t="str">
        <x:f>IF(OR(O208="",P208="",P208&lt;O208),"",(P208-O208)*1440)</x:f>
      </x:c>
      <x:c r="AM208" s="87" t="str">
        <x:f>IF(OR(Q208="",R208="",R208&lt;Q208),"",(R208-Q208)*1440)</x:f>
      </x:c>
      <x:c r="AN208" s="87" t="str">
        <x:f>IF(OR(S208="",T208="",T208&lt;S208),"",(T208-S208)*1440)</x:f>
      </x:c>
      <x:c r="AO208" s="87" t="str">
        <x:f>IF(OR(U208="",V208=""),"",V208-U208)</x:f>
      </x:c>
      <x:c r="AP208" s="63" t="str">
        <x:f>IF(A208="","",IF(OR(B208="",H208="",N208=""),"Incompleto",IF(N208&lt;H208,"Revisar",IF(OR(G208="",G208="Não observado"),"Qualidade E0 ausente",IF(OR(G208="Sensor",G208="Marcação física"),"Válido — E0 observado",IF(G208="Cálculo","Válido — E0 calculado","Válido — E0 estimado"))))))</x:f>
      </x:c>
      <x:c r="AQ208" s="63" t="str">
        <x:f>IF(A208="","",IF(COUNTA(H208:T208)&lt;13,"Incompleta",IF(OR(I208&lt;H208,J208&lt;I208,K208&lt;J208,L208&lt;K208,M208&lt;L208,N208&lt;M208,O208&lt;N208,P208&lt;O208,Q208&lt;P208,R208&lt;Q208,S208&lt;R208,T208&lt;S208),"Revisar","Completa")))</x:f>
      </x:c>
      <x:c r="AR208" s="87" t="str">
        <x:f>IF(OR(V208="",W208="",Y208=""),"",Y208-(V208-W208))</x:f>
      </x:c>
      <x:c r="AS208" s="63" t="str">
        <x:f>IF(A208="","",IF(AND(E208&lt;&gt;"",F208&lt;&gt;"",G208&lt;&gt;"",Z208&lt;&gt;"",AA208&lt;&gt;"",AB208&lt;&gt;"",AC208&lt;&gt;""),"Completa","Incompleta"))</x:f>
      </x:c>
      <x:c r="AT208" s="63" t="str">
        <x:f>IF(A208="","",IF(COUNTIF($A$11:$A$410,A208)&gt;1,"ID duplicado",IF(AND(AR208&lt;&gt;"",ABS(AR208)&gt;0.01),"Revisar balanço",IF(AND(W208&lt;&gt;"",V208&lt;&gt;"",W208&gt;V208),"Retirada &gt; estoque",IF(AND(U208&lt;&gt;"",U208&lt;'Cenário Base'!$D$8*'Cenário Base'!$D$74),"E0 abaixo do gatilho",IF(AND(V208&lt;&gt;"",V208&gt;XLOOKUP(B208,$A$414:$A$418,$B$414:$B$418)),"Excedeu capacidade","Sem alerta"))))))</x:f>
      </x:c>
    </x:row>
    <x:row r="209">
      <x:c r="A209" s="43"/>
      <x:c r="B209" s="43"/>
      <x:c r="C209" s="43"/>
      <x:c r="D209" s="43"/>
      <x:c r="E209" s="43"/>
      <x:c r="F209" s="43"/>
      <x:c r="G209" s="43"/>
      <x:c r="H209" s="120"/>
      <x:c r="I209" s="120"/>
      <x:c r="J209" s="120"/>
      <x:c r="K209" s="120"/>
      <x:c r="L209" s="120"/>
      <x:c r="M209" s="120"/>
      <x:c r="N209" s="120"/>
      <x:c r="O209" s="120"/>
      <x:c r="P209" s="120"/>
      <x:c r="Q209" s="120"/>
      <x:c r="R209" s="120"/>
      <x:c r="S209" s="120"/>
      <x:c r="T209" s="120"/>
      <x:c r="U209" s="48"/>
      <x:c r="V209" s="48"/>
      <x:c r="W209" s="48"/>
      <x:c r="X209" s="48"/>
      <x:c r="Y209" s="48"/>
      <x:c r="Z209" s="49"/>
      <x:c r="AA209" s="43"/>
      <x:c r="AB209" s="43"/>
      <x:c r="AC209" s="43"/>
      <x:c r="AD209" s="43"/>
      <x:c r="AE209" s="43"/>
      <x:c r="AF209" s="87" t="str">
        <x:f>IF(OR(H209="",I209="",I209&lt;H209),"",(I209-H209)*1440)</x:f>
      </x:c>
      <x:c r="AG209" s="87" t="str">
        <x:f>IF(OR(I209="",M209="",M209&lt;I209),"",(M209-I209)*1440)</x:f>
      </x:c>
      <x:c r="AH209" s="87" t="str">
        <x:f>IF(OR(M209="",N209="",N209&lt;M209),"",(N209-M209)*1440)</x:f>
      </x:c>
      <x:c r="AI209" s="87" t="str">
        <x:f>IF(OR(H209="",N209="",N209&lt;H209),"",(N209-H209)*1440)</x:f>
      </x:c>
      <x:c r="AJ209" s="87" t="str">
        <x:f>IF(OR(I209="",N209="",N209&lt;I209),"",(N209-I209)*1440)</x:f>
      </x:c>
      <x:c r="AK209" s="87" t="str">
        <x:f>IF(OR(N209="",O209="",O209&lt;N209),"",(O209-N209)*1440)</x:f>
      </x:c>
      <x:c r="AL209" s="87" t="str">
        <x:f>IF(OR(O209="",P209="",P209&lt;O209),"",(P209-O209)*1440)</x:f>
      </x:c>
      <x:c r="AM209" s="87" t="str">
        <x:f>IF(OR(Q209="",R209="",R209&lt;Q209),"",(R209-Q209)*1440)</x:f>
      </x:c>
      <x:c r="AN209" s="87" t="str">
        <x:f>IF(OR(S209="",T209="",T209&lt;S209),"",(T209-S209)*1440)</x:f>
      </x:c>
      <x:c r="AO209" s="87" t="str">
        <x:f>IF(OR(U209="",V209=""),"",V209-U209)</x:f>
      </x:c>
      <x:c r="AP209" s="63" t="str">
        <x:f>IF(A209="","",IF(OR(B209="",H209="",N209=""),"Incompleto",IF(N209&lt;H209,"Revisar",IF(OR(G209="",G209="Não observado"),"Qualidade E0 ausente",IF(OR(G209="Sensor",G209="Marcação física"),"Válido — E0 observado",IF(G209="Cálculo","Válido — E0 calculado","Válido — E0 estimado"))))))</x:f>
      </x:c>
      <x:c r="AQ209" s="63" t="str">
        <x:f>IF(A209="","",IF(COUNTA(H209:T209)&lt;13,"Incompleta",IF(OR(I209&lt;H209,J209&lt;I209,K209&lt;J209,L209&lt;K209,M209&lt;L209,N209&lt;M209,O209&lt;N209,P209&lt;O209,Q209&lt;P209,R209&lt;Q209,S209&lt;R209,T209&lt;S209),"Revisar","Completa")))</x:f>
      </x:c>
      <x:c r="AR209" s="87" t="str">
        <x:f>IF(OR(V209="",W209="",Y209=""),"",Y209-(V209-W209))</x:f>
      </x:c>
      <x:c r="AS209" s="63" t="str">
        <x:f>IF(A209="","",IF(AND(E209&lt;&gt;"",F209&lt;&gt;"",G209&lt;&gt;"",Z209&lt;&gt;"",AA209&lt;&gt;"",AB209&lt;&gt;"",AC209&lt;&gt;""),"Completa","Incompleta"))</x:f>
      </x:c>
      <x:c r="AT209" s="63" t="str">
        <x:f>IF(A209="","",IF(COUNTIF($A$11:$A$410,A209)&gt;1,"ID duplicado",IF(AND(AR209&lt;&gt;"",ABS(AR209)&gt;0.01),"Revisar balanço",IF(AND(W209&lt;&gt;"",V209&lt;&gt;"",W209&gt;V209),"Retirada &gt; estoque",IF(AND(U209&lt;&gt;"",U209&lt;'Cenário Base'!$D$8*'Cenário Base'!$D$74),"E0 abaixo do gatilho",IF(AND(V209&lt;&gt;"",V209&gt;XLOOKUP(B209,$A$414:$A$418,$B$414:$B$418)),"Excedeu capacidade","Sem alerta"))))))</x:f>
      </x:c>
    </x:row>
    <x:row r="210">
      <x:c r="A210" s="43"/>
      <x:c r="B210" s="43"/>
      <x:c r="C210" s="43"/>
      <x:c r="D210" s="43"/>
      <x:c r="E210" s="43"/>
      <x:c r="F210" s="43"/>
      <x:c r="G210" s="43"/>
      <x:c r="H210" s="120"/>
      <x:c r="I210" s="120"/>
      <x:c r="J210" s="120"/>
      <x:c r="K210" s="120"/>
      <x:c r="L210" s="120"/>
      <x:c r="M210" s="120"/>
      <x:c r="N210" s="120"/>
      <x:c r="O210" s="120"/>
      <x:c r="P210" s="120"/>
      <x:c r="Q210" s="120"/>
      <x:c r="R210" s="120"/>
      <x:c r="S210" s="120"/>
      <x:c r="T210" s="120"/>
      <x:c r="U210" s="48"/>
      <x:c r="V210" s="48"/>
      <x:c r="W210" s="48"/>
      <x:c r="X210" s="48"/>
      <x:c r="Y210" s="48"/>
      <x:c r="Z210" s="49"/>
      <x:c r="AA210" s="43"/>
      <x:c r="AB210" s="43"/>
      <x:c r="AC210" s="43"/>
      <x:c r="AD210" s="43"/>
      <x:c r="AE210" s="43"/>
      <x:c r="AF210" s="87" t="str">
        <x:f>IF(OR(H210="",I210="",I210&lt;H210),"",(I210-H210)*1440)</x:f>
      </x:c>
      <x:c r="AG210" s="87" t="str">
        <x:f>IF(OR(I210="",M210="",M210&lt;I210),"",(M210-I210)*1440)</x:f>
      </x:c>
      <x:c r="AH210" s="87" t="str">
        <x:f>IF(OR(M210="",N210="",N210&lt;M210),"",(N210-M210)*1440)</x:f>
      </x:c>
      <x:c r="AI210" s="87" t="str">
        <x:f>IF(OR(H210="",N210="",N210&lt;H210),"",(N210-H210)*1440)</x:f>
      </x:c>
      <x:c r="AJ210" s="87" t="str">
        <x:f>IF(OR(I210="",N210="",N210&lt;I210),"",(N210-I210)*1440)</x:f>
      </x:c>
      <x:c r="AK210" s="87" t="str">
        <x:f>IF(OR(N210="",O210="",O210&lt;N210),"",(O210-N210)*1440)</x:f>
      </x:c>
      <x:c r="AL210" s="87" t="str">
        <x:f>IF(OR(O210="",P210="",P210&lt;O210),"",(P210-O210)*1440)</x:f>
      </x:c>
      <x:c r="AM210" s="87" t="str">
        <x:f>IF(OR(Q210="",R210="",R210&lt;Q210),"",(R210-Q210)*1440)</x:f>
      </x:c>
      <x:c r="AN210" s="87" t="str">
        <x:f>IF(OR(S210="",T210="",T210&lt;S210),"",(T210-S210)*1440)</x:f>
      </x:c>
      <x:c r="AO210" s="87" t="str">
        <x:f>IF(OR(U210="",V210=""),"",V210-U210)</x:f>
      </x:c>
      <x:c r="AP210" s="63" t="str">
        <x:f>IF(A210="","",IF(OR(B210="",H210="",N210=""),"Incompleto",IF(N210&lt;H210,"Revisar",IF(OR(G210="",G210="Não observado"),"Qualidade E0 ausente",IF(OR(G210="Sensor",G210="Marcação física"),"Válido — E0 observado",IF(G210="Cálculo","Válido — E0 calculado","Válido — E0 estimado"))))))</x:f>
      </x:c>
      <x:c r="AQ210" s="63" t="str">
        <x:f>IF(A210="","",IF(COUNTA(H210:T210)&lt;13,"Incompleta",IF(OR(I210&lt;H210,J210&lt;I210,K210&lt;J210,L210&lt;K210,M210&lt;L210,N210&lt;M210,O210&lt;N210,P210&lt;O210,Q210&lt;P210,R210&lt;Q210,S210&lt;R210,T210&lt;S210),"Revisar","Completa")))</x:f>
      </x:c>
      <x:c r="AR210" s="87" t="str">
        <x:f>IF(OR(V210="",W210="",Y210=""),"",Y210-(V210-W210))</x:f>
      </x:c>
      <x:c r="AS210" s="63" t="str">
        <x:f>IF(A210="","",IF(AND(E210&lt;&gt;"",F210&lt;&gt;"",G210&lt;&gt;"",Z210&lt;&gt;"",AA210&lt;&gt;"",AB210&lt;&gt;"",AC210&lt;&gt;""),"Completa","Incompleta"))</x:f>
      </x:c>
      <x:c r="AT210" s="63" t="str">
        <x:f>IF(A210="","",IF(COUNTIF($A$11:$A$410,A210)&gt;1,"ID duplicado",IF(AND(AR210&lt;&gt;"",ABS(AR210)&gt;0.01),"Revisar balanço",IF(AND(W210&lt;&gt;"",V210&lt;&gt;"",W210&gt;V210),"Retirada &gt; estoque",IF(AND(U210&lt;&gt;"",U210&lt;'Cenário Base'!$D$8*'Cenário Base'!$D$74),"E0 abaixo do gatilho",IF(AND(V210&lt;&gt;"",V210&gt;XLOOKUP(B210,$A$414:$A$418,$B$414:$B$418)),"Excedeu capacidade","Sem alerta"))))))</x:f>
      </x:c>
    </x:row>
    <x:row r="211">
      <x:c r="A211" s="43"/>
      <x:c r="B211" s="43"/>
      <x:c r="C211" s="43"/>
      <x:c r="D211" s="43"/>
      <x:c r="E211" s="43"/>
      <x:c r="F211" s="43"/>
      <x:c r="G211" s="43"/>
      <x:c r="H211" s="120"/>
      <x:c r="I211" s="120"/>
      <x:c r="J211" s="120"/>
      <x:c r="K211" s="120"/>
      <x:c r="L211" s="120"/>
      <x:c r="M211" s="120"/>
      <x:c r="N211" s="120"/>
      <x:c r="O211" s="120"/>
      <x:c r="P211" s="120"/>
      <x:c r="Q211" s="120"/>
      <x:c r="R211" s="120"/>
      <x:c r="S211" s="120"/>
      <x:c r="T211" s="120"/>
      <x:c r="U211" s="48"/>
      <x:c r="V211" s="48"/>
      <x:c r="W211" s="48"/>
      <x:c r="X211" s="48"/>
      <x:c r="Y211" s="48"/>
      <x:c r="Z211" s="49"/>
      <x:c r="AA211" s="43"/>
      <x:c r="AB211" s="43"/>
      <x:c r="AC211" s="43"/>
      <x:c r="AD211" s="43"/>
      <x:c r="AE211" s="43"/>
      <x:c r="AF211" s="87" t="str">
        <x:f>IF(OR(H211="",I211="",I211&lt;H211),"",(I211-H211)*1440)</x:f>
      </x:c>
      <x:c r="AG211" s="87" t="str">
        <x:f>IF(OR(I211="",M211="",M211&lt;I211),"",(M211-I211)*1440)</x:f>
      </x:c>
      <x:c r="AH211" s="87" t="str">
        <x:f>IF(OR(M211="",N211="",N211&lt;M211),"",(N211-M211)*1440)</x:f>
      </x:c>
      <x:c r="AI211" s="87" t="str">
        <x:f>IF(OR(H211="",N211="",N211&lt;H211),"",(N211-H211)*1440)</x:f>
      </x:c>
      <x:c r="AJ211" s="87" t="str">
        <x:f>IF(OR(I211="",N211="",N211&lt;I211),"",(N211-I211)*1440)</x:f>
      </x:c>
      <x:c r="AK211" s="87" t="str">
        <x:f>IF(OR(N211="",O211="",O211&lt;N211),"",(O211-N211)*1440)</x:f>
      </x:c>
      <x:c r="AL211" s="87" t="str">
        <x:f>IF(OR(O211="",P211="",P211&lt;O211),"",(P211-O211)*1440)</x:f>
      </x:c>
      <x:c r="AM211" s="87" t="str">
        <x:f>IF(OR(Q211="",R211="",R211&lt;Q211),"",(R211-Q211)*1440)</x:f>
      </x:c>
      <x:c r="AN211" s="87" t="str">
        <x:f>IF(OR(S211="",T211="",T211&lt;S211),"",(T211-S211)*1440)</x:f>
      </x:c>
      <x:c r="AO211" s="87" t="str">
        <x:f>IF(OR(U211="",V211=""),"",V211-U211)</x:f>
      </x:c>
      <x:c r="AP211" s="63" t="str">
        <x:f>IF(A211="","",IF(OR(B211="",H211="",N211=""),"Incompleto",IF(N211&lt;H211,"Revisar",IF(OR(G211="",G211="Não observado"),"Qualidade E0 ausente",IF(OR(G211="Sensor",G211="Marcação física"),"Válido — E0 observado",IF(G211="Cálculo","Válido — E0 calculado","Válido — E0 estimado"))))))</x:f>
      </x:c>
      <x:c r="AQ211" s="63" t="str">
        <x:f>IF(A211="","",IF(COUNTA(H211:T211)&lt;13,"Incompleta",IF(OR(I211&lt;H211,J211&lt;I211,K211&lt;J211,L211&lt;K211,M211&lt;L211,N211&lt;M211,O211&lt;N211,P211&lt;O211,Q211&lt;P211,R211&lt;Q211,S211&lt;R211,T211&lt;S211),"Revisar","Completa")))</x:f>
      </x:c>
      <x:c r="AR211" s="87" t="str">
        <x:f>IF(OR(V211="",W211="",Y211=""),"",Y211-(V211-W211))</x:f>
      </x:c>
      <x:c r="AS211" s="63" t="str">
        <x:f>IF(A211="","",IF(AND(E211&lt;&gt;"",F211&lt;&gt;"",G211&lt;&gt;"",Z211&lt;&gt;"",AA211&lt;&gt;"",AB211&lt;&gt;"",AC211&lt;&gt;""),"Completa","Incompleta"))</x:f>
      </x:c>
      <x:c r="AT211" s="63" t="str">
        <x:f>IF(A211="","",IF(COUNTIF($A$11:$A$410,A211)&gt;1,"ID duplicado",IF(AND(AR211&lt;&gt;"",ABS(AR211)&gt;0.01),"Revisar balanço",IF(AND(W211&lt;&gt;"",V211&lt;&gt;"",W211&gt;V211),"Retirada &gt; estoque",IF(AND(U211&lt;&gt;"",U211&lt;'Cenário Base'!$D$8*'Cenário Base'!$D$74),"E0 abaixo do gatilho",IF(AND(V211&lt;&gt;"",V211&gt;XLOOKUP(B211,$A$414:$A$418,$B$414:$B$418)),"Excedeu capacidade","Sem alerta"))))))</x:f>
      </x:c>
    </x:row>
    <x:row r="212">
      <x:c r="A212" s="43"/>
      <x:c r="B212" s="43"/>
      <x:c r="C212" s="43"/>
      <x:c r="D212" s="43"/>
      <x:c r="E212" s="43"/>
      <x:c r="F212" s="43"/>
      <x:c r="G212" s="43"/>
      <x:c r="H212" s="120"/>
      <x:c r="I212" s="120"/>
      <x:c r="J212" s="120"/>
      <x:c r="K212" s="120"/>
      <x:c r="L212" s="120"/>
      <x:c r="M212" s="120"/>
      <x:c r="N212" s="120"/>
      <x:c r="O212" s="120"/>
      <x:c r="P212" s="120"/>
      <x:c r="Q212" s="120"/>
      <x:c r="R212" s="120"/>
      <x:c r="S212" s="120"/>
      <x:c r="T212" s="120"/>
      <x:c r="U212" s="48"/>
      <x:c r="V212" s="48"/>
      <x:c r="W212" s="48"/>
      <x:c r="X212" s="48"/>
      <x:c r="Y212" s="48"/>
      <x:c r="Z212" s="49"/>
      <x:c r="AA212" s="43"/>
      <x:c r="AB212" s="43"/>
      <x:c r="AC212" s="43"/>
      <x:c r="AD212" s="43"/>
      <x:c r="AE212" s="43"/>
      <x:c r="AF212" s="87" t="str">
        <x:f>IF(OR(H212="",I212="",I212&lt;H212),"",(I212-H212)*1440)</x:f>
      </x:c>
      <x:c r="AG212" s="87" t="str">
        <x:f>IF(OR(I212="",M212="",M212&lt;I212),"",(M212-I212)*1440)</x:f>
      </x:c>
      <x:c r="AH212" s="87" t="str">
        <x:f>IF(OR(M212="",N212="",N212&lt;M212),"",(N212-M212)*1440)</x:f>
      </x:c>
      <x:c r="AI212" s="87" t="str">
        <x:f>IF(OR(H212="",N212="",N212&lt;H212),"",(N212-H212)*1440)</x:f>
      </x:c>
      <x:c r="AJ212" s="87" t="str">
        <x:f>IF(OR(I212="",N212="",N212&lt;I212),"",(N212-I212)*1440)</x:f>
      </x:c>
      <x:c r="AK212" s="87" t="str">
        <x:f>IF(OR(N212="",O212="",O212&lt;N212),"",(O212-N212)*1440)</x:f>
      </x:c>
      <x:c r="AL212" s="87" t="str">
        <x:f>IF(OR(O212="",P212="",P212&lt;O212),"",(P212-O212)*1440)</x:f>
      </x:c>
      <x:c r="AM212" s="87" t="str">
        <x:f>IF(OR(Q212="",R212="",R212&lt;Q212),"",(R212-Q212)*1440)</x:f>
      </x:c>
      <x:c r="AN212" s="87" t="str">
        <x:f>IF(OR(S212="",T212="",T212&lt;S212),"",(T212-S212)*1440)</x:f>
      </x:c>
      <x:c r="AO212" s="87" t="str">
        <x:f>IF(OR(U212="",V212=""),"",V212-U212)</x:f>
      </x:c>
      <x:c r="AP212" s="63" t="str">
        <x:f>IF(A212="","",IF(OR(B212="",H212="",N212=""),"Incompleto",IF(N212&lt;H212,"Revisar",IF(OR(G212="",G212="Não observado"),"Qualidade E0 ausente",IF(OR(G212="Sensor",G212="Marcação física"),"Válido — E0 observado",IF(G212="Cálculo","Válido — E0 calculado","Válido — E0 estimado"))))))</x:f>
      </x:c>
      <x:c r="AQ212" s="63" t="str">
        <x:f>IF(A212="","",IF(COUNTA(H212:T212)&lt;13,"Incompleta",IF(OR(I212&lt;H212,J212&lt;I212,K212&lt;J212,L212&lt;K212,M212&lt;L212,N212&lt;M212,O212&lt;N212,P212&lt;O212,Q212&lt;P212,R212&lt;Q212,S212&lt;R212,T212&lt;S212),"Revisar","Completa")))</x:f>
      </x:c>
      <x:c r="AR212" s="87" t="str">
        <x:f>IF(OR(V212="",W212="",Y212=""),"",Y212-(V212-W212))</x:f>
      </x:c>
      <x:c r="AS212" s="63" t="str">
        <x:f>IF(A212="","",IF(AND(E212&lt;&gt;"",F212&lt;&gt;"",G212&lt;&gt;"",Z212&lt;&gt;"",AA212&lt;&gt;"",AB212&lt;&gt;"",AC212&lt;&gt;""),"Completa","Incompleta"))</x:f>
      </x:c>
      <x:c r="AT212" s="63" t="str">
        <x:f>IF(A212="","",IF(COUNTIF($A$11:$A$410,A212)&gt;1,"ID duplicado",IF(AND(AR212&lt;&gt;"",ABS(AR212)&gt;0.01),"Revisar balanço",IF(AND(W212&lt;&gt;"",V212&lt;&gt;"",W212&gt;V212),"Retirada &gt; estoque",IF(AND(U212&lt;&gt;"",U212&lt;'Cenário Base'!$D$8*'Cenário Base'!$D$74),"E0 abaixo do gatilho",IF(AND(V212&lt;&gt;"",V212&gt;XLOOKUP(B212,$A$414:$A$418,$B$414:$B$418)),"Excedeu capacidade","Sem alerta"))))))</x:f>
      </x:c>
    </x:row>
    <x:row r="213">
      <x:c r="A213" s="43"/>
      <x:c r="B213" s="43"/>
      <x:c r="C213" s="43"/>
      <x:c r="D213" s="43"/>
      <x:c r="E213" s="43"/>
      <x:c r="F213" s="43"/>
      <x:c r="G213" s="43"/>
      <x:c r="H213" s="120"/>
      <x:c r="I213" s="120"/>
      <x:c r="J213" s="120"/>
      <x:c r="K213" s="120"/>
      <x:c r="L213" s="120"/>
      <x:c r="M213" s="120"/>
      <x:c r="N213" s="120"/>
      <x:c r="O213" s="120"/>
      <x:c r="P213" s="120"/>
      <x:c r="Q213" s="120"/>
      <x:c r="R213" s="120"/>
      <x:c r="S213" s="120"/>
      <x:c r="T213" s="120"/>
      <x:c r="U213" s="48"/>
      <x:c r="V213" s="48"/>
      <x:c r="W213" s="48"/>
      <x:c r="X213" s="48"/>
      <x:c r="Y213" s="48"/>
      <x:c r="Z213" s="49"/>
      <x:c r="AA213" s="43"/>
      <x:c r="AB213" s="43"/>
      <x:c r="AC213" s="43"/>
      <x:c r="AD213" s="43"/>
      <x:c r="AE213" s="43"/>
      <x:c r="AF213" s="87" t="str">
        <x:f>IF(OR(H213="",I213="",I213&lt;H213),"",(I213-H213)*1440)</x:f>
      </x:c>
      <x:c r="AG213" s="87" t="str">
        <x:f>IF(OR(I213="",M213="",M213&lt;I213),"",(M213-I213)*1440)</x:f>
      </x:c>
      <x:c r="AH213" s="87" t="str">
        <x:f>IF(OR(M213="",N213="",N213&lt;M213),"",(N213-M213)*1440)</x:f>
      </x:c>
      <x:c r="AI213" s="87" t="str">
        <x:f>IF(OR(H213="",N213="",N213&lt;H213),"",(N213-H213)*1440)</x:f>
      </x:c>
      <x:c r="AJ213" s="87" t="str">
        <x:f>IF(OR(I213="",N213="",N213&lt;I213),"",(N213-I213)*1440)</x:f>
      </x:c>
      <x:c r="AK213" s="87" t="str">
        <x:f>IF(OR(N213="",O213="",O213&lt;N213),"",(O213-N213)*1440)</x:f>
      </x:c>
      <x:c r="AL213" s="87" t="str">
        <x:f>IF(OR(O213="",P213="",P213&lt;O213),"",(P213-O213)*1440)</x:f>
      </x:c>
      <x:c r="AM213" s="87" t="str">
        <x:f>IF(OR(Q213="",R213="",R213&lt;Q213),"",(R213-Q213)*1440)</x:f>
      </x:c>
      <x:c r="AN213" s="87" t="str">
        <x:f>IF(OR(S213="",T213="",T213&lt;S213),"",(T213-S213)*1440)</x:f>
      </x:c>
      <x:c r="AO213" s="87" t="str">
        <x:f>IF(OR(U213="",V213=""),"",V213-U213)</x:f>
      </x:c>
      <x:c r="AP213" s="63" t="str">
        <x:f>IF(A213="","",IF(OR(B213="",H213="",N213=""),"Incompleto",IF(N213&lt;H213,"Revisar",IF(OR(G213="",G213="Não observado"),"Qualidade E0 ausente",IF(OR(G213="Sensor",G213="Marcação física"),"Válido — E0 observado",IF(G213="Cálculo","Válido — E0 calculado","Válido — E0 estimado"))))))</x:f>
      </x:c>
      <x:c r="AQ213" s="63" t="str">
        <x:f>IF(A213="","",IF(COUNTA(H213:T213)&lt;13,"Incompleta",IF(OR(I213&lt;H213,J213&lt;I213,K213&lt;J213,L213&lt;K213,M213&lt;L213,N213&lt;M213,O213&lt;N213,P213&lt;O213,Q213&lt;P213,R213&lt;Q213,S213&lt;R213,T213&lt;S213),"Revisar","Completa")))</x:f>
      </x:c>
      <x:c r="AR213" s="87" t="str">
        <x:f>IF(OR(V213="",W213="",Y213=""),"",Y213-(V213-W213))</x:f>
      </x:c>
      <x:c r="AS213" s="63" t="str">
        <x:f>IF(A213="","",IF(AND(E213&lt;&gt;"",F213&lt;&gt;"",G213&lt;&gt;"",Z213&lt;&gt;"",AA213&lt;&gt;"",AB213&lt;&gt;"",AC213&lt;&gt;""),"Completa","Incompleta"))</x:f>
      </x:c>
      <x:c r="AT213" s="63" t="str">
        <x:f>IF(A213="","",IF(COUNTIF($A$11:$A$410,A213)&gt;1,"ID duplicado",IF(AND(AR213&lt;&gt;"",ABS(AR213)&gt;0.01),"Revisar balanço",IF(AND(W213&lt;&gt;"",V213&lt;&gt;"",W213&gt;V213),"Retirada &gt; estoque",IF(AND(U213&lt;&gt;"",U213&lt;'Cenário Base'!$D$8*'Cenário Base'!$D$74),"E0 abaixo do gatilho",IF(AND(V213&lt;&gt;"",V213&gt;XLOOKUP(B213,$A$414:$A$418,$B$414:$B$418)),"Excedeu capacidade","Sem alerta"))))))</x:f>
      </x:c>
    </x:row>
    <x:row r="214">
      <x:c r="A214" s="43"/>
      <x:c r="B214" s="43"/>
      <x:c r="C214" s="43"/>
      <x:c r="D214" s="43"/>
      <x:c r="E214" s="43"/>
      <x:c r="F214" s="43"/>
      <x:c r="G214" s="43"/>
      <x:c r="H214" s="120"/>
      <x:c r="I214" s="120"/>
      <x:c r="J214" s="120"/>
      <x:c r="K214" s="120"/>
      <x:c r="L214" s="120"/>
      <x:c r="M214" s="120"/>
      <x:c r="N214" s="120"/>
      <x:c r="O214" s="120"/>
      <x:c r="P214" s="120"/>
      <x:c r="Q214" s="120"/>
      <x:c r="R214" s="120"/>
      <x:c r="S214" s="120"/>
      <x:c r="T214" s="120"/>
      <x:c r="U214" s="48"/>
      <x:c r="V214" s="48"/>
      <x:c r="W214" s="48"/>
      <x:c r="X214" s="48"/>
      <x:c r="Y214" s="48"/>
      <x:c r="Z214" s="49"/>
      <x:c r="AA214" s="43"/>
      <x:c r="AB214" s="43"/>
      <x:c r="AC214" s="43"/>
      <x:c r="AD214" s="43"/>
      <x:c r="AE214" s="43"/>
      <x:c r="AF214" s="87" t="str">
        <x:f>IF(OR(H214="",I214="",I214&lt;H214),"",(I214-H214)*1440)</x:f>
      </x:c>
      <x:c r="AG214" s="87" t="str">
        <x:f>IF(OR(I214="",M214="",M214&lt;I214),"",(M214-I214)*1440)</x:f>
      </x:c>
      <x:c r="AH214" s="87" t="str">
        <x:f>IF(OR(M214="",N214="",N214&lt;M214),"",(N214-M214)*1440)</x:f>
      </x:c>
      <x:c r="AI214" s="87" t="str">
        <x:f>IF(OR(H214="",N214="",N214&lt;H214),"",(N214-H214)*1440)</x:f>
      </x:c>
      <x:c r="AJ214" s="87" t="str">
        <x:f>IF(OR(I214="",N214="",N214&lt;I214),"",(N214-I214)*1440)</x:f>
      </x:c>
      <x:c r="AK214" s="87" t="str">
        <x:f>IF(OR(N214="",O214="",O214&lt;N214),"",(O214-N214)*1440)</x:f>
      </x:c>
      <x:c r="AL214" s="87" t="str">
        <x:f>IF(OR(O214="",P214="",P214&lt;O214),"",(P214-O214)*1440)</x:f>
      </x:c>
      <x:c r="AM214" s="87" t="str">
        <x:f>IF(OR(Q214="",R214="",R214&lt;Q214),"",(R214-Q214)*1440)</x:f>
      </x:c>
      <x:c r="AN214" s="87" t="str">
        <x:f>IF(OR(S214="",T214="",T214&lt;S214),"",(T214-S214)*1440)</x:f>
      </x:c>
      <x:c r="AO214" s="87" t="str">
        <x:f>IF(OR(U214="",V214=""),"",V214-U214)</x:f>
      </x:c>
      <x:c r="AP214" s="63" t="str">
        <x:f>IF(A214="","",IF(OR(B214="",H214="",N214=""),"Incompleto",IF(N214&lt;H214,"Revisar",IF(OR(G214="",G214="Não observado"),"Qualidade E0 ausente",IF(OR(G214="Sensor",G214="Marcação física"),"Válido — E0 observado",IF(G214="Cálculo","Válido — E0 calculado","Válido — E0 estimado"))))))</x:f>
      </x:c>
      <x:c r="AQ214" s="63" t="str">
        <x:f>IF(A214="","",IF(COUNTA(H214:T214)&lt;13,"Incompleta",IF(OR(I214&lt;H214,J214&lt;I214,K214&lt;J214,L214&lt;K214,M214&lt;L214,N214&lt;M214,O214&lt;N214,P214&lt;O214,Q214&lt;P214,R214&lt;Q214,S214&lt;R214,T214&lt;S214),"Revisar","Completa")))</x:f>
      </x:c>
      <x:c r="AR214" s="87" t="str">
        <x:f>IF(OR(V214="",W214="",Y214=""),"",Y214-(V214-W214))</x:f>
      </x:c>
      <x:c r="AS214" s="63" t="str">
        <x:f>IF(A214="","",IF(AND(E214&lt;&gt;"",F214&lt;&gt;"",G214&lt;&gt;"",Z214&lt;&gt;"",AA214&lt;&gt;"",AB214&lt;&gt;"",AC214&lt;&gt;""),"Completa","Incompleta"))</x:f>
      </x:c>
      <x:c r="AT214" s="63" t="str">
        <x:f>IF(A214="","",IF(COUNTIF($A$11:$A$410,A214)&gt;1,"ID duplicado",IF(AND(AR214&lt;&gt;"",ABS(AR214)&gt;0.01),"Revisar balanço",IF(AND(W214&lt;&gt;"",V214&lt;&gt;"",W214&gt;V214),"Retirada &gt; estoque",IF(AND(U214&lt;&gt;"",U214&lt;'Cenário Base'!$D$8*'Cenário Base'!$D$74),"E0 abaixo do gatilho",IF(AND(V214&lt;&gt;"",V214&gt;XLOOKUP(B214,$A$414:$A$418,$B$414:$B$418)),"Excedeu capacidade","Sem alerta"))))))</x:f>
      </x:c>
    </x:row>
    <x:row r="215">
      <x:c r="A215" s="43"/>
      <x:c r="B215" s="43"/>
      <x:c r="C215" s="43"/>
      <x:c r="D215" s="43"/>
      <x:c r="E215" s="43"/>
      <x:c r="F215" s="43"/>
      <x:c r="G215" s="43"/>
      <x:c r="H215" s="120"/>
      <x:c r="I215" s="120"/>
      <x:c r="J215" s="120"/>
      <x:c r="K215" s="120"/>
      <x:c r="L215" s="120"/>
      <x:c r="M215" s="120"/>
      <x:c r="N215" s="120"/>
      <x:c r="O215" s="120"/>
      <x:c r="P215" s="120"/>
      <x:c r="Q215" s="120"/>
      <x:c r="R215" s="120"/>
      <x:c r="S215" s="120"/>
      <x:c r="T215" s="120"/>
      <x:c r="U215" s="48"/>
      <x:c r="V215" s="48"/>
      <x:c r="W215" s="48"/>
      <x:c r="X215" s="48"/>
      <x:c r="Y215" s="48"/>
      <x:c r="Z215" s="49"/>
      <x:c r="AA215" s="43"/>
      <x:c r="AB215" s="43"/>
      <x:c r="AC215" s="43"/>
      <x:c r="AD215" s="43"/>
      <x:c r="AE215" s="43"/>
      <x:c r="AF215" s="87" t="str">
        <x:f>IF(OR(H215="",I215="",I215&lt;H215),"",(I215-H215)*1440)</x:f>
      </x:c>
      <x:c r="AG215" s="87" t="str">
        <x:f>IF(OR(I215="",M215="",M215&lt;I215),"",(M215-I215)*1440)</x:f>
      </x:c>
      <x:c r="AH215" s="87" t="str">
        <x:f>IF(OR(M215="",N215="",N215&lt;M215),"",(N215-M215)*1440)</x:f>
      </x:c>
      <x:c r="AI215" s="87" t="str">
        <x:f>IF(OR(H215="",N215="",N215&lt;H215),"",(N215-H215)*1440)</x:f>
      </x:c>
      <x:c r="AJ215" s="87" t="str">
        <x:f>IF(OR(I215="",N215="",N215&lt;I215),"",(N215-I215)*1440)</x:f>
      </x:c>
      <x:c r="AK215" s="87" t="str">
        <x:f>IF(OR(N215="",O215="",O215&lt;N215),"",(O215-N215)*1440)</x:f>
      </x:c>
      <x:c r="AL215" s="87" t="str">
        <x:f>IF(OR(O215="",P215="",P215&lt;O215),"",(P215-O215)*1440)</x:f>
      </x:c>
      <x:c r="AM215" s="87" t="str">
        <x:f>IF(OR(Q215="",R215="",R215&lt;Q215),"",(R215-Q215)*1440)</x:f>
      </x:c>
      <x:c r="AN215" s="87" t="str">
        <x:f>IF(OR(S215="",T215="",T215&lt;S215),"",(T215-S215)*1440)</x:f>
      </x:c>
      <x:c r="AO215" s="87" t="str">
        <x:f>IF(OR(U215="",V215=""),"",V215-U215)</x:f>
      </x:c>
      <x:c r="AP215" s="63" t="str">
        <x:f>IF(A215="","",IF(OR(B215="",H215="",N215=""),"Incompleto",IF(N215&lt;H215,"Revisar",IF(OR(G215="",G215="Não observado"),"Qualidade E0 ausente",IF(OR(G215="Sensor",G215="Marcação física"),"Válido — E0 observado",IF(G215="Cálculo","Válido — E0 calculado","Válido — E0 estimado"))))))</x:f>
      </x:c>
      <x:c r="AQ215" s="63" t="str">
        <x:f>IF(A215="","",IF(COUNTA(H215:T215)&lt;13,"Incompleta",IF(OR(I215&lt;H215,J215&lt;I215,K215&lt;J215,L215&lt;K215,M215&lt;L215,N215&lt;M215,O215&lt;N215,P215&lt;O215,Q215&lt;P215,R215&lt;Q215,S215&lt;R215,T215&lt;S215),"Revisar","Completa")))</x:f>
      </x:c>
      <x:c r="AR215" s="87" t="str">
        <x:f>IF(OR(V215="",W215="",Y215=""),"",Y215-(V215-W215))</x:f>
      </x:c>
      <x:c r="AS215" s="63" t="str">
        <x:f>IF(A215="","",IF(AND(E215&lt;&gt;"",F215&lt;&gt;"",G215&lt;&gt;"",Z215&lt;&gt;"",AA215&lt;&gt;"",AB215&lt;&gt;"",AC215&lt;&gt;""),"Completa","Incompleta"))</x:f>
      </x:c>
      <x:c r="AT215" s="63" t="str">
        <x:f>IF(A215="","",IF(COUNTIF($A$11:$A$410,A215)&gt;1,"ID duplicado",IF(AND(AR215&lt;&gt;"",ABS(AR215)&gt;0.01),"Revisar balanço",IF(AND(W215&lt;&gt;"",V215&lt;&gt;"",W215&gt;V215),"Retirada &gt; estoque",IF(AND(U215&lt;&gt;"",U215&lt;'Cenário Base'!$D$8*'Cenário Base'!$D$74),"E0 abaixo do gatilho",IF(AND(V215&lt;&gt;"",V215&gt;XLOOKUP(B215,$A$414:$A$418,$B$414:$B$418)),"Excedeu capacidade","Sem alerta"))))))</x:f>
      </x:c>
    </x:row>
    <x:row r="216">
      <x:c r="A216" s="43"/>
      <x:c r="B216" s="43"/>
      <x:c r="C216" s="43"/>
      <x:c r="D216" s="43"/>
      <x:c r="E216" s="43"/>
      <x:c r="F216" s="43"/>
      <x:c r="G216" s="43"/>
      <x:c r="H216" s="120"/>
      <x:c r="I216" s="120"/>
      <x:c r="J216" s="120"/>
      <x:c r="K216" s="120"/>
      <x:c r="L216" s="120"/>
      <x:c r="M216" s="120"/>
      <x:c r="N216" s="120"/>
      <x:c r="O216" s="120"/>
      <x:c r="P216" s="120"/>
      <x:c r="Q216" s="120"/>
      <x:c r="R216" s="120"/>
      <x:c r="S216" s="120"/>
      <x:c r="T216" s="120"/>
      <x:c r="U216" s="48"/>
      <x:c r="V216" s="48"/>
      <x:c r="W216" s="48"/>
      <x:c r="X216" s="48"/>
      <x:c r="Y216" s="48"/>
      <x:c r="Z216" s="49"/>
      <x:c r="AA216" s="43"/>
      <x:c r="AB216" s="43"/>
      <x:c r="AC216" s="43"/>
      <x:c r="AD216" s="43"/>
      <x:c r="AE216" s="43"/>
      <x:c r="AF216" s="87" t="str">
        <x:f>IF(OR(H216="",I216="",I216&lt;H216),"",(I216-H216)*1440)</x:f>
      </x:c>
      <x:c r="AG216" s="87" t="str">
        <x:f>IF(OR(I216="",M216="",M216&lt;I216),"",(M216-I216)*1440)</x:f>
      </x:c>
      <x:c r="AH216" s="87" t="str">
        <x:f>IF(OR(M216="",N216="",N216&lt;M216),"",(N216-M216)*1440)</x:f>
      </x:c>
      <x:c r="AI216" s="87" t="str">
        <x:f>IF(OR(H216="",N216="",N216&lt;H216),"",(N216-H216)*1440)</x:f>
      </x:c>
      <x:c r="AJ216" s="87" t="str">
        <x:f>IF(OR(I216="",N216="",N216&lt;I216),"",(N216-I216)*1440)</x:f>
      </x:c>
      <x:c r="AK216" s="87" t="str">
        <x:f>IF(OR(N216="",O216="",O216&lt;N216),"",(O216-N216)*1440)</x:f>
      </x:c>
      <x:c r="AL216" s="87" t="str">
        <x:f>IF(OR(O216="",P216="",P216&lt;O216),"",(P216-O216)*1440)</x:f>
      </x:c>
      <x:c r="AM216" s="87" t="str">
        <x:f>IF(OR(Q216="",R216="",R216&lt;Q216),"",(R216-Q216)*1440)</x:f>
      </x:c>
      <x:c r="AN216" s="87" t="str">
        <x:f>IF(OR(S216="",T216="",T216&lt;S216),"",(T216-S216)*1440)</x:f>
      </x:c>
      <x:c r="AO216" s="87" t="str">
        <x:f>IF(OR(U216="",V216=""),"",V216-U216)</x:f>
      </x:c>
      <x:c r="AP216" s="63" t="str">
        <x:f>IF(A216="","",IF(OR(B216="",H216="",N216=""),"Incompleto",IF(N216&lt;H216,"Revisar",IF(OR(G216="",G216="Não observado"),"Qualidade E0 ausente",IF(OR(G216="Sensor",G216="Marcação física"),"Válido — E0 observado",IF(G216="Cálculo","Válido — E0 calculado","Válido — E0 estimado"))))))</x:f>
      </x:c>
      <x:c r="AQ216" s="63" t="str">
        <x:f>IF(A216="","",IF(COUNTA(H216:T216)&lt;13,"Incompleta",IF(OR(I216&lt;H216,J216&lt;I216,K216&lt;J216,L216&lt;K216,M216&lt;L216,N216&lt;M216,O216&lt;N216,P216&lt;O216,Q216&lt;P216,R216&lt;Q216,S216&lt;R216,T216&lt;S216),"Revisar","Completa")))</x:f>
      </x:c>
      <x:c r="AR216" s="87" t="str">
        <x:f>IF(OR(V216="",W216="",Y216=""),"",Y216-(V216-W216))</x:f>
      </x:c>
      <x:c r="AS216" s="63" t="str">
        <x:f>IF(A216="","",IF(AND(E216&lt;&gt;"",F216&lt;&gt;"",G216&lt;&gt;"",Z216&lt;&gt;"",AA216&lt;&gt;"",AB216&lt;&gt;"",AC216&lt;&gt;""),"Completa","Incompleta"))</x:f>
      </x:c>
      <x:c r="AT216" s="63" t="str">
        <x:f>IF(A216="","",IF(COUNTIF($A$11:$A$410,A216)&gt;1,"ID duplicado",IF(AND(AR216&lt;&gt;"",ABS(AR216)&gt;0.01),"Revisar balanço",IF(AND(W216&lt;&gt;"",V216&lt;&gt;"",W216&gt;V216),"Retirada &gt; estoque",IF(AND(U216&lt;&gt;"",U216&lt;'Cenário Base'!$D$8*'Cenário Base'!$D$74),"E0 abaixo do gatilho",IF(AND(V216&lt;&gt;"",V216&gt;XLOOKUP(B216,$A$414:$A$418,$B$414:$B$418)),"Excedeu capacidade","Sem alerta"))))))</x:f>
      </x:c>
    </x:row>
    <x:row r="217">
      <x:c r="A217" s="43"/>
      <x:c r="B217" s="43"/>
      <x:c r="C217" s="43"/>
      <x:c r="D217" s="43"/>
      <x:c r="E217" s="43"/>
      <x:c r="F217" s="43"/>
      <x:c r="G217" s="43"/>
      <x:c r="H217" s="120"/>
      <x:c r="I217" s="120"/>
      <x:c r="J217" s="120"/>
      <x:c r="K217" s="120"/>
      <x:c r="L217" s="120"/>
      <x:c r="M217" s="120"/>
      <x:c r="N217" s="120"/>
      <x:c r="O217" s="120"/>
      <x:c r="P217" s="120"/>
      <x:c r="Q217" s="120"/>
      <x:c r="R217" s="120"/>
      <x:c r="S217" s="120"/>
      <x:c r="T217" s="120"/>
      <x:c r="U217" s="48"/>
      <x:c r="V217" s="48"/>
      <x:c r="W217" s="48"/>
      <x:c r="X217" s="48"/>
      <x:c r="Y217" s="48"/>
      <x:c r="Z217" s="49"/>
      <x:c r="AA217" s="43"/>
      <x:c r="AB217" s="43"/>
      <x:c r="AC217" s="43"/>
      <x:c r="AD217" s="43"/>
      <x:c r="AE217" s="43"/>
      <x:c r="AF217" s="87" t="str">
        <x:f>IF(OR(H217="",I217="",I217&lt;H217),"",(I217-H217)*1440)</x:f>
      </x:c>
      <x:c r="AG217" s="87" t="str">
        <x:f>IF(OR(I217="",M217="",M217&lt;I217),"",(M217-I217)*1440)</x:f>
      </x:c>
      <x:c r="AH217" s="87" t="str">
        <x:f>IF(OR(M217="",N217="",N217&lt;M217),"",(N217-M217)*1440)</x:f>
      </x:c>
      <x:c r="AI217" s="87" t="str">
        <x:f>IF(OR(H217="",N217="",N217&lt;H217),"",(N217-H217)*1440)</x:f>
      </x:c>
      <x:c r="AJ217" s="87" t="str">
        <x:f>IF(OR(I217="",N217="",N217&lt;I217),"",(N217-I217)*1440)</x:f>
      </x:c>
      <x:c r="AK217" s="87" t="str">
        <x:f>IF(OR(N217="",O217="",O217&lt;N217),"",(O217-N217)*1440)</x:f>
      </x:c>
      <x:c r="AL217" s="87" t="str">
        <x:f>IF(OR(O217="",P217="",P217&lt;O217),"",(P217-O217)*1440)</x:f>
      </x:c>
      <x:c r="AM217" s="87" t="str">
        <x:f>IF(OR(Q217="",R217="",R217&lt;Q217),"",(R217-Q217)*1440)</x:f>
      </x:c>
      <x:c r="AN217" s="87" t="str">
        <x:f>IF(OR(S217="",T217="",T217&lt;S217),"",(T217-S217)*1440)</x:f>
      </x:c>
      <x:c r="AO217" s="87" t="str">
        <x:f>IF(OR(U217="",V217=""),"",V217-U217)</x:f>
      </x:c>
      <x:c r="AP217" s="63" t="str">
        <x:f>IF(A217="","",IF(OR(B217="",H217="",N217=""),"Incompleto",IF(N217&lt;H217,"Revisar",IF(OR(G217="",G217="Não observado"),"Qualidade E0 ausente",IF(OR(G217="Sensor",G217="Marcação física"),"Válido — E0 observado",IF(G217="Cálculo","Válido — E0 calculado","Válido — E0 estimado"))))))</x:f>
      </x:c>
      <x:c r="AQ217" s="63" t="str">
        <x:f>IF(A217="","",IF(COUNTA(H217:T217)&lt;13,"Incompleta",IF(OR(I217&lt;H217,J217&lt;I217,K217&lt;J217,L217&lt;K217,M217&lt;L217,N217&lt;M217,O217&lt;N217,P217&lt;O217,Q217&lt;P217,R217&lt;Q217,S217&lt;R217,T217&lt;S217),"Revisar","Completa")))</x:f>
      </x:c>
      <x:c r="AR217" s="87" t="str">
        <x:f>IF(OR(V217="",W217="",Y217=""),"",Y217-(V217-W217))</x:f>
      </x:c>
      <x:c r="AS217" s="63" t="str">
        <x:f>IF(A217="","",IF(AND(E217&lt;&gt;"",F217&lt;&gt;"",G217&lt;&gt;"",Z217&lt;&gt;"",AA217&lt;&gt;"",AB217&lt;&gt;"",AC217&lt;&gt;""),"Completa","Incompleta"))</x:f>
      </x:c>
      <x:c r="AT217" s="63" t="str">
        <x:f>IF(A217="","",IF(COUNTIF($A$11:$A$410,A217)&gt;1,"ID duplicado",IF(AND(AR217&lt;&gt;"",ABS(AR217)&gt;0.01),"Revisar balanço",IF(AND(W217&lt;&gt;"",V217&lt;&gt;"",W217&gt;V217),"Retirada &gt; estoque",IF(AND(U217&lt;&gt;"",U217&lt;'Cenário Base'!$D$8*'Cenário Base'!$D$74),"E0 abaixo do gatilho",IF(AND(V217&lt;&gt;"",V217&gt;XLOOKUP(B217,$A$414:$A$418,$B$414:$B$418)),"Excedeu capacidade","Sem alerta"))))))</x:f>
      </x:c>
    </x:row>
    <x:row r="218">
      <x:c r="A218" s="43"/>
      <x:c r="B218" s="43"/>
      <x:c r="C218" s="43"/>
      <x:c r="D218" s="43"/>
      <x:c r="E218" s="43"/>
      <x:c r="F218" s="43"/>
      <x:c r="G218" s="43"/>
      <x:c r="H218" s="120"/>
      <x:c r="I218" s="120"/>
      <x:c r="J218" s="120"/>
      <x:c r="K218" s="120"/>
      <x:c r="L218" s="120"/>
      <x:c r="M218" s="120"/>
      <x:c r="N218" s="120"/>
      <x:c r="O218" s="120"/>
      <x:c r="P218" s="120"/>
      <x:c r="Q218" s="120"/>
      <x:c r="R218" s="120"/>
      <x:c r="S218" s="120"/>
      <x:c r="T218" s="120"/>
      <x:c r="U218" s="48"/>
      <x:c r="V218" s="48"/>
      <x:c r="W218" s="48"/>
      <x:c r="X218" s="48"/>
      <x:c r="Y218" s="48"/>
      <x:c r="Z218" s="49"/>
      <x:c r="AA218" s="43"/>
      <x:c r="AB218" s="43"/>
      <x:c r="AC218" s="43"/>
      <x:c r="AD218" s="43"/>
      <x:c r="AE218" s="43"/>
      <x:c r="AF218" s="87" t="str">
        <x:f>IF(OR(H218="",I218="",I218&lt;H218),"",(I218-H218)*1440)</x:f>
      </x:c>
      <x:c r="AG218" s="87" t="str">
        <x:f>IF(OR(I218="",M218="",M218&lt;I218),"",(M218-I218)*1440)</x:f>
      </x:c>
      <x:c r="AH218" s="87" t="str">
        <x:f>IF(OR(M218="",N218="",N218&lt;M218),"",(N218-M218)*1440)</x:f>
      </x:c>
      <x:c r="AI218" s="87" t="str">
        <x:f>IF(OR(H218="",N218="",N218&lt;H218),"",(N218-H218)*1440)</x:f>
      </x:c>
      <x:c r="AJ218" s="87" t="str">
        <x:f>IF(OR(I218="",N218="",N218&lt;I218),"",(N218-I218)*1440)</x:f>
      </x:c>
      <x:c r="AK218" s="87" t="str">
        <x:f>IF(OR(N218="",O218="",O218&lt;N218),"",(O218-N218)*1440)</x:f>
      </x:c>
      <x:c r="AL218" s="87" t="str">
        <x:f>IF(OR(O218="",P218="",P218&lt;O218),"",(P218-O218)*1440)</x:f>
      </x:c>
      <x:c r="AM218" s="87" t="str">
        <x:f>IF(OR(Q218="",R218="",R218&lt;Q218),"",(R218-Q218)*1440)</x:f>
      </x:c>
      <x:c r="AN218" s="87" t="str">
        <x:f>IF(OR(S218="",T218="",T218&lt;S218),"",(T218-S218)*1440)</x:f>
      </x:c>
      <x:c r="AO218" s="87" t="str">
        <x:f>IF(OR(U218="",V218=""),"",V218-U218)</x:f>
      </x:c>
      <x:c r="AP218" s="63" t="str">
        <x:f>IF(A218="","",IF(OR(B218="",H218="",N218=""),"Incompleto",IF(N218&lt;H218,"Revisar",IF(OR(G218="",G218="Não observado"),"Qualidade E0 ausente",IF(OR(G218="Sensor",G218="Marcação física"),"Válido — E0 observado",IF(G218="Cálculo","Válido — E0 calculado","Válido — E0 estimado"))))))</x:f>
      </x:c>
      <x:c r="AQ218" s="63" t="str">
        <x:f>IF(A218="","",IF(COUNTA(H218:T218)&lt;13,"Incompleta",IF(OR(I218&lt;H218,J218&lt;I218,K218&lt;J218,L218&lt;K218,M218&lt;L218,N218&lt;M218,O218&lt;N218,P218&lt;O218,Q218&lt;P218,R218&lt;Q218,S218&lt;R218,T218&lt;S218),"Revisar","Completa")))</x:f>
      </x:c>
      <x:c r="AR218" s="87" t="str">
        <x:f>IF(OR(V218="",W218="",Y218=""),"",Y218-(V218-W218))</x:f>
      </x:c>
      <x:c r="AS218" s="63" t="str">
        <x:f>IF(A218="","",IF(AND(E218&lt;&gt;"",F218&lt;&gt;"",G218&lt;&gt;"",Z218&lt;&gt;"",AA218&lt;&gt;"",AB218&lt;&gt;"",AC218&lt;&gt;""),"Completa","Incompleta"))</x:f>
      </x:c>
      <x:c r="AT218" s="63" t="str">
        <x:f>IF(A218="","",IF(COUNTIF($A$11:$A$410,A218)&gt;1,"ID duplicado",IF(AND(AR218&lt;&gt;"",ABS(AR218)&gt;0.01),"Revisar balanço",IF(AND(W218&lt;&gt;"",V218&lt;&gt;"",W218&gt;V218),"Retirada &gt; estoque",IF(AND(U218&lt;&gt;"",U218&lt;'Cenário Base'!$D$8*'Cenário Base'!$D$74),"E0 abaixo do gatilho",IF(AND(V218&lt;&gt;"",V218&gt;XLOOKUP(B218,$A$414:$A$418,$B$414:$B$418)),"Excedeu capacidade","Sem alerta"))))))</x:f>
      </x:c>
    </x:row>
    <x:row r="219">
      <x:c r="A219" s="43"/>
      <x:c r="B219" s="43"/>
      <x:c r="C219" s="43"/>
      <x:c r="D219" s="43"/>
      <x:c r="E219" s="43"/>
      <x:c r="F219" s="43"/>
      <x:c r="G219" s="43"/>
      <x:c r="H219" s="120"/>
      <x:c r="I219" s="120"/>
      <x:c r="J219" s="120"/>
      <x:c r="K219" s="120"/>
      <x:c r="L219" s="120"/>
      <x:c r="M219" s="120"/>
      <x:c r="N219" s="120"/>
      <x:c r="O219" s="120"/>
      <x:c r="P219" s="120"/>
      <x:c r="Q219" s="120"/>
      <x:c r="R219" s="120"/>
      <x:c r="S219" s="120"/>
      <x:c r="T219" s="120"/>
      <x:c r="U219" s="48"/>
      <x:c r="V219" s="48"/>
      <x:c r="W219" s="48"/>
      <x:c r="X219" s="48"/>
      <x:c r="Y219" s="48"/>
      <x:c r="Z219" s="49"/>
      <x:c r="AA219" s="43"/>
      <x:c r="AB219" s="43"/>
      <x:c r="AC219" s="43"/>
      <x:c r="AD219" s="43"/>
      <x:c r="AE219" s="43"/>
      <x:c r="AF219" s="87" t="str">
        <x:f>IF(OR(H219="",I219="",I219&lt;H219),"",(I219-H219)*1440)</x:f>
      </x:c>
      <x:c r="AG219" s="87" t="str">
        <x:f>IF(OR(I219="",M219="",M219&lt;I219),"",(M219-I219)*1440)</x:f>
      </x:c>
      <x:c r="AH219" s="87" t="str">
        <x:f>IF(OR(M219="",N219="",N219&lt;M219),"",(N219-M219)*1440)</x:f>
      </x:c>
      <x:c r="AI219" s="87" t="str">
        <x:f>IF(OR(H219="",N219="",N219&lt;H219),"",(N219-H219)*1440)</x:f>
      </x:c>
      <x:c r="AJ219" s="87" t="str">
        <x:f>IF(OR(I219="",N219="",N219&lt;I219),"",(N219-I219)*1440)</x:f>
      </x:c>
      <x:c r="AK219" s="87" t="str">
        <x:f>IF(OR(N219="",O219="",O219&lt;N219),"",(O219-N219)*1440)</x:f>
      </x:c>
      <x:c r="AL219" s="87" t="str">
        <x:f>IF(OR(O219="",P219="",P219&lt;O219),"",(P219-O219)*1440)</x:f>
      </x:c>
      <x:c r="AM219" s="87" t="str">
        <x:f>IF(OR(Q219="",R219="",R219&lt;Q219),"",(R219-Q219)*1440)</x:f>
      </x:c>
      <x:c r="AN219" s="87" t="str">
        <x:f>IF(OR(S219="",T219="",T219&lt;S219),"",(T219-S219)*1440)</x:f>
      </x:c>
      <x:c r="AO219" s="87" t="str">
        <x:f>IF(OR(U219="",V219=""),"",V219-U219)</x:f>
      </x:c>
      <x:c r="AP219" s="63" t="str">
        <x:f>IF(A219="","",IF(OR(B219="",H219="",N219=""),"Incompleto",IF(N219&lt;H219,"Revisar",IF(OR(G219="",G219="Não observado"),"Qualidade E0 ausente",IF(OR(G219="Sensor",G219="Marcação física"),"Válido — E0 observado",IF(G219="Cálculo","Válido — E0 calculado","Válido — E0 estimado"))))))</x:f>
      </x:c>
      <x:c r="AQ219" s="63" t="str">
        <x:f>IF(A219="","",IF(COUNTA(H219:T219)&lt;13,"Incompleta",IF(OR(I219&lt;H219,J219&lt;I219,K219&lt;J219,L219&lt;K219,M219&lt;L219,N219&lt;M219,O219&lt;N219,P219&lt;O219,Q219&lt;P219,R219&lt;Q219,S219&lt;R219,T219&lt;S219),"Revisar","Completa")))</x:f>
      </x:c>
      <x:c r="AR219" s="87" t="str">
        <x:f>IF(OR(V219="",W219="",Y219=""),"",Y219-(V219-W219))</x:f>
      </x:c>
      <x:c r="AS219" s="63" t="str">
        <x:f>IF(A219="","",IF(AND(E219&lt;&gt;"",F219&lt;&gt;"",G219&lt;&gt;"",Z219&lt;&gt;"",AA219&lt;&gt;"",AB219&lt;&gt;"",AC219&lt;&gt;""),"Completa","Incompleta"))</x:f>
      </x:c>
      <x:c r="AT219" s="63" t="str">
        <x:f>IF(A219="","",IF(COUNTIF($A$11:$A$410,A219)&gt;1,"ID duplicado",IF(AND(AR219&lt;&gt;"",ABS(AR219)&gt;0.01),"Revisar balanço",IF(AND(W219&lt;&gt;"",V219&lt;&gt;"",W219&gt;V219),"Retirada &gt; estoque",IF(AND(U219&lt;&gt;"",U219&lt;'Cenário Base'!$D$8*'Cenário Base'!$D$74),"E0 abaixo do gatilho",IF(AND(V219&lt;&gt;"",V219&gt;XLOOKUP(B219,$A$414:$A$418,$B$414:$B$418)),"Excedeu capacidade","Sem alerta"))))))</x:f>
      </x:c>
    </x:row>
    <x:row r="220">
      <x:c r="A220" s="43"/>
      <x:c r="B220" s="43"/>
      <x:c r="C220" s="43"/>
      <x:c r="D220" s="43"/>
      <x:c r="E220" s="43"/>
      <x:c r="F220" s="43"/>
      <x:c r="G220" s="43"/>
      <x:c r="H220" s="120"/>
      <x:c r="I220" s="120"/>
      <x:c r="J220" s="120"/>
      <x:c r="K220" s="120"/>
      <x:c r="L220" s="120"/>
      <x:c r="M220" s="120"/>
      <x:c r="N220" s="120"/>
      <x:c r="O220" s="120"/>
      <x:c r="P220" s="120"/>
      <x:c r="Q220" s="120"/>
      <x:c r="R220" s="120"/>
      <x:c r="S220" s="120"/>
      <x:c r="T220" s="120"/>
      <x:c r="U220" s="48"/>
      <x:c r="V220" s="48"/>
      <x:c r="W220" s="48"/>
      <x:c r="X220" s="48"/>
      <x:c r="Y220" s="48"/>
      <x:c r="Z220" s="49"/>
      <x:c r="AA220" s="43"/>
      <x:c r="AB220" s="43"/>
      <x:c r="AC220" s="43"/>
      <x:c r="AD220" s="43"/>
      <x:c r="AE220" s="43"/>
      <x:c r="AF220" s="87" t="str">
        <x:f>IF(OR(H220="",I220="",I220&lt;H220),"",(I220-H220)*1440)</x:f>
      </x:c>
      <x:c r="AG220" s="87" t="str">
        <x:f>IF(OR(I220="",M220="",M220&lt;I220),"",(M220-I220)*1440)</x:f>
      </x:c>
      <x:c r="AH220" s="87" t="str">
        <x:f>IF(OR(M220="",N220="",N220&lt;M220),"",(N220-M220)*1440)</x:f>
      </x:c>
      <x:c r="AI220" s="87" t="str">
        <x:f>IF(OR(H220="",N220="",N220&lt;H220),"",(N220-H220)*1440)</x:f>
      </x:c>
      <x:c r="AJ220" s="87" t="str">
        <x:f>IF(OR(I220="",N220="",N220&lt;I220),"",(N220-I220)*1440)</x:f>
      </x:c>
      <x:c r="AK220" s="87" t="str">
        <x:f>IF(OR(N220="",O220="",O220&lt;N220),"",(O220-N220)*1440)</x:f>
      </x:c>
      <x:c r="AL220" s="87" t="str">
        <x:f>IF(OR(O220="",P220="",P220&lt;O220),"",(P220-O220)*1440)</x:f>
      </x:c>
      <x:c r="AM220" s="87" t="str">
        <x:f>IF(OR(Q220="",R220="",R220&lt;Q220),"",(R220-Q220)*1440)</x:f>
      </x:c>
      <x:c r="AN220" s="87" t="str">
        <x:f>IF(OR(S220="",T220="",T220&lt;S220),"",(T220-S220)*1440)</x:f>
      </x:c>
      <x:c r="AO220" s="87" t="str">
        <x:f>IF(OR(U220="",V220=""),"",V220-U220)</x:f>
      </x:c>
      <x:c r="AP220" s="63" t="str">
        <x:f>IF(A220="","",IF(OR(B220="",H220="",N220=""),"Incompleto",IF(N220&lt;H220,"Revisar",IF(OR(G220="",G220="Não observado"),"Qualidade E0 ausente",IF(OR(G220="Sensor",G220="Marcação física"),"Válido — E0 observado",IF(G220="Cálculo","Válido — E0 calculado","Válido — E0 estimado"))))))</x:f>
      </x:c>
      <x:c r="AQ220" s="63" t="str">
        <x:f>IF(A220="","",IF(COUNTA(H220:T220)&lt;13,"Incompleta",IF(OR(I220&lt;H220,J220&lt;I220,K220&lt;J220,L220&lt;K220,M220&lt;L220,N220&lt;M220,O220&lt;N220,P220&lt;O220,Q220&lt;P220,R220&lt;Q220,S220&lt;R220,T220&lt;S220),"Revisar","Completa")))</x:f>
      </x:c>
      <x:c r="AR220" s="87" t="str">
        <x:f>IF(OR(V220="",W220="",Y220=""),"",Y220-(V220-W220))</x:f>
      </x:c>
      <x:c r="AS220" s="63" t="str">
        <x:f>IF(A220="","",IF(AND(E220&lt;&gt;"",F220&lt;&gt;"",G220&lt;&gt;"",Z220&lt;&gt;"",AA220&lt;&gt;"",AB220&lt;&gt;"",AC220&lt;&gt;""),"Completa","Incompleta"))</x:f>
      </x:c>
      <x:c r="AT220" s="63" t="str">
        <x:f>IF(A220="","",IF(COUNTIF($A$11:$A$410,A220)&gt;1,"ID duplicado",IF(AND(AR220&lt;&gt;"",ABS(AR220)&gt;0.01),"Revisar balanço",IF(AND(W220&lt;&gt;"",V220&lt;&gt;"",W220&gt;V220),"Retirada &gt; estoque",IF(AND(U220&lt;&gt;"",U220&lt;'Cenário Base'!$D$8*'Cenário Base'!$D$74),"E0 abaixo do gatilho",IF(AND(V220&lt;&gt;"",V220&gt;XLOOKUP(B220,$A$414:$A$418,$B$414:$B$418)),"Excedeu capacidade","Sem alerta"))))))</x:f>
      </x:c>
    </x:row>
    <x:row r="221">
      <x:c r="A221" s="43"/>
      <x:c r="B221" s="43"/>
      <x:c r="C221" s="43"/>
      <x:c r="D221" s="43"/>
      <x:c r="E221" s="43"/>
      <x:c r="F221" s="43"/>
      <x:c r="G221" s="43"/>
      <x:c r="H221" s="120"/>
      <x:c r="I221" s="120"/>
      <x:c r="J221" s="120"/>
      <x:c r="K221" s="120"/>
      <x:c r="L221" s="120"/>
      <x:c r="M221" s="120"/>
      <x:c r="N221" s="120"/>
      <x:c r="O221" s="120"/>
      <x:c r="P221" s="120"/>
      <x:c r="Q221" s="120"/>
      <x:c r="R221" s="120"/>
      <x:c r="S221" s="120"/>
      <x:c r="T221" s="120"/>
      <x:c r="U221" s="48"/>
      <x:c r="V221" s="48"/>
      <x:c r="W221" s="48"/>
      <x:c r="X221" s="48"/>
      <x:c r="Y221" s="48"/>
      <x:c r="Z221" s="49"/>
      <x:c r="AA221" s="43"/>
      <x:c r="AB221" s="43"/>
      <x:c r="AC221" s="43"/>
      <x:c r="AD221" s="43"/>
      <x:c r="AE221" s="43"/>
      <x:c r="AF221" s="87" t="str">
        <x:f>IF(OR(H221="",I221="",I221&lt;H221),"",(I221-H221)*1440)</x:f>
      </x:c>
      <x:c r="AG221" s="87" t="str">
        <x:f>IF(OR(I221="",M221="",M221&lt;I221),"",(M221-I221)*1440)</x:f>
      </x:c>
      <x:c r="AH221" s="87" t="str">
        <x:f>IF(OR(M221="",N221="",N221&lt;M221),"",(N221-M221)*1440)</x:f>
      </x:c>
      <x:c r="AI221" s="87" t="str">
        <x:f>IF(OR(H221="",N221="",N221&lt;H221),"",(N221-H221)*1440)</x:f>
      </x:c>
      <x:c r="AJ221" s="87" t="str">
        <x:f>IF(OR(I221="",N221="",N221&lt;I221),"",(N221-I221)*1440)</x:f>
      </x:c>
      <x:c r="AK221" s="87" t="str">
        <x:f>IF(OR(N221="",O221="",O221&lt;N221),"",(O221-N221)*1440)</x:f>
      </x:c>
      <x:c r="AL221" s="87" t="str">
        <x:f>IF(OR(O221="",P221="",P221&lt;O221),"",(P221-O221)*1440)</x:f>
      </x:c>
      <x:c r="AM221" s="87" t="str">
        <x:f>IF(OR(Q221="",R221="",R221&lt;Q221),"",(R221-Q221)*1440)</x:f>
      </x:c>
      <x:c r="AN221" s="87" t="str">
        <x:f>IF(OR(S221="",T221="",T221&lt;S221),"",(T221-S221)*1440)</x:f>
      </x:c>
      <x:c r="AO221" s="87" t="str">
        <x:f>IF(OR(U221="",V221=""),"",V221-U221)</x:f>
      </x:c>
      <x:c r="AP221" s="63" t="str">
        <x:f>IF(A221="","",IF(OR(B221="",H221="",N221=""),"Incompleto",IF(N221&lt;H221,"Revisar",IF(OR(G221="",G221="Não observado"),"Qualidade E0 ausente",IF(OR(G221="Sensor",G221="Marcação física"),"Válido — E0 observado",IF(G221="Cálculo","Válido — E0 calculado","Válido — E0 estimado"))))))</x:f>
      </x:c>
      <x:c r="AQ221" s="63" t="str">
        <x:f>IF(A221="","",IF(COUNTA(H221:T221)&lt;13,"Incompleta",IF(OR(I221&lt;H221,J221&lt;I221,K221&lt;J221,L221&lt;K221,M221&lt;L221,N221&lt;M221,O221&lt;N221,P221&lt;O221,Q221&lt;P221,R221&lt;Q221,S221&lt;R221,T221&lt;S221),"Revisar","Completa")))</x:f>
      </x:c>
      <x:c r="AR221" s="87" t="str">
        <x:f>IF(OR(V221="",W221="",Y221=""),"",Y221-(V221-W221))</x:f>
      </x:c>
      <x:c r="AS221" s="63" t="str">
        <x:f>IF(A221="","",IF(AND(E221&lt;&gt;"",F221&lt;&gt;"",G221&lt;&gt;"",Z221&lt;&gt;"",AA221&lt;&gt;"",AB221&lt;&gt;"",AC221&lt;&gt;""),"Completa","Incompleta"))</x:f>
      </x:c>
      <x:c r="AT221" s="63" t="str">
        <x:f>IF(A221="","",IF(COUNTIF($A$11:$A$410,A221)&gt;1,"ID duplicado",IF(AND(AR221&lt;&gt;"",ABS(AR221)&gt;0.01),"Revisar balanço",IF(AND(W221&lt;&gt;"",V221&lt;&gt;"",W221&gt;V221),"Retirada &gt; estoque",IF(AND(U221&lt;&gt;"",U221&lt;'Cenário Base'!$D$8*'Cenário Base'!$D$74),"E0 abaixo do gatilho",IF(AND(V221&lt;&gt;"",V221&gt;XLOOKUP(B221,$A$414:$A$418,$B$414:$B$418)),"Excedeu capacidade","Sem alerta"))))))</x:f>
      </x:c>
    </x:row>
    <x:row r="222">
      <x:c r="A222" s="43"/>
      <x:c r="B222" s="43"/>
      <x:c r="C222" s="43"/>
      <x:c r="D222" s="43"/>
      <x:c r="E222" s="43"/>
      <x:c r="F222" s="43"/>
      <x:c r="G222" s="43"/>
      <x:c r="H222" s="120"/>
      <x:c r="I222" s="120"/>
      <x:c r="J222" s="120"/>
      <x:c r="K222" s="120"/>
      <x:c r="L222" s="120"/>
      <x:c r="M222" s="120"/>
      <x:c r="N222" s="120"/>
      <x:c r="O222" s="120"/>
      <x:c r="P222" s="120"/>
      <x:c r="Q222" s="120"/>
      <x:c r="R222" s="120"/>
      <x:c r="S222" s="120"/>
      <x:c r="T222" s="120"/>
      <x:c r="U222" s="48"/>
      <x:c r="V222" s="48"/>
      <x:c r="W222" s="48"/>
      <x:c r="X222" s="48"/>
      <x:c r="Y222" s="48"/>
      <x:c r="Z222" s="49"/>
      <x:c r="AA222" s="43"/>
      <x:c r="AB222" s="43"/>
      <x:c r="AC222" s="43"/>
      <x:c r="AD222" s="43"/>
      <x:c r="AE222" s="43"/>
      <x:c r="AF222" s="87" t="str">
        <x:f>IF(OR(H222="",I222="",I222&lt;H222),"",(I222-H222)*1440)</x:f>
      </x:c>
      <x:c r="AG222" s="87" t="str">
        <x:f>IF(OR(I222="",M222="",M222&lt;I222),"",(M222-I222)*1440)</x:f>
      </x:c>
      <x:c r="AH222" s="87" t="str">
        <x:f>IF(OR(M222="",N222="",N222&lt;M222),"",(N222-M222)*1440)</x:f>
      </x:c>
      <x:c r="AI222" s="87" t="str">
        <x:f>IF(OR(H222="",N222="",N222&lt;H222),"",(N222-H222)*1440)</x:f>
      </x:c>
      <x:c r="AJ222" s="87" t="str">
        <x:f>IF(OR(I222="",N222="",N222&lt;I222),"",(N222-I222)*1440)</x:f>
      </x:c>
      <x:c r="AK222" s="87" t="str">
        <x:f>IF(OR(N222="",O222="",O222&lt;N222),"",(O222-N222)*1440)</x:f>
      </x:c>
      <x:c r="AL222" s="87" t="str">
        <x:f>IF(OR(O222="",P222="",P222&lt;O222),"",(P222-O222)*1440)</x:f>
      </x:c>
      <x:c r="AM222" s="87" t="str">
        <x:f>IF(OR(Q222="",R222="",R222&lt;Q222),"",(R222-Q222)*1440)</x:f>
      </x:c>
      <x:c r="AN222" s="87" t="str">
        <x:f>IF(OR(S222="",T222="",T222&lt;S222),"",(T222-S222)*1440)</x:f>
      </x:c>
      <x:c r="AO222" s="87" t="str">
        <x:f>IF(OR(U222="",V222=""),"",V222-U222)</x:f>
      </x:c>
      <x:c r="AP222" s="63" t="str">
        <x:f>IF(A222="","",IF(OR(B222="",H222="",N222=""),"Incompleto",IF(N222&lt;H222,"Revisar",IF(OR(G222="",G222="Não observado"),"Qualidade E0 ausente",IF(OR(G222="Sensor",G222="Marcação física"),"Válido — E0 observado",IF(G222="Cálculo","Válido — E0 calculado","Válido — E0 estimado"))))))</x:f>
      </x:c>
      <x:c r="AQ222" s="63" t="str">
        <x:f>IF(A222="","",IF(COUNTA(H222:T222)&lt;13,"Incompleta",IF(OR(I222&lt;H222,J222&lt;I222,K222&lt;J222,L222&lt;K222,M222&lt;L222,N222&lt;M222,O222&lt;N222,P222&lt;O222,Q222&lt;P222,R222&lt;Q222,S222&lt;R222,T222&lt;S222),"Revisar","Completa")))</x:f>
      </x:c>
      <x:c r="AR222" s="87" t="str">
        <x:f>IF(OR(V222="",W222="",Y222=""),"",Y222-(V222-W222))</x:f>
      </x:c>
      <x:c r="AS222" s="63" t="str">
        <x:f>IF(A222="","",IF(AND(E222&lt;&gt;"",F222&lt;&gt;"",G222&lt;&gt;"",Z222&lt;&gt;"",AA222&lt;&gt;"",AB222&lt;&gt;"",AC222&lt;&gt;""),"Completa","Incompleta"))</x:f>
      </x:c>
      <x:c r="AT222" s="63" t="str">
        <x:f>IF(A222="","",IF(COUNTIF($A$11:$A$410,A222)&gt;1,"ID duplicado",IF(AND(AR222&lt;&gt;"",ABS(AR222)&gt;0.01),"Revisar balanço",IF(AND(W222&lt;&gt;"",V222&lt;&gt;"",W222&gt;V222),"Retirada &gt; estoque",IF(AND(U222&lt;&gt;"",U222&lt;'Cenário Base'!$D$8*'Cenário Base'!$D$74),"E0 abaixo do gatilho",IF(AND(V222&lt;&gt;"",V222&gt;XLOOKUP(B222,$A$414:$A$418,$B$414:$B$418)),"Excedeu capacidade","Sem alerta"))))))</x:f>
      </x:c>
    </x:row>
    <x:row r="223">
      <x:c r="A223" s="43"/>
      <x:c r="B223" s="43"/>
      <x:c r="C223" s="43"/>
      <x:c r="D223" s="43"/>
      <x:c r="E223" s="43"/>
      <x:c r="F223" s="43"/>
      <x:c r="G223" s="43"/>
      <x:c r="H223" s="120"/>
      <x:c r="I223" s="120"/>
      <x:c r="J223" s="120"/>
      <x:c r="K223" s="120"/>
      <x:c r="L223" s="120"/>
      <x:c r="M223" s="120"/>
      <x:c r="N223" s="120"/>
      <x:c r="O223" s="120"/>
      <x:c r="P223" s="120"/>
      <x:c r="Q223" s="120"/>
      <x:c r="R223" s="120"/>
      <x:c r="S223" s="120"/>
      <x:c r="T223" s="120"/>
      <x:c r="U223" s="48"/>
      <x:c r="V223" s="48"/>
      <x:c r="W223" s="48"/>
      <x:c r="X223" s="48"/>
      <x:c r="Y223" s="48"/>
      <x:c r="Z223" s="49"/>
      <x:c r="AA223" s="43"/>
      <x:c r="AB223" s="43"/>
      <x:c r="AC223" s="43"/>
      <x:c r="AD223" s="43"/>
      <x:c r="AE223" s="43"/>
      <x:c r="AF223" s="87" t="str">
        <x:f>IF(OR(H223="",I223="",I223&lt;H223),"",(I223-H223)*1440)</x:f>
      </x:c>
      <x:c r="AG223" s="87" t="str">
        <x:f>IF(OR(I223="",M223="",M223&lt;I223),"",(M223-I223)*1440)</x:f>
      </x:c>
      <x:c r="AH223" s="87" t="str">
        <x:f>IF(OR(M223="",N223="",N223&lt;M223),"",(N223-M223)*1440)</x:f>
      </x:c>
      <x:c r="AI223" s="87" t="str">
        <x:f>IF(OR(H223="",N223="",N223&lt;H223),"",(N223-H223)*1440)</x:f>
      </x:c>
      <x:c r="AJ223" s="87" t="str">
        <x:f>IF(OR(I223="",N223="",N223&lt;I223),"",(N223-I223)*1440)</x:f>
      </x:c>
      <x:c r="AK223" s="87" t="str">
        <x:f>IF(OR(N223="",O223="",O223&lt;N223),"",(O223-N223)*1440)</x:f>
      </x:c>
      <x:c r="AL223" s="87" t="str">
        <x:f>IF(OR(O223="",P223="",P223&lt;O223),"",(P223-O223)*1440)</x:f>
      </x:c>
      <x:c r="AM223" s="87" t="str">
        <x:f>IF(OR(Q223="",R223="",R223&lt;Q223),"",(R223-Q223)*1440)</x:f>
      </x:c>
      <x:c r="AN223" s="87" t="str">
        <x:f>IF(OR(S223="",T223="",T223&lt;S223),"",(T223-S223)*1440)</x:f>
      </x:c>
      <x:c r="AO223" s="87" t="str">
        <x:f>IF(OR(U223="",V223=""),"",V223-U223)</x:f>
      </x:c>
      <x:c r="AP223" s="63" t="str">
        <x:f>IF(A223="","",IF(OR(B223="",H223="",N223=""),"Incompleto",IF(N223&lt;H223,"Revisar",IF(OR(G223="",G223="Não observado"),"Qualidade E0 ausente",IF(OR(G223="Sensor",G223="Marcação física"),"Válido — E0 observado",IF(G223="Cálculo","Válido — E0 calculado","Válido — E0 estimado"))))))</x:f>
      </x:c>
      <x:c r="AQ223" s="63" t="str">
        <x:f>IF(A223="","",IF(COUNTA(H223:T223)&lt;13,"Incompleta",IF(OR(I223&lt;H223,J223&lt;I223,K223&lt;J223,L223&lt;K223,M223&lt;L223,N223&lt;M223,O223&lt;N223,P223&lt;O223,Q223&lt;P223,R223&lt;Q223,S223&lt;R223,T223&lt;S223),"Revisar","Completa")))</x:f>
      </x:c>
      <x:c r="AR223" s="87" t="str">
        <x:f>IF(OR(V223="",W223="",Y223=""),"",Y223-(V223-W223))</x:f>
      </x:c>
      <x:c r="AS223" s="63" t="str">
        <x:f>IF(A223="","",IF(AND(E223&lt;&gt;"",F223&lt;&gt;"",G223&lt;&gt;"",Z223&lt;&gt;"",AA223&lt;&gt;"",AB223&lt;&gt;"",AC223&lt;&gt;""),"Completa","Incompleta"))</x:f>
      </x:c>
      <x:c r="AT223" s="63" t="str">
        <x:f>IF(A223="","",IF(COUNTIF($A$11:$A$410,A223)&gt;1,"ID duplicado",IF(AND(AR223&lt;&gt;"",ABS(AR223)&gt;0.01),"Revisar balanço",IF(AND(W223&lt;&gt;"",V223&lt;&gt;"",W223&gt;V223),"Retirada &gt; estoque",IF(AND(U223&lt;&gt;"",U223&lt;'Cenário Base'!$D$8*'Cenário Base'!$D$74),"E0 abaixo do gatilho",IF(AND(V223&lt;&gt;"",V223&gt;XLOOKUP(B223,$A$414:$A$418,$B$414:$B$418)),"Excedeu capacidade","Sem alerta"))))))</x:f>
      </x:c>
    </x:row>
    <x:row r="224">
      <x:c r="A224" s="43"/>
      <x:c r="B224" s="43"/>
      <x:c r="C224" s="43"/>
      <x:c r="D224" s="43"/>
      <x:c r="E224" s="43"/>
      <x:c r="F224" s="43"/>
      <x:c r="G224" s="43"/>
      <x:c r="H224" s="120"/>
      <x:c r="I224" s="120"/>
      <x:c r="J224" s="120"/>
      <x:c r="K224" s="120"/>
      <x:c r="L224" s="120"/>
      <x:c r="M224" s="120"/>
      <x:c r="N224" s="120"/>
      <x:c r="O224" s="120"/>
      <x:c r="P224" s="120"/>
      <x:c r="Q224" s="120"/>
      <x:c r="R224" s="120"/>
      <x:c r="S224" s="120"/>
      <x:c r="T224" s="120"/>
      <x:c r="U224" s="48"/>
      <x:c r="V224" s="48"/>
      <x:c r="W224" s="48"/>
      <x:c r="X224" s="48"/>
      <x:c r="Y224" s="48"/>
      <x:c r="Z224" s="49"/>
      <x:c r="AA224" s="43"/>
      <x:c r="AB224" s="43"/>
      <x:c r="AC224" s="43"/>
      <x:c r="AD224" s="43"/>
      <x:c r="AE224" s="43"/>
      <x:c r="AF224" s="87" t="str">
        <x:f>IF(OR(H224="",I224="",I224&lt;H224),"",(I224-H224)*1440)</x:f>
      </x:c>
      <x:c r="AG224" s="87" t="str">
        <x:f>IF(OR(I224="",M224="",M224&lt;I224),"",(M224-I224)*1440)</x:f>
      </x:c>
      <x:c r="AH224" s="87" t="str">
        <x:f>IF(OR(M224="",N224="",N224&lt;M224),"",(N224-M224)*1440)</x:f>
      </x:c>
      <x:c r="AI224" s="87" t="str">
        <x:f>IF(OR(H224="",N224="",N224&lt;H224),"",(N224-H224)*1440)</x:f>
      </x:c>
      <x:c r="AJ224" s="87" t="str">
        <x:f>IF(OR(I224="",N224="",N224&lt;I224),"",(N224-I224)*1440)</x:f>
      </x:c>
      <x:c r="AK224" s="87" t="str">
        <x:f>IF(OR(N224="",O224="",O224&lt;N224),"",(O224-N224)*1440)</x:f>
      </x:c>
      <x:c r="AL224" s="87" t="str">
        <x:f>IF(OR(O224="",P224="",P224&lt;O224),"",(P224-O224)*1440)</x:f>
      </x:c>
      <x:c r="AM224" s="87" t="str">
        <x:f>IF(OR(Q224="",R224="",R224&lt;Q224),"",(R224-Q224)*1440)</x:f>
      </x:c>
      <x:c r="AN224" s="87" t="str">
        <x:f>IF(OR(S224="",T224="",T224&lt;S224),"",(T224-S224)*1440)</x:f>
      </x:c>
      <x:c r="AO224" s="87" t="str">
        <x:f>IF(OR(U224="",V224=""),"",V224-U224)</x:f>
      </x:c>
      <x:c r="AP224" s="63" t="str">
        <x:f>IF(A224="","",IF(OR(B224="",H224="",N224=""),"Incompleto",IF(N224&lt;H224,"Revisar",IF(OR(G224="",G224="Não observado"),"Qualidade E0 ausente",IF(OR(G224="Sensor",G224="Marcação física"),"Válido — E0 observado",IF(G224="Cálculo","Válido — E0 calculado","Válido — E0 estimado"))))))</x:f>
      </x:c>
      <x:c r="AQ224" s="63" t="str">
        <x:f>IF(A224="","",IF(COUNTA(H224:T224)&lt;13,"Incompleta",IF(OR(I224&lt;H224,J224&lt;I224,K224&lt;J224,L224&lt;K224,M224&lt;L224,N224&lt;M224,O224&lt;N224,P224&lt;O224,Q224&lt;P224,R224&lt;Q224,S224&lt;R224,T224&lt;S224),"Revisar","Completa")))</x:f>
      </x:c>
      <x:c r="AR224" s="87" t="str">
        <x:f>IF(OR(V224="",W224="",Y224=""),"",Y224-(V224-W224))</x:f>
      </x:c>
      <x:c r="AS224" s="63" t="str">
        <x:f>IF(A224="","",IF(AND(E224&lt;&gt;"",F224&lt;&gt;"",G224&lt;&gt;"",Z224&lt;&gt;"",AA224&lt;&gt;"",AB224&lt;&gt;"",AC224&lt;&gt;""),"Completa","Incompleta"))</x:f>
      </x:c>
      <x:c r="AT224" s="63" t="str">
        <x:f>IF(A224="","",IF(COUNTIF($A$11:$A$410,A224)&gt;1,"ID duplicado",IF(AND(AR224&lt;&gt;"",ABS(AR224)&gt;0.01),"Revisar balanço",IF(AND(W224&lt;&gt;"",V224&lt;&gt;"",W224&gt;V224),"Retirada &gt; estoque",IF(AND(U224&lt;&gt;"",U224&lt;'Cenário Base'!$D$8*'Cenário Base'!$D$74),"E0 abaixo do gatilho",IF(AND(V224&lt;&gt;"",V224&gt;XLOOKUP(B224,$A$414:$A$418,$B$414:$B$418)),"Excedeu capacidade","Sem alerta"))))))</x:f>
      </x:c>
    </x:row>
    <x:row r="225">
      <x:c r="A225" s="43"/>
      <x:c r="B225" s="43"/>
      <x:c r="C225" s="43"/>
      <x:c r="D225" s="43"/>
      <x:c r="E225" s="43"/>
      <x:c r="F225" s="43"/>
      <x:c r="G225" s="43"/>
      <x:c r="H225" s="120"/>
      <x:c r="I225" s="120"/>
      <x:c r="J225" s="120"/>
      <x:c r="K225" s="120"/>
      <x:c r="L225" s="120"/>
      <x:c r="M225" s="120"/>
      <x:c r="N225" s="120"/>
      <x:c r="O225" s="120"/>
      <x:c r="P225" s="120"/>
      <x:c r="Q225" s="120"/>
      <x:c r="R225" s="120"/>
      <x:c r="S225" s="120"/>
      <x:c r="T225" s="120"/>
      <x:c r="U225" s="48"/>
      <x:c r="V225" s="48"/>
      <x:c r="W225" s="48"/>
      <x:c r="X225" s="48"/>
      <x:c r="Y225" s="48"/>
      <x:c r="Z225" s="49"/>
      <x:c r="AA225" s="43"/>
      <x:c r="AB225" s="43"/>
      <x:c r="AC225" s="43"/>
      <x:c r="AD225" s="43"/>
      <x:c r="AE225" s="43"/>
      <x:c r="AF225" s="87" t="str">
        <x:f>IF(OR(H225="",I225="",I225&lt;H225),"",(I225-H225)*1440)</x:f>
      </x:c>
      <x:c r="AG225" s="87" t="str">
        <x:f>IF(OR(I225="",M225="",M225&lt;I225),"",(M225-I225)*1440)</x:f>
      </x:c>
      <x:c r="AH225" s="87" t="str">
        <x:f>IF(OR(M225="",N225="",N225&lt;M225),"",(N225-M225)*1440)</x:f>
      </x:c>
      <x:c r="AI225" s="87" t="str">
        <x:f>IF(OR(H225="",N225="",N225&lt;H225),"",(N225-H225)*1440)</x:f>
      </x:c>
      <x:c r="AJ225" s="87" t="str">
        <x:f>IF(OR(I225="",N225="",N225&lt;I225),"",(N225-I225)*1440)</x:f>
      </x:c>
      <x:c r="AK225" s="87" t="str">
        <x:f>IF(OR(N225="",O225="",O225&lt;N225),"",(O225-N225)*1440)</x:f>
      </x:c>
      <x:c r="AL225" s="87" t="str">
        <x:f>IF(OR(O225="",P225="",P225&lt;O225),"",(P225-O225)*1440)</x:f>
      </x:c>
      <x:c r="AM225" s="87" t="str">
        <x:f>IF(OR(Q225="",R225="",R225&lt;Q225),"",(R225-Q225)*1440)</x:f>
      </x:c>
      <x:c r="AN225" s="87" t="str">
        <x:f>IF(OR(S225="",T225="",T225&lt;S225),"",(T225-S225)*1440)</x:f>
      </x:c>
      <x:c r="AO225" s="87" t="str">
        <x:f>IF(OR(U225="",V225=""),"",V225-U225)</x:f>
      </x:c>
      <x:c r="AP225" s="63" t="str">
        <x:f>IF(A225="","",IF(OR(B225="",H225="",N225=""),"Incompleto",IF(N225&lt;H225,"Revisar",IF(OR(G225="",G225="Não observado"),"Qualidade E0 ausente",IF(OR(G225="Sensor",G225="Marcação física"),"Válido — E0 observado",IF(G225="Cálculo","Válido — E0 calculado","Válido — E0 estimado"))))))</x:f>
      </x:c>
      <x:c r="AQ225" s="63" t="str">
        <x:f>IF(A225="","",IF(COUNTA(H225:T225)&lt;13,"Incompleta",IF(OR(I225&lt;H225,J225&lt;I225,K225&lt;J225,L225&lt;K225,M225&lt;L225,N225&lt;M225,O225&lt;N225,P225&lt;O225,Q225&lt;P225,R225&lt;Q225,S225&lt;R225,T225&lt;S225),"Revisar","Completa")))</x:f>
      </x:c>
      <x:c r="AR225" s="87" t="str">
        <x:f>IF(OR(V225="",W225="",Y225=""),"",Y225-(V225-W225))</x:f>
      </x:c>
      <x:c r="AS225" s="63" t="str">
        <x:f>IF(A225="","",IF(AND(E225&lt;&gt;"",F225&lt;&gt;"",G225&lt;&gt;"",Z225&lt;&gt;"",AA225&lt;&gt;"",AB225&lt;&gt;"",AC225&lt;&gt;""),"Completa","Incompleta"))</x:f>
      </x:c>
      <x:c r="AT225" s="63" t="str">
        <x:f>IF(A225="","",IF(COUNTIF($A$11:$A$410,A225)&gt;1,"ID duplicado",IF(AND(AR225&lt;&gt;"",ABS(AR225)&gt;0.01),"Revisar balanço",IF(AND(W225&lt;&gt;"",V225&lt;&gt;"",W225&gt;V225),"Retirada &gt; estoque",IF(AND(U225&lt;&gt;"",U225&lt;'Cenário Base'!$D$8*'Cenário Base'!$D$74),"E0 abaixo do gatilho",IF(AND(V225&lt;&gt;"",V225&gt;XLOOKUP(B225,$A$414:$A$418,$B$414:$B$418)),"Excedeu capacidade","Sem alerta"))))))</x:f>
      </x:c>
    </x:row>
    <x:row r="226">
      <x:c r="A226" s="43"/>
      <x:c r="B226" s="43"/>
      <x:c r="C226" s="43"/>
      <x:c r="D226" s="43"/>
      <x:c r="E226" s="43"/>
      <x:c r="F226" s="43"/>
      <x:c r="G226" s="43"/>
      <x:c r="H226" s="120"/>
      <x:c r="I226" s="120"/>
      <x:c r="J226" s="120"/>
      <x:c r="K226" s="120"/>
      <x:c r="L226" s="120"/>
      <x:c r="M226" s="120"/>
      <x:c r="N226" s="120"/>
      <x:c r="O226" s="120"/>
      <x:c r="P226" s="120"/>
      <x:c r="Q226" s="120"/>
      <x:c r="R226" s="120"/>
      <x:c r="S226" s="120"/>
      <x:c r="T226" s="120"/>
      <x:c r="U226" s="48"/>
      <x:c r="V226" s="48"/>
      <x:c r="W226" s="48"/>
      <x:c r="X226" s="48"/>
      <x:c r="Y226" s="48"/>
      <x:c r="Z226" s="49"/>
      <x:c r="AA226" s="43"/>
      <x:c r="AB226" s="43"/>
      <x:c r="AC226" s="43"/>
      <x:c r="AD226" s="43"/>
      <x:c r="AE226" s="43"/>
      <x:c r="AF226" s="87" t="str">
        <x:f>IF(OR(H226="",I226="",I226&lt;H226),"",(I226-H226)*1440)</x:f>
      </x:c>
      <x:c r="AG226" s="87" t="str">
        <x:f>IF(OR(I226="",M226="",M226&lt;I226),"",(M226-I226)*1440)</x:f>
      </x:c>
      <x:c r="AH226" s="87" t="str">
        <x:f>IF(OR(M226="",N226="",N226&lt;M226),"",(N226-M226)*1440)</x:f>
      </x:c>
      <x:c r="AI226" s="87" t="str">
        <x:f>IF(OR(H226="",N226="",N226&lt;H226),"",(N226-H226)*1440)</x:f>
      </x:c>
      <x:c r="AJ226" s="87" t="str">
        <x:f>IF(OR(I226="",N226="",N226&lt;I226),"",(N226-I226)*1440)</x:f>
      </x:c>
      <x:c r="AK226" s="87" t="str">
        <x:f>IF(OR(N226="",O226="",O226&lt;N226),"",(O226-N226)*1440)</x:f>
      </x:c>
      <x:c r="AL226" s="87" t="str">
        <x:f>IF(OR(O226="",P226="",P226&lt;O226),"",(P226-O226)*1440)</x:f>
      </x:c>
      <x:c r="AM226" s="87" t="str">
        <x:f>IF(OR(Q226="",R226="",R226&lt;Q226),"",(R226-Q226)*1440)</x:f>
      </x:c>
      <x:c r="AN226" s="87" t="str">
        <x:f>IF(OR(S226="",T226="",T226&lt;S226),"",(T226-S226)*1440)</x:f>
      </x:c>
      <x:c r="AO226" s="87" t="str">
        <x:f>IF(OR(U226="",V226=""),"",V226-U226)</x:f>
      </x:c>
      <x:c r="AP226" s="63" t="str">
        <x:f>IF(A226="","",IF(OR(B226="",H226="",N226=""),"Incompleto",IF(N226&lt;H226,"Revisar",IF(OR(G226="",G226="Não observado"),"Qualidade E0 ausente",IF(OR(G226="Sensor",G226="Marcação física"),"Válido — E0 observado",IF(G226="Cálculo","Válido — E0 calculado","Válido — E0 estimado"))))))</x:f>
      </x:c>
      <x:c r="AQ226" s="63" t="str">
        <x:f>IF(A226="","",IF(COUNTA(H226:T226)&lt;13,"Incompleta",IF(OR(I226&lt;H226,J226&lt;I226,K226&lt;J226,L226&lt;K226,M226&lt;L226,N226&lt;M226,O226&lt;N226,P226&lt;O226,Q226&lt;P226,R226&lt;Q226,S226&lt;R226,T226&lt;S226),"Revisar","Completa")))</x:f>
      </x:c>
      <x:c r="AR226" s="87" t="str">
        <x:f>IF(OR(V226="",W226="",Y226=""),"",Y226-(V226-W226))</x:f>
      </x:c>
      <x:c r="AS226" s="63" t="str">
        <x:f>IF(A226="","",IF(AND(E226&lt;&gt;"",F226&lt;&gt;"",G226&lt;&gt;"",Z226&lt;&gt;"",AA226&lt;&gt;"",AB226&lt;&gt;"",AC226&lt;&gt;""),"Completa","Incompleta"))</x:f>
      </x:c>
      <x:c r="AT226" s="63" t="str">
        <x:f>IF(A226="","",IF(COUNTIF($A$11:$A$410,A226)&gt;1,"ID duplicado",IF(AND(AR226&lt;&gt;"",ABS(AR226)&gt;0.01),"Revisar balanço",IF(AND(W226&lt;&gt;"",V226&lt;&gt;"",W226&gt;V226),"Retirada &gt; estoque",IF(AND(U226&lt;&gt;"",U226&lt;'Cenário Base'!$D$8*'Cenário Base'!$D$74),"E0 abaixo do gatilho",IF(AND(V226&lt;&gt;"",V226&gt;XLOOKUP(B226,$A$414:$A$418,$B$414:$B$418)),"Excedeu capacidade","Sem alerta"))))))</x:f>
      </x:c>
    </x:row>
    <x:row r="227">
      <x:c r="A227" s="43"/>
      <x:c r="B227" s="43"/>
      <x:c r="C227" s="43"/>
      <x:c r="D227" s="43"/>
      <x:c r="E227" s="43"/>
      <x:c r="F227" s="43"/>
      <x:c r="G227" s="43"/>
      <x:c r="H227" s="120"/>
      <x:c r="I227" s="120"/>
      <x:c r="J227" s="120"/>
      <x:c r="K227" s="120"/>
      <x:c r="L227" s="120"/>
      <x:c r="M227" s="120"/>
      <x:c r="N227" s="120"/>
      <x:c r="O227" s="120"/>
      <x:c r="P227" s="120"/>
      <x:c r="Q227" s="120"/>
      <x:c r="R227" s="120"/>
      <x:c r="S227" s="120"/>
      <x:c r="T227" s="120"/>
      <x:c r="U227" s="48"/>
      <x:c r="V227" s="48"/>
      <x:c r="W227" s="48"/>
      <x:c r="X227" s="48"/>
      <x:c r="Y227" s="48"/>
      <x:c r="Z227" s="49"/>
      <x:c r="AA227" s="43"/>
      <x:c r="AB227" s="43"/>
      <x:c r="AC227" s="43"/>
      <x:c r="AD227" s="43"/>
      <x:c r="AE227" s="43"/>
      <x:c r="AF227" s="87" t="str">
        <x:f>IF(OR(H227="",I227="",I227&lt;H227),"",(I227-H227)*1440)</x:f>
      </x:c>
      <x:c r="AG227" s="87" t="str">
        <x:f>IF(OR(I227="",M227="",M227&lt;I227),"",(M227-I227)*1440)</x:f>
      </x:c>
      <x:c r="AH227" s="87" t="str">
        <x:f>IF(OR(M227="",N227="",N227&lt;M227),"",(N227-M227)*1440)</x:f>
      </x:c>
      <x:c r="AI227" s="87" t="str">
        <x:f>IF(OR(H227="",N227="",N227&lt;H227),"",(N227-H227)*1440)</x:f>
      </x:c>
      <x:c r="AJ227" s="87" t="str">
        <x:f>IF(OR(I227="",N227="",N227&lt;I227),"",(N227-I227)*1440)</x:f>
      </x:c>
      <x:c r="AK227" s="87" t="str">
        <x:f>IF(OR(N227="",O227="",O227&lt;N227),"",(O227-N227)*1440)</x:f>
      </x:c>
      <x:c r="AL227" s="87" t="str">
        <x:f>IF(OR(O227="",P227="",P227&lt;O227),"",(P227-O227)*1440)</x:f>
      </x:c>
      <x:c r="AM227" s="87" t="str">
        <x:f>IF(OR(Q227="",R227="",R227&lt;Q227),"",(R227-Q227)*1440)</x:f>
      </x:c>
      <x:c r="AN227" s="87" t="str">
        <x:f>IF(OR(S227="",T227="",T227&lt;S227),"",(T227-S227)*1440)</x:f>
      </x:c>
      <x:c r="AO227" s="87" t="str">
        <x:f>IF(OR(U227="",V227=""),"",V227-U227)</x:f>
      </x:c>
      <x:c r="AP227" s="63" t="str">
        <x:f>IF(A227="","",IF(OR(B227="",H227="",N227=""),"Incompleto",IF(N227&lt;H227,"Revisar",IF(OR(G227="",G227="Não observado"),"Qualidade E0 ausente",IF(OR(G227="Sensor",G227="Marcação física"),"Válido — E0 observado",IF(G227="Cálculo","Válido — E0 calculado","Válido — E0 estimado"))))))</x:f>
      </x:c>
      <x:c r="AQ227" s="63" t="str">
        <x:f>IF(A227="","",IF(COUNTA(H227:T227)&lt;13,"Incompleta",IF(OR(I227&lt;H227,J227&lt;I227,K227&lt;J227,L227&lt;K227,M227&lt;L227,N227&lt;M227,O227&lt;N227,P227&lt;O227,Q227&lt;P227,R227&lt;Q227,S227&lt;R227,T227&lt;S227),"Revisar","Completa")))</x:f>
      </x:c>
      <x:c r="AR227" s="87" t="str">
        <x:f>IF(OR(V227="",W227="",Y227=""),"",Y227-(V227-W227))</x:f>
      </x:c>
      <x:c r="AS227" s="63" t="str">
        <x:f>IF(A227="","",IF(AND(E227&lt;&gt;"",F227&lt;&gt;"",G227&lt;&gt;"",Z227&lt;&gt;"",AA227&lt;&gt;"",AB227&lt;&gt;"",AC227&lt;&gt;""),"Completa","Incompleta"))</x:f>
      </x:c>
      <x:c r="AT227" s="63" t="str">
        <x:f>IF(A227="","",IF(COUNTIF($A$11:$A$410,A227)&gt;1,"ID duplicado",IF(AND(AR227&lt;&gt;"",ABS(AR227)&gt;0.01),"Revisar balanço",IF(AND(W227&lt;&gt;"",V227&lt;&gt;"",W227&gt;V227),"Retirada &gt; estoque",IF(AND(U227&lt;&gt;"",U227&lt;'Cenário Base'!$D$8*'Cenário Base'!$D$74),"E0 abaixo do gatilho",IF(AND(V227&lt;&gt;"",V227&gt;XLOOKUP(B227,$A$414:$A$418,$B$414:$B$418)),"Excedeu capacidade","Sem alerta"))))))</x:f>
      </x:c>
    </x:row>
    <x:row r="228">
      <x:c r="A228" s="43"/>
      <x:c r="B228" s="43"/>
      <x:c r="C228" s="43"/>
      <x:c r="D228" s="43"/>
      <x:c r="E228" s="43"/>
      <x:c r="F228" s="43"/>
      <x:c r="G228" s="43"/>
      <x:c r="H228" s="120"/>
      <x:c r="I228" s="120"/>
      <x:c r="J228" s="120"/>
      <x:c r="K228" s="120"/>
      <x:c r="L228" s="120"/>
      <x:c r="M228" s="120"/>
      <x:c r="N228" s="120"/>
      <x:c r="O228" s="120"/>
      <x:c r="P228" s="120"/>
      <x:c r="Q228" s="120"/>
      <x:c r="R228" s="120"/>
      <x:c r="S228" s="120"/>
      <x:c r="T228" s="120"/>
      <x:c r="U228" s="48"/>
      <x:c r="V228" s="48"/>
      <x:c r="W228" s="48"/>
      <x:c r="X228" s="48"/>
      <x:c r="Y228" s="48"/>
      <x:c r="Z228" s="49"/>
      <x:c r="AA228" s="43"/>
      <x:c r="AB228" s="43"/>
      <x:c r="AC228" s="43"/>
      <x:c r="AD228" s="43"/>
      <x:c r="AE228" s="43"/>
      <x:c r="AF228" s="87" t="str">
        <x:f>IF(OR(H228="",I228="",I228&lt;H228),"",(I228-H228)*1440)</x:f>
      </x:c>
      <x:c r="AG228" s="87" t="str">
        <x:f>IF(OR(I228="",M228="",M228&lt;I228),"",(M228-I228)*1440)</x:f>
      </x:c>
      <x:c r="AH228" s="87" t="str">
        <x:f>IF(OR(M228="",N228="",N228&lt;M228),"",(N228-M228)*1440)</x:f>
      </x:c>
      <x:c r="AI228" s="87" t="str">
        <x:f>IF(OR(H228="",N228="",N228&lt;H228),"",(N228-H228)*1440)</x:f>
      </x:c>
      <x:c r="AJ228" s="87" t="str">
        <x:f>IF(OR(I228="",N228="",N228&lt;I228),"",(N228-I228)*1440)</x:f>
      </x:c>
      <x:c r="AK228" s="87" t="str">
        <x:f>IF(OR(N228="",O228="",O228&lt;N228),"",(O228-N228)*1440)</x:f>
      </x:c>
      <x:c r="AL228" s="87" t="str">
        <x:f>IF(OR(O228="",P228="",P228&lt;O228),"",(P228-O228)*1440)</x:f>
      </x:c>
      <x:c r="AM228" s="87" t="str">
        <x:f>IF(OR(Q228="",R228="",R228&lt;Q228),"",(R228-Q228)*1440)</x:f>
      </x:c>
      <x:c r="AN228" s="87" t="str">
        <x:f>IF(OR(S228="",T228="",T228&lt;S228),"",(T228-S228)*1440)</x:f>
      </x:c>
      <x:c r="AO228" s="87" t="str">
        <x:f>IF(OR(U228="",V228=""),"",V228-U228)</x:f>
      </x:c>
      <x:c r="AP228" s="63" t="str">
        <x:f>IF(A228="","",IF(OR(B228="",H228="",N228=""),"Incompleto",IF(N228&lt;H228,"Revisar",IF(OR(G228="",G228="Não observado"),"Qualidade E0 ausente",IF(OR(G228="Sensor",G228="Marcação física"),"Válido — E0 observado",IF(G228="Cálculo","Válido — E0 calculado","Válido — E0 estimado"))))))</x:f>
      </x:c>
      <x:c r="AQ228" s="63" t="str">
        <x:f>IF(A228="","",IF(COUNTA(H228:T228)&lt;13,"Incompleta",IF(OR(I228&lt;H228,J228&lt;I228,K228&lt;J228,L228&lt;K228,M228&lt;L228,N228&lt;M228,O228&lt;N228,P228&lt;O228,Q228&lt;P228,R228&lt;Q228,S228&lt;R228,T228&lt;S228),"Revisar","Completa")))</x:f>
      </x:c>
      <x:c r="AR228" s="87" t="str">
        <x:f>IF(OR(V228="",W228="",Y228=""),"",Y228-(V228-W228))</x:f>
      </x:c>
      <x:c r="AS228" s="63" t="str">
        <x:f>IF(A228="","",IF(AND(E228&lt;&gt;"",F228&lt;&gt;"",G228&lt;&gt;"",Z228&lt;&gt;"",AA228&lt;&gt;"",AB228&lt;&gt;"",AC228&lt;&gt;""),"Completa","Incompleta"))</x:f>
      </x:c>
      <x:c r="AT228" s="63" t="str">
        <x:f>IF(A228="","",IF(COUNTIF($A$11:$A$410,A228)&gt;1,"ID duplicado",IF(AND(AR228&lt;&gt;"",ABS(AR228)&gt;0.01),"Revisar balanço",IF(AND(W228&lt;&gt;"",V228&lt;&gt;"",W228&gt;V228),"Retirada &gt; estoque",IF(AND(U228&lt;&gt;"",U228&lt;'Cenário Base'!$D$8*'Cenário Base'!$D$74),"E0 abaixo do gatilho",IF(AND(V228&lt;&gt;"",V228&gt;XLOOKUP(B228,$A$414:$A$418,$B$414:$B$418)),"Excedeu capacidade","Sem alerta"))))))</x:f>
      </x:c>
    </x:row>
    <x:row r="229">
      <x:c r="A229" s="43"/>
      <x:c r="B229" s="43"/>
      <x:c r="C229" s="43"/>
      <x:c r="D229" s="43"/>
      <x:c r="E229" s="43"/>
      <x:c r="F229" s="43"/>
      <x:c r="G229" s="43"/>
      <x:c r="H229" s="120"/>
      <x:c r="I229" s="120"/>
      <x:c r="J229" s="120"/>
      <x:c r="K229" s="120"/>
      <x:c r="L229" s="120"/>
      <x:c r="M229" s="120"/>
      <x:c r="N229" s="120"/>
      <x:c r="O229" s="120"/>
      <x:c r="P229" s="120"/>
      <x:c r="Q229" s="120"/>
      <x:c r="R229" s="120"/>
      <x:c r="S229" s="120"/>
      <x:c r="T229" s="120"/>
      <x:c r="U229" s="48"/>
      <x:c r="V229" s="48"/>
      <x:c r="W229" s="48"/>
      <x:c r="X229" s="48"/>
      <x:c r="Y229" s="48"/>
      <x:c r="Z229" s="49"/>
      <x:c r="AA229" s="43"/>
      <x:c r="AB229" s="43"/>
      <x:c r="AC229" s="43"/>
      <x:c r="AD229" s="43"/>
      <x:c r="AE229" s="43"/>
      <x:c r="AF229" s="87" t="str">
        <x:f>IF(OR(H229="",I229="",I229&lt;H229),"",(I229-H229)*1440)</x:f>
      </x:c>
      <x:c r="AG229" s="87" t="str">
        <x:f>IF(OR(I229="",M229="",M229&lt;I229),"",(M229-I229)*1440)</x:f>
      </x:c>
      <x:c r="AH229" s="87" t="str">
        <x:f>IF(OR(M229="",N229="",N229&lt;M229),"",(N229-M229)*1440)</x:f>
      </x:c>
      <x:c r="AI229" s="87" t="str">
        <x:f>IF(OR(H229="",N229="",N229&lt;H229),"",(N229-H229)*1440)</x:f>
      </x:c>
      <x:c r="AJ229" s="87" t="str">
        <x:f>IF(OR(I229="",N229="",N229&lt;I229),"",(N229-I229)*1440)</x:f>
      </x:c>
      <x:c r="AK229" s="87" t="str">
        <x:f>IF(OR(N229="",O229="",O229&lt;N229),"",(O229-N229)*1440)</x:f>
      </x:c>
      <x:c r="AL229" s="87" t="str">
        <x:f>IF(OR(O229="",P229="",P229&lt;O229),"",(P229-O229)*1440)</x:f>
      </x:c>
      <x:c r="AM229" s="87" t="str">
        <x:f>IF(OR(Q229="",R229="",R229&lt;Q229),"",(R229-Q229)*1440)</x:f>
      </x:c>
      <x:c r="AN229" s="87" t="str">
        <x:f>IF(OR(S229="",T229="",T229&lt;S229),"",(T229-S229)*1440)</x:f>
      </x:c>
      <x:c r="AO229" s="87" t="str">
        <x:f>IF(OR(U229="",V229=""),"",V229-U229)</x:f>
      </x:c>
      <x:c r="AP229" s="63" t="str">
        <x:f>IF(A229="","",IF(OR(B229="",H229="",N229=""),"Incompleto",IF(N229&lt;H229,"Revisar",IF(OR(G229="",G229="Não observado"),"Qualidade E0 ausente",IF(OR(G229="Sensor",G229="Marcação física"),"Válido — E0 observado",IF(G229="Cálculo","Válido — E0 calculado","Válido — E0 estimado"))))))</x:f>
      </x:c>
      <x:c r="AQ229" s="63" t="str">
        <x:f>IF(A229="","",IF(COUNTA(H229:T229)&lt;13,"Incompleta",IF(OR(I229&lt;H229,J229&lt;I229,K229&lt;J229,L229&lt;K229,M229&lt;L229,N229&lt;M229,O229&lt;N229,P229&lt;O229,Q229&lt;P229,R229&lt;Q229,S229&lt;R229,T229&lt;S229),"Revisar","Completa")))</x:f>
      </x:c>
      <x:c r="AR229" s="87" t="str">
        <x:f>IF(OR(V229="",W229="",Y229=""),"",Y229-(V229-W229))</x:f>
      </x:c>
      <x:c r="AS229" s="63" t="str">
        <x:f>IF(A229="","",IF(AND(E229&lt;&gt;"",F229&lt;&gt;"",G229&lt;&gt;"",Z229&lt;&gt;"",AA229&lt;&gt;"",AB229&lt;&gt;"",AC229&lt;&gt;""),"Completa","Incompleta"))</x:f>
      </x:c>
      <x:c r="AT229" s="63" t="str">
        <x:f>IF(A229="","",IF(COUNTIF($A$11:$A$410,A229)&gt;1,"ID duplicado",IF(AND(AR229&lt;&gt;"",ABS(AR229)&gt;0.01),"Revisar balanço",IF(AND(W229&lt;&gt;"",V229&lt;&gt;"",W229&gt;V229),"Retirada &gt; estoque",IF(AND(U229&lt;&gt;"",U229&lt;'Cenário Base'!$D$8*'Cenário Base'!$D$74),"E0 abaixo do gatilho",IF(AND(V229&lt;&gt;"",V229&gt;XLOOKUP(B229,$A$414:$A$418,$B$414:$B$418)),"Excedeu capacidade","Sem alerta"))))))</x:f>
      </x:c>
    </x:row>
    <x:row r="230">
      <x:c r="A230" s="43"/>
      <x:c r="B230" s="43"/>
      <x:c r="C230" s="43"/>
      <x:c r="D230" s="43"/>
      <x:c r="E230" s="43"/>
      <x:c r="F230" s="43"/>
      <x:c r="G230" s="43"/>
      <x:c r="H230" s="120"/>
      <x:c r="I230" s="120"/>
      <x:c r="J230" s="120"/>
      <x:c r="K230" s="120"/>
      <x:c r="L230" s="120"/>
      <x:c r="M230" s="120"/>
      <x:c r="N230" s="120"/>
      <x:c r="O230" s="120"/>
      <x:c r="P230" s="120"/>
      <x:c r="Q230" s="120"/>
      <x:c r="R230" s="120"/>
      <x:c r="S230" s="120"/>
      <x:c r="T230" s="120"/>
      <x:c r="U230" s="48"/>
      <x:c r="V230" s="48"/>
      <x:c r="W230" s="48"/>
      <x:c r="X230" s="48"/>
      <x:c r="Y230" s="48"/>
      <x:c r="Z230" s="49"/>
      <x:c r="AA230" s="43"/>
      <x:c r="AB230" s="43"/>
      <x:c r="AC230" s="43"/>
      <x:c r="AD230" s="43"/>
      <x:c r="AE230" s="43"/>
      <x:c r="AF230" s="87" t="str">
        <x:f>IF(OR(H230="",I230="",I230&lt;H230),"",(I230-H230)*1440)</x:f>
      </x:c>
      <x:c r="AG230" s="87" t="str">
        <x:f>IF(OR(I230="",M230="",M230&lt;I230),"",(M230-I230)*1440)</x:f>
      </x:c>
      <x:c r="AH230" s="87" t="str">
        <x:f>IF(OR(M230="",N230="",N230&lt;M230),"",(N230-M230)*1440)</x:f>
      </x:c>
      <x:c r="AI230" s="87" t="str">
        <x:f>IF(OR(H230="",N230="",N230&lt;H230),"",(N230-H230)*1440)</x:f>
      </x:c>
      <x:c r="AJ230" s="87" t="str">
        <x:f>IF(OR(I230="",N230="",N230&lt;I230),"",(N230-I230)*1440)</x:f>
      </x:c>
      <x:c r="AK230" s="87" t="str">
        <x:f>IF(OR(N230="",O230="",O230&lt;N230),"",(O230-N230)*1440)</x:f>
      </x:c>
      <x:c r="AL230" s="87" t="str">
        <x:f>IF(OR(O230="",P230="",P230&lt;O230),"",(P230-O230)*1440)</x:f>
      </x:c>
      <x:c r="AM230" s="87" t="str">
        <x:f>IF(OR(Q230="",R230="",R230&lt;Q230),"",(R230-Q230)*1440)</x:f>
      </x:c>
      <x:c r="AN230" s="87" t="str">
        <x:f>IF(OR(S230="",T230="",T230&lt;S230),"",(T230-S230)*1440)</x:f>
      </x:c>
      <x:c r="AO230" s="87" t="str">
        <x:f>IF(OR(U230="",V230=""),"",V230-U230)</x:f>
      </x:c>
      <x:c r="AP230" s="63" t="str">
        <x:f>IF(A230="","",IF(OR(B230="",H230="",N230=""),"Incompleto",IF(N230&lt;H230,"Revisar",IF(OR(G230="",G230="Não observado"),"Qualidade E0 ausente",IF(OR(G230="Sensor",G230="Marcação física"),"Válido — E0 observado",IF(G230="Cálculo","Válido — E0 calculado","Válido — E0 estimado"))))))</x:f>
      </x:c>
      <x:c r="AQ230" s="63" t="str">
        <x:f>IF(A230="","",IF(COUNTA(H230:T230)&lt;13,"Incompleta",IF(OR(I230&lt;H230,J230&lt;I230,K230&lt;J230,L230&lt;K230,M230&lt;L230,N230&lt;M230,O230&lt;N230,P230&lt;O230,Q230&lt;P230,R230&lt;Q230,S230&lt;R230,T230&lt;S230),"Revisar","Completa")))</x:f>
      </x:c>
      <x:c r="AR230" s="87" t="str">
        <x:f>IF(OR(V230="",W230="",Y230=""),"",Y230-(V230-W230))</x:f>
      </x:c>
      <x:c r="AS230" s="63" t="str">
        <x:f>IF(A230="","",IF(AND(E230&lt;&gt;"",F230&lt;&gt;"",G230&lt;&gt;"",Z230&lt;&gt;"",AA230&lt;&gt;"",AB230&lt;&gt;"",AC230&lt;&gt;""),"Completa","Incompleta"))</x:f>
      </x:c>
      <x:c r="AT230" s="63" t="str">
        <x:f>IF(A230="","",IF(COUNTIF($A$11:$A$410,A230)&gt;1,"ID duplicado",IF(AND(AR230&lt;&gt;"",ABS(AR230)&gt;0.01),"Revisar balanço",IF(AND(W230&lt;&gt;"",V230&lt;&gt;"",W230&gt;V230),"Retirada &gt; estoque",IF(AND(U230&lt;&gt;"",U230&lt;'Cenário Base'!$D$8*'Cenário Base'!$D$74),"E0 abaixo do gatilho",IF(AND(V230&lt;&gt;"",V230&gt;XLOOKUP(B230,$A$414:$A$418,$B$414:$B$418)),"Excedeu capacidade","Sem alerta"))))))</x:f>
      </x:c>
    </x:row>
    <x:row r="231">
      <x:c r="A231" s="43"/>
      <x:c r="B231" s="43"/>
      <x:c r="C231" s="43"/>
      <x:c r="D231" s="43"/>
      <x:c r="E231" s="43"/>
      <x:c r="F231" s="43"/>
      <x:c r="G231" s="43"/>
      <x:c r="H231" s="120"/>
      <x:c r="I231" s="120"/>
      <x:c r="J231" s="120"/>
      <x:c r="K231" s="120"/>
      <x:c r="L231" s="120"/>
      <x:c r="M231" s="120"/>
      <x:c r="N231" s="120"/>
      <x:c r="O231" s="120"/>
      <x:c r="P231" s="120"/>
      <x:c r="Q231" s="120"/>
      <x:c r="R231" s="120"/>
      <x:c r="S231" s="120"/>
      <x:c r="T231" s="120"/>
      <x:c r="U231" s="48"/>
      <x:c r="V231" s="48"/>
      <x:c r="W231" s="48"/>
      <x:c r="X231" s="48"/>
      <x:c r="Y231" s="48"/>
      <x:c r="Z231" s="49"/>
      <x:c r="AA231" s="43"/>
      <x:c r="AB231" s="43"/>
      <x:c r="AC231" s="43"/>
      <x:c r="AD231" s="43"/>
      <x:c r="AE231" s="43"/>
      <x:c r="AF231" s="87" t="str">
        <x:f>IF(OR(H231="",I231="",I231&lt;H231),"",(I231-H231)*1440)</x:f>
      </x:c>
      <x:c r="AG231" s="87" t="str">
        <x:f>IF(OR(I231="",M231="",M231&lt;I231),"",(M231-I231)*1440)</x:f>
      </x:c>
      <x:c r="AH231" s="87" t="str">
        <x:f>IF(OR(M231="",N231="",N231&lt;M231),"",(N231-M231)*1440)</x:f>
      </x:c>
      <x:c r="AI231" s="87" t="str">
        <x:f>IF(OR(H231="",N231="",N231&lt;H231),"",(N231-H231)*1440)</x:f>
      </x:c>
      <x:c r="AJ231" s="87" t="str">
        <x:f>IF(OR(I231="",N231="",N231&lt;I231),"",(N231-I231)*1440)</x:f>
      </x:c>
      <x:c r="AK231" s="87" t="str">
        <x:f>IF(OR(N231="",O231="",O231&lt;N231),"",(O231-N231)*1440)</x:f>
      </x:c>
      <x:c r="AL231" s="87" t="str">
        <x:f>IF(OR(O231="",P231="",P231&lt;O231),"",(P231-O231)*1440)</x:f>
      </x:c>
      <x:c r="AM231" s="87" t="str">
        <x:f>IF(OR(Q231="",R231="",R231&lt;Q231),"",(R231-Q231)*1440)</x:f>
      </x:c>
      <x:c r="AN231" s="87" t="str">
        <x:f>IF(OR(S231="",T231="",T231&lt;S231),"",(T231-S231)*1440)</x:f>
      </x:c>
      <x:c r="AO231" s="87" t="str">
        <x:f>IF(OR(U231="",V231=""),"",V231-U231)</x:f>
      </x:c>
      <x:c r="AP231" s="63" t="str">
        <x:f>IF(A231="","",IF(OR(B231="",H231="",N231=""),"Incompleto",IF(N231&lt;H231,"Revisar",IF(OR(G231="",G231="Não observado"),"Qualidade E0 ausente",IF(OR(G231="Sensor",G231="Marcação física"),"Válido — E0 observado",IF(G231="Cálculo","Válido — E0 calculado","Válido — E0 estimado"))))))</x:f>
      </x:c>
      <x:c r="AQ231" s="63" t="str">
        <x:f>IF(A231="","",IF(COUNTA(H231:T231)&lt;13,"Incompleta",IF(OR(I231&lt;H231,J231&lt;I231,K231&lt;J231,L231&lt;K231,M231&lt;L231,N231&lt;M231,O231&lt;N231,P231&lt;O231,Q231&lt;P231,R231&lt;Q231,S231&lt;R231,T231&lt;S231),"Revisar","Completa")))</x:f>
      </x:c>
      <x:c r="AR231" s="87" t="str">
        <x:f>IF(OR(V231="",W231="",Y231=""),"",Y231-(V231-W231))</x:f>
      </x:c>
      <x:c r="AS231" s="63" t="str">
        <x:f>IF(A231="","",IF(AND(E231&lt;&gt;"",F231&lt;&gt;"",G231&lt;&gt;"",Z231&lt;&gt;"",AA231&lt;&gt;"",AB231&lt;&gt;"",AC231&lt;&gt;""),"Completa","Incompleta"))</x:f>
      </x:c>
      <x:c r="AT231" s="63" t="str">
        <x:f>IF(A231="","",IF(COUNTIF($A$11:$A$410,A231)&gt;1,"ID duplicado",IF(AND(AR231&lt;&gt;"",ABS(AR231)&gt;0.01),"Revisar balanço",IF(AND(W231&lt;&gt;"",V231&lt;&gt;"",W231&gt;V231),"Retirada &gt; estoque",IF(AND(U231&lt;&gt;"",U231&lt;'Cenário Base'!$D$8*'Cenário Base'!$D$74),"E0 abaixo do gatilho",IF(AND(V231&lt;&gt;"",V231&gt;XLOOKUP(B231,$A$414:$A$418,$B$414:$B$418)),"Excedeu capacidade","Sem alerta"))))))</x:f>
      </x:c>
    </x:row>
    <x:row r="232">
      <x:c r="A232" s="43"/>
      <x:c r="B232" s="43"/>
      <x:c r="C232" s="43"/>
      <x:c r="D232" s="43"/>
      <x:c r="E232" s="43"/>
      <x:c r="F232" s="43"/>
      <x:c r="G232" s="43"/>
      <x:c r="H232" s="120"/>
      <x:c r="I232" s="120"/>
      <x:c r="J232" s="120"/>
      <x:c r="K232" s="120"/>
      <x:c r="L232" s="120"/>
      <x:c r="M232" s="120"/>
      <x:c r="N232" s="120"/>
      <x:c r="O232" s="120"/>
      <x:c r="P232" s="120"/>
      <x:c r="Q232" s="120"/>
      <x:c r="R232" s="120"/>
      <x:c r="S232" s="120"/>
      <x:c r="T232" s="120"/>
      <x:c r="U232" s="48"/>
      <x:c r="V232" s="48"/>
      <x:c r="W232" s="48"/>
      <x:c r="X232" s="48"/>
      <x:c r="Y232" s="48"/>
      <x:c r="Z232" s="49"/>
      <x:c r="AA232" s="43"/>
      <x:c r="AB232" s="43"/>
      <x:c r="AC232" s="43"/>
      <x:c r="AD232" s="43"/>
      <x:c r="AE232" s="43"/>
      <x:c r="AF232" s="87" t="str">
        <x:f>IF(OR(H232="",I232="",I232&lt;H232),"",(I232-H232)*1440)</x:f>
      </x:c>
      <x:c r="AG232" s="87" t="str">
        <x:f>IF(OR(I232="",M232="",M232&lt;I232),"",(M232-I232)*1440)</x:f>
      </x:c>
      <x:c r="AH232" s="87" t="str">
        <x:f>IF(OR(M232="",N232="",N232&lt;M232),"",(N232-M232)*1440)</x:f>
      </x:c>
      <x:c r="AI232" s="87" t="str">
        <x:f>IF(OR(H232="",N232="",N232&lt;H232),"",(N232-H232)*1440)</x:f>
      </x:c>
      <x:c r="AJ232" s="87" t="str">
        <x:f>IF(OR(I232="",N232="",N232&lt;I232),"",(N232-I232)*1440)</x:f>
      </x:c>
      <x:c r="AK232" s="87" t="str">
        <x:f>IF(OR(N232="",O232="",O232&lt;N232),"",(O232-N232)*1440)</x:f>
      </x:c>
      <x:c r="AL232" s="87" t="str">
        <x:f>IF(OR(O232="",P232="",P232&lt;O232),"",(P232-O232)*1440)</x:f>
      </x:c>
      <x:c r="AM232" s="87" t="str">
        <x:f>IF(OR(Q232="",R232="",R232&lt;Q232),"",(R232-Q232)*1440)</x:f>
      </x:c>
      <x:c r="AN232" s="87" t="str">
        <x:f>IF(OR(S232="",T232="",T232&lt;S232),"",(T232-S232)*1440)</x:f>
      </x:c>
      <x:c r="AO232" s="87" t="str">
        <x:f>IF(OR(U232="",V232=""),"",V232-U232)</x:f>
      </x:c>
      <x:c r="AP232" s="63" t="str">
        <x:f>IF(A232="","",IF(OR(B232="",H232="",N232=""),"Incompleto",IF(N232&lt;H232,"Revisar",IF(OR(G232="",G232="Não observado"),"Qualidade E0 ausente",IF(OR(G232="Sensor",G232="Marcação física"),"Válido — E0 observado",IF(G232="Cálculo","Válido — E0 calculado","Válido — E0 estimado"))))))</x:f>
      </x:c>
      <x:c r="AQ232" s="63" t="str">
        <x:f>IF(A232="","",IF(COUNTA(H232:T232)&lt;13,"Incompleta",IF(OR(I232&lt;H232,J232&lt;I232,K232&lt;J232,L232&lt;K232,M232&lt;L232,N232&lt;M232,O232&lt;N232,P232&lt;O232,Q232&lt;P232,R232&lt;Q232,S232&lt;R232,T232&lt;S232),"Revisar","Completa")))</x:f>
      </x:c>
      <x:c r="AR232" s="87" t="str">
        <x:f>IF(OR(V232="",W232="",Y232=""),"",Y232-(V232-W232))</x:f>
      </x:c>
      <x:c r="AS232" s="63" t="str">
        <x:f>IF(A232="","",IF(AND(E232&lt;&gt;"",F232&lt;&gt;"",G232&lt;&gt;"",Z232&lt;&gt;"",AA232&lt;&gt;"",AB232&lt;&gt;"",AC232&lt;&gt;""),"Completa","Incompleta"))</x:f>
      </x:c>
      <x:c r="AT232" s="63" t="str">
        <x:f>IF(A232="","",IF(COUNTIF($A$11:$A$410,A232)&gt;1,"ID duplicado",IF(AND(AR232&lt;&gt;"",ABS(AR232)&gt;0.01),"Revisar balanço",IF(AND(W232&lt;&gt;"",V232&lt;&gt;"",W232&gt;V232),"Retirada &gt; estoque",IF(AND(U232&lt;&gt;"",U232&lt;'Cenário Base'!$D$8*'Cenário Base'!$D$74),"E0 abaixo do gatilho",IF(AND(V232&lt;&gt;"",V232&gt;XLOOKUP(B232,$A$414:$A$418,$B$414:$B$418)),"Excedeu capacidade","Sem alerta"))))))</x:f>
      </x:c>
    </x:row>
    <x:row r="233">
      <x:c r="A233" s="43"/>
      <x:c r="B233" s="43"/>
      <x:c r="C233" s="43"/>
      <x:c r="D233" s="43"/>
      <x:c r="E233" s="43"/>
      <x:c r="F233" s="43"/>
      <x:c r="G233" s="43"/>
      <x:c r="H233" s="120"/>
      <x:c r="I233" s="120"/>
      <x:c r="J233" s="120"/>
      <x:c r="K233" s="120"/>
      <x:c r="L233" s="120"/>
      <x:c r="M233" s="120"/>
      <x:c r="N233" s="120"/>
      <x:c r="O233" s="120"/>
      <x:c r="P233" s="120"/>
      <x:c r="Q233" s="120"/>
      <x:c r="R233" s="120"/>
      <x:c r="S233" s="120"/>
      <x:c r="T233" s="120"/>
      <x:c r="U233" s="48"/>
      <x:c r="V233" s="48"/>
      <x:c r="W233" s="48"/>
      <x:c r="X233" s="48"/>
      <x:c r="Y233" s="48"/>
      <x:c r="Z233" s="49"/>
      <x:c r="AA233" s="43"/>
      <x:c r="AB233" s="43"/>
      <x:c r="AC233" s="43"/>
      <x:c r="AD233" s="43"/>
      <x:c r="AE233" s="43"/>
      <x:c r="AF233" s="87" t="str">
        <x:f>IF(OR(H233="",I233="",I233&lt;H233),"",(I233-H233)*1440)</x:f>
      </x:c>
      <x:c r="AG233" s="87" t="str">
        <x:f>IF(OR(I233="",M233="",M233&lt;I233),"",(M233-I233)*1440)</x:f>
      </x:c>
      <x:c r="AH233" s="87" t="str">
        <x:f>IF(OR(M233="",N233="",N233&lt;M233),"",(N233-M233)*1440)</x:f>
      </x:c>
      <x:c r="AI233" s="87" t="str">
        <x:f>IF(OR(H233="",N233="",N233&lt;H233),"",(N233-H233)*1440)</x:f>
      </x:c>
      <x:c r="AJ233" s="87" t="str">
        <x:f>IF(OR(I233="",N233="",N233&lt;I233),"",(N233-I233)*1440)</x:f>
      </x:c>
      <x:c r="AK233" s="87" t="str">
        <x:f>IF(OR(N233="",O233="",O233&lt;N233),"",(O233-N233)*1440)</x:f>
      </x:c>
      <x:c r="AL233" s="87" t="str">
        <x:f>IF(OR(O233="",P233="",P233&lt;O233),"",(P233-O233)*1440)</x:f>
      </x:c>
      <x:c r="AM233" s="87" t="str">
        <x:f>IF(OR(Q233="",R233="",R233&lt;Q233),"",(R233-Q233)*1440)</x:f>
      </x:c>
      <x:c r="AN233" s="87" t="str">
        <x:f>IF(OR(S233="",T233="",T233&lt;S233),"",(T233-S233)*1440)</x:f>
      </x:c>
      <x:c r="AO233" s="87" t="str">
        <x:f>IF(OR(U233="",V233=""),"",V233-U233)</x:f>
      </x:c>
      <x:c r="AP233" s="63" t="str">
        <x:f>IF(A233="","",IF(OR(B233="",H233="",N233=""),"Incompleto",IF(N233&lt;H233,"Revisar",IF(OR(G233="",G233="Não observado"),"Qualidade E0 ausente",IF(OR(G233="Sensor",G233="Marcação física"),"Válido — E0 observado",IF(G233="Cálculo","Válido — E0 calculado","Válido — E0 estimado"))))))</x:f>
      </x:c>
      <x:c r="AQ233" s="63" t="str">
        <x:f>IF(A233="","",IF(COUNTA(H233:T233)&lt;13,"Incompleta",IF(OR(I233&lt;H233,J233&lt;I233,K233&lt;J233,L233&lt;K233,M233&lt;L233,N233&lt;M233,O233&lt;N233,P233&lt;O233,Q233&lt;P233,R233&lt;Q233,S233&lt;R233,T233&lt;S233),"Revisar","Completa")))</x:f>
      </x:c>
      <x:c r="AR233" s="87" t="str">
        <x:f>IF(OR(V233="",W233="",Y233=""),"",Y233-(V233-W233))</x:f>
      </x:c>
      <x:c r="AS233" s="63" t="str">
        <x:f>IF(A233="","",IF(AND(E233&lt;&gt;"",F233&lt;&gt;"",G233&lt;&gt;"",Z233&lt;&gt;"",AA233&lt;&gt;"",AB233&lt;&gt;"",AC233&lt;&gt;""),"Completa","Incompleta"))</x:f>
      </x:c>
      <x:c r="AT233" s="63" t="str">
        <x:f>IF(A233="","",IF(COUNTIF($A$11:$A$410,A233)&gt;1,"ID duplicado",IF(AND(AR233&lt;&gt;"",ABS(AR233)&gt;0.01),"Revisar balanço",IF(AND(W233&lt;&gt;"",V233&lt;&gt;"",W233&gt;V233),"Retirada &gt; estoque",IF(AND(U233&lt;&gt;"",U233&lt;'Cenário Base'!$D$8*'Cenário Base'!$D$74),"E0 abaixo do gatilho",IF(AND(V233&lt;&gt;"",V233&gt;XLOOKUP(B233,$A$414:$A$418,$B$414:$B$418)),"Excedeu capacidade","Sem alerta"))))))</x:f>
      </x:c>
    </x:row>
    <x:row r="234">
      <x:c r="A234" s="43"/>
      <x:c r="B234" s="43"/>
      <x:c r="C234" s="43"/>
      <x:c r="D234" s="43"/>
      <x:c r="E234" s="43"/>
      <x:c r="F234" s="43"/>
      <x:c r="G234" s="43"/>
      <x:c r="H234" s="120"/>
      <x:c r="I234" s="120"/>
      <x:c r="J234" s="120"/>
      <x:c r="K234" s="120"/>
      <x:c r="L234" s="120"/>
      <x:c r="M234" s="120"/>
      <x:c r="N234" s="120"/>
      <x:c r="O234" s="120"/>
      <x:c r="P234" s="120"/>
      <x:c r="Q234" s="120"/>
      <x:c r="R234" s="120"/>
      <x:c r="S234" s="120"/>
      <x:c r="T234" s="120"/>
      <x:c r="U234" s="48"/>
      <x:c r="V234" s="48"/>
      <x:c r="W234" s="48"/>
      <x:c r="X234" s="48"/>
      <x:c r="Y234" s="48"/>
      <x:c r="Z234" s="49"/>
      <x:c r="AA234" s="43"/>
      <x:c r="AB234" s="43"/>
      <x:c r="AC234" s="43"/>
      <x:c r="AD234" s="43"/>
      <x:c r="AE234" s="43"/>
      <x:c r="AF234" s="87" t="str">
        <x:f>IF(OR(H234="",I234="",I234&lt;H234),"",(I234-H234)*1440)</x:f>
      </x:c>
      <x:c r="AG234" s="87" t="str">
        <x:f>IF(OR(I234="",M234="",M234&lt;I234),"",(M234-I234)*1440)</x:f>
      </x:c>
      <x:c r="AH234" s="87" t="str">
        <x:f>IF(OR(M234="",N234="",N234&lt;M234),"",(N234-M234)*1440)</x:f>
      </x:c>
      <x:c r="AI234" s="87" t="str">
        <x:f>IF(OR(H234="",N234="",N234&lt;H234),"",(N234-H234)*1440)</x:f>
      </x:c>
      <x:c r="AJ234" s="87" t="str">
        <x:f>IF(OR(I234="",N234="",N234&lt;I234),"",(N234-I234)*1440)</x:f>
      </x:c>
      <x:c r="AK234" s="87" t="str">
        <x:f>IF(OR(N234="",O234="",O234&lt;N234),"",(O234-N234)*1440)</x:f>
      </x:c>
      <x:c r="AL234" s="87" t="str">
        <x:f>IF(OR(O234="",P234="",P234&lt;O234),"",(P234-O234)*1440)</x:f>
      </x:c>
      <x:c r="AM234" s="87" t="str">
        <x:f>IF(OR(Q234="",R234="",R234&lt;Q234),"",(R234-Q234)*1440)</x:f>
      </x:c>
      <x:c r="AN234" s="87" t="str">
        <x:f>IF(OR(S234="",T234="",T234&lt;S234),"",(T234-S234)*1440)</x:f>
      </x:c>
      <x:c r="AO234" s="87" t="str">
        <x:f>IF(OR(U234="",V234=""),"",V234-U234)</x:f>
      </x:c>
      <x:c r="AP234" s="63" t="str">
        <x:f>IF(A234="","",IF(OR(B234="",H234="",N234=""),"Incompleto",IF(N234&lt;H234,"Revisar",IF(OR(G234="",G234="Não observado"),"Qualidade E0 ausente",IF(OR(G234="Sensor",G234="Marcação física"),"Válido — E0 observado",IF(G234="Cálculo","Válido — E0 calculado","Válido — E0 estimado"))))))</x:f>
      </x:c>
      <x:c r="AQ234" s="63" t="str">
        <x:f>IF(A234="","",IF(COUNTA(H234:T234)&lt;13,"Incompleta",IF(OR(I234&lt;H234,J234&lt;I234,K234&lt;J234,L234&lt;K234,M234&lt;L234,N234&lt;M234,O234&lt;N234,P234&lt;O234,Q234&lt;P234,R234&lt;Q234,S234&lt;R234,T234&lt;S234),"Revisar","Completa")))</x:f>
      </x:c>
      <x:c r="AR234" s="87" t="str">
        <x:f>IF(OR(V234="",W234="",Y234=""),"",Y234-(V234-W234))</x:f>
      </x:c>
      <x:c r="AS234" s="63" t="str">
        <x:f>IF(A234="","",IF(AND(E234&lt;&gt;"",F234&lt;&gt;"",G234&lt;&gt;"",Z234&lt;&gt;"",AA234&lt;&gt;"",AB234&lt;&gt;"",AC234&lt;&gt;""),"Completa","Incompleta"))</x:f>
      </x:c>
      <x:c r="AT234" s="63" t="str">
        <x:f>IF(A234="","",IF(COUNTIF($A$11:$A$410,A234)&gt;1,"ID duplicado",IF(AND(AR234&lt;&gt;"",ABS(AR234)&gt;0.01),"Revisar balanço",IF(AND(W234&lt;&gt;"",V234&lt;&gt;"",W234&gt;V234),"Retirada &gt; estoque",IF(AND(U234&lt;&gt;"",U234&lt;'Cenário Base'!$D$8*'Cenário Base'!$D$74),"E0 abaixo do gatilho",IF(AND(V234&lt;&gt;"",V234&gt;XLOOKUP(B234,$A$414:$A$418,$B$414:$B$418)),"Excedeu capacidade","Sem alerta"))))))</x:f>
      </x:c>
    </x:row>
    <x:row r="235">
      <x:c r="A235" s="43"/>
      <x:c r="B235" s="43"/>
      <x:c r="C235" s="43"/>
      <x:c r="D235" s="43"/>
      <x:c r="E235" s="43"/>
      <x:c r="F235" s="43"/>
      <x:c r="G235" s="43"/>
      <x:c r="H235" s="120"/>
      <x:c r="I235" s="120"/>
      <x:c r="J235" s="120"/>
      <x:c r="K235" s="120"/>
      <x:c r="L235" s="120"/>
      <x:c r="M235" s="120"/>
      <x:c r="N235" s="120"/>
      <x:c r="O235" s="120"/>
      <x:c r="P235" s="120"/>
      <x:c r="Q235" s="120"/>
      <x:c r="R235" s="120"/>
      <x:c r="S235" s="120"/>
      <x:c r="T235" s="120"/>
      <x:c r="U235" s="48"/>
      <x:c r="V235" s="48"/>
      <x:c r="W235" s="48"/>
      <x:c r="X235" s="48"/>
      <x:c r="Y235" s="48"/>
      <x:c r="Z235" s="49"/>
      <x:c r="AA235" s="43"/>
      <x:c r="AB235" s="43"/>
      <x:c r="AC235" s="43"/>
      <x:c r="AD235" s="43"/>
      <x:c r="AE235" s="43"/>
      <x:c r="AF235" s="87" t="str">
        <x:f>IF(OR(H235="",I235="",I235&lt;H235),"",(I235-H235)*1440)</x:f>
      </x:c>
      <x:c r="AG235" s="87" t="str">
        <x:f>IF(OR(I235="",M235="",M235&lt;I235),"",(M235-I235)*1440)</x:f>
      </x:c>
      <x:c r="AH235" s="87" t="str">
        <x:f>IF(OR(M235="",N235="",N235&lt;M235),"",(N235-M235)*1440)</x:f>
      </x:c>
      <x:c r="AI235" s="87" t="str">
        <x:f>IF(OR(H235="",N235="",N235&lt;H235),"",(N235-H235)*1440)</x:f>
      </x:c>
      <x:c r="AJ235" s="87" t="str">
        <x:f>IF(OR(I235="",N235="",N235&lt;I235),"",(N235-I235)*1440)</x:f>
      </x:c>
      <x:c r="AK235" s="87" t="str">
        <x:f>IF(OR(N235="",O235="",O235&lt;N235),"",(O235-N235)*1440)</x:f>
      </x:c>
      <x:c r="AL235" s="87" t="str">
        <x:f>IF(OR(O235="",P235="",P235&lt;O235),"",(P235-O235)*1440)</x:f>
      </x:c>
      <x:c r="AM235" s="87" t="str">
        <x:f>IF(OR(Q235="",R235="",R235&lt;Q235),"",(R235-Q235)*1440)</x:f>
      </x:c>
      <x:c r="AN235" s="87" t="str">
        <x:f>IF(OR(S235="",T235="",T235&lt;S235),"",(T235-S235)*1440)</x:f>
      </x:c>
      <x:c r="AO235" s="87" t="str">
        <x:f>IF(OR(U235="",V235=""),"",V235-U235)</x:f>
      </x:c>
      <x:c r="AP235" s="63" t="str">
        <x:f>IF(A235="","",IF(OR(B235="",H235="",N235=""),"Incompleto",IF(N235&lt;H235,"Revisar",IF(OR(G235="",G235="Não observado"),"Qualidade E0 ausente",IF(OR(G235="Sensor",G235="Marcação física"),"Válido — E0 observado",IF(G235="Cálculo","Válido — E0 calculado","Válido — E0 estimado"))))))</x:f>
      </x:c>
      <x:c r="AQ235" s="63" t="str">
        <x:f>IF(A235="","",IF(COUNTA(H235:T235)&lt;13,"Incompleta",IF(OR(I235&lt;H235,J235&lt;I235,K235&lt;J235,L235&lt;K235,M235&lt;L235,N235&lt;M235,O235&lt;N235,P235&lt;O235,Q235&lt;P235,R235&lt;Q235,S235&lt;R235,T235&lt;S235),"Revisar","Completa")))</x:f>
      </x:c>
      <x:c r="AR235" s="87" t="str">
        <x:f>IF(OR(V235="",W235="",Y235=""),"",Y235-(V235-W235))</x:f>
      </x:c>
      <x:c r="AS235" s="63" t="str">
        <x:f>IF(A235="","",IF(AND(E235&lt;&gt;"",F235&lt;&gt;"",G235&lt;&gt;"",Z235&lt;&gt;"",AA235&lt;&gt;"",AB235&lt;&gt;"",AC235&lt;&gt;""),"Completa","Incompleta"))</x:f>
      </x:c>
      <x:c r="AT235" s="63" t="str">
        <x:f>IF(A235="","",IF(COUNTIF($A$11:$A$410,A235)&gt;1,"ID duplicado",IF(AND(AR235&lt;&gt;"",ABS(AR235)&gt;0.01),"Revisar balanço",IF(AND(W235&lt;&gt;"",V235&lt;&gt;"",W235&gt;V235),"Retirada &gt; estoque",IF(AND(U235&lt;&gt;"",U235&lt;'Cenário Base'!$D$8*'Cenário Base'!$D$74),"E0 abaixo do gatilho",IF(AND(V235&lt;&gt;"",V235&gt;XLOOKUP(B235,$A$414:$A$418,$B$414:$B$418)),"Excedeu capacidade","Sem alerta"))))))</x:f>
      </x:c>
    </x:row>
    <x:row r="236">
      <x:c r="A236" s="43"/>
      <x:c r="B236" s="43"/>
      <x:c r="C236" s="43"/>
      <x:c r="D236" s="43"/>
      <x:c r="E236" s="43"/>
      <x:c r="F236" s="43"/>
      <x:c r="G236" s="43"/>
      <x:c r="H236" s="120"/>
      <x:c r="I236" s="120"/>
      <x:c r="J236" s="120"/>
      <x:c r="K236" s="120"/>
      <x:c r="L236" s="120"/>
      <x:c r="M236" s="120"/>
      <x:c r="N236" s="120"/>
      <x:c r="O236" s="120"/>
      <x:c r="P236" s="120"/>
      <x:c r="Q236" s="120"/>
      <x:c r="R236" s="120"/>
      <x:c r="S236" s="120"/>
      <x:c r="T236" s="120"/>
      <x:c r="U236" s="48"/>
      <x:c r="V236" s="48"/>
      <x:c r="W236" s="48"/>
      <x:c r="X236" s="48"/>
      <x:c r="Y236" s="48"/>
      <x:c r="Z236" s="49"/>
      <x:c r="AA236" s="43"/>
      <x:c r="AB236" s="43"/>
      <x:c r="AC236" s="43"/>
      <x:c r="AD236" s="43"/>
      <x:c r="AE236" s="43"/>
      <x:c r="AF236" s="87" t="str">
        <x:f>IF(OR(H236="",I236="",I236&lt;H236),"",(I236-H236)*1440)</x:f>
      </x:c>
      <x:c r="AG236" s="87" t="str">
        <x:f>IF(OR(I236="",M236="",M236&lt;I236),"",(M236-I236)*1440)</x:f>
      </x:c>
      <x:c r="AH236" s="87" t="str">
        <x:f>IF(OR(M236="",N236="",N236&lt;M236),"",(N236-M236)*1440)</x:f>
      </x:c>
      <x:c r="AI236" s="87" t="str">
        <x:f>IF(OR(H236="",N236="",N236&lt;H236),"",(N236-H236)*1440)</x:f>
      </x:c>
      <x:c r="AJ236" s="87" t="str">
        <x:f>IF(OR(I236="",N236="",N236&lt;I236),"",(N236-I236)*1440)</x:f>
      </x:c>
      <x:c r="AK236" s="87" t="str">
        <x:f>IF(OR(N236="",O236="",O236&lt;N236),"",(O236-N236)*1440)</x:f>
      </x:c>
      <x:c r="AL236" s="87" t="str">
        <x:f>IF(OR(O236="",P236="",P236&lt;O236),"",(P236-O236)*1440)</x:f>
      </x:c>
      <x:c r="AM236" s="87" t="str">
        <x:f>IF(OR(Q236="",R236="",R236&lt;Q236),"",(R236-Q236)*1440)</x:f>
      </x:c>
      <x:c r="AN236" s="87" t="str">
        <x:f>IF(OR(S236="",T236="",T236&lt;S236),"",(T236-S236)*1440)</x:f>
      </x:c>
      <x:c r="AO236" s="87" t="str">
        <x:f>IF(OR(U236="",V236=""),"",V236-U236)</x:f>
      </x:c>
      <x:c r="AP236" s="63" t="str">
        <x:f>IF(A236="","",IF(OR(B236="",H236="",N236=""),"Incompleto",IF(N236&lt;H236,"Revisar",IF(OR(G236="",G236="Não observado"),"Qualidade E0 ausente",IF(OR(G236="Sensor",G236="Marcação física"),"Válido — E0 observado",IF(G236="Cálculo","Válido — E0 calculado","Válido — E0 estimado"))))))</x:f>
      </x:c>
      <x:c r="AQ236" s="63" t="str">
        <x:f>IF(A236="","",IF(COUNTA(H236:T236)&lt;13,"Incompleta",IF(OR(I236&lt;H236,J236&lt;I236,K236&lt;J236,L236&lt;K236,M236&lt;L236,N236&lt;M236,O236&lt;N236,P236&lt;O236,Q236&lt;P236,R236&lt;Q236,S236&lt;R236,T236&lt;S236),"Revisar","Completa")))</x:f>
      </x:c>
      <x:c r="AR236" s="87" t="str">
        <x:f>IF(OR(V236="",W236="",Y236=""),"",Y236-(V236-W236))</x:f>
      </x:c>
      <x:c r="AS236" s="63" t="str">
        <x:f>IF(A236="","",IF(AND(E236&lt;&gt;"",F236&lt;&gt;"",G236&lt;&gt;"",Z236&lt;&gt;"",AA236&lt;&gt;"",AB236&lt;&gt;"",AC236&lt;&gt;""),"Completa","Incompleta"))</x:f>
      </x:c>
      <x:c r="AT236" s="63" t="str">
        <x:f>IF(A236="","",IF(COUNTIF($A$11:$A$410,A236)&gt;1,"ID duplicado",IF(AND(AR236&lt;&gt;"",ABS(AR236)&gt;0.01),"Revisar balanço",IF(AND(W236&lt;&gt;"",V236&lt;&gt;"",W236&gt;V236),"Retirada &gt; estoque",IF(AND(U236&lt;&gt;"",U236&lt;'Cenário Base'!$D$8*'Cenário Base'!$D$74),"E0 abaixo do gatilho",IF(AND(V236&lt;&gt;"",V236&gt;XLOOKUP(B236,$A$414:$A$418,$B$414:$B$418)),"Excedeu capacidade","Sem alerta"))))))</x:f>
      </x:c>
    </x:row>
    <x:row r="237">
      <x:c r="A237" s="43"/>
      <x:c r="B237" s="43"/>
      <x:c r="C237" s="43"/>
      <x:c r="D237" s="43"/>
      <x:c r="E237" s="43"/>
      <x:c r="F237" s="43"/>
      <x:c r="G237" s="43"/>
      <x:c r="H237" s="120"/>
      <x:c r="I237" s="120"/>
      <x:c r="J237" s="120"/>
      <x:c r="K237" s="120"/>
      <x:c r="L237" s="120"/>
      <x:c r="M237" s="120"/>
      <x:c r="N237" s="120"/>
      <x:c r="O237" s="120"/>
      <x:c r="P237" s="120"/>
      <x:c r="Q237" s="120"/>
      <x:c r="R237" s="120"/>
      <x:c r="S237" s="120"/>
      <x:c r="T237" s="120"/>
      <x:c r="U237" s="48"/>
      <x:c r="V237" s="48"/>
      <x:c r="W237" s="48"/>
      <x:c r="X237" s="48"/>
      <x:c r="Y237" s="48"/>
      <x:c r="Z237" s="49"/>
      <x:c r="AA237" s="43"/>
      <x:c r="AB237" s="43"/>
      <x:c r="AC237" s="43"/>
      <x:c r="AD237" s="43"/>
      <x:c r="AE237" s="43"/>
      <x:c r="AF237" s="87" t="str">
        <x:f>IF(OR(H237="",I237="",I237&lt;H237),"",(I237-H237)*1440)</x:f>
      </x:c>
      <x:c r="AG237" s="87" t="str">
        <x:f>IF(OR(I237="",M237="",M237&lt;I237),"",(M237-I237)*1440)</x:f>
      </x:c>
      <x:c r="AH237" s="87" t="str">
        <x:f>IF(OR(M237="",N237="",N237&lt;M237),"",(N237-M237)*1440)</x:f>
      </x:c>
      <x:c r="AI237" s="87" t="str">
        <x:f>IF(OR(H237="",N237="",N237&lt;H237),"",(N237-H237)*1440)</x:f>
      </x:c>
      <x:c r="AJ237" s="87" t="str">
        <x:f>IF(OR(I237="",N237="",N237&lt;I237),"",(N237-I237)*1440)</x:f>
      </x:c>
      <x:c r="AK237" s="87" t="str">
        <x:f>IF(OR(N237="",O237="",O237&lt;N237),"",(O237-N237)*1440)</x:f>
      </x:c>
      <x:c r="AL237" s="87" t="str">
        <x:f>IF(OR(O237="",P237="",P237&lt;O237),"",(P237-O237)*1440)</x:f>
      </x:c>
      <x:c r="AM237" s="87" t="str">
        <x:f>IF(OR(Q237="",R237="",R237&lt;Q237),"",(R237-Q237)*1440)</x:f>
      </x:c>
      <x:c r="AN237" s="87" t="str">
        <x:f>IF(OR(S237="",T237="",T237&lt;S237),"",(T237-S237)*1440)</x:f>
      </x:c>
      <x:c r="AO237" s="87" t="str">
        <x:f>IF(OR(U237="",V237=""),"",V237-U237)</x:f>
      </x:c>
      <x:c r="AP237" s="63" t="str">
        <x:f>IF(A237="","",IF(OR(B237="",H237="",N237=""),"Incompleto",IF(N237&lt;H237,"Revisar",IF(OR(G237="",G237="Não observado"),"Qualidade E0 ausente",IF(OR(G237="Sensor",G237="Marcação física"),"Válido — E0 observado",IF(G237="Cálculo","Válido — E0 calculado","Válido — E0 estimado"))))))</x:f>
      </x:c>
      <x:c r="AQ237" s="63" t="str">
        <x:f>IF(A237="","",IF(COUNTA(H237:T237)&lt;13,"Incompleta",IF(OR(I237&lt;H237,J237&lt;I237,K237&lt;J237,L237&lt;K237,M237&lt;L237,N237&lt;M237,O237&lt;N237,P237&lt;O237,Q237&lt;P237,R237&lt;Q237,S237&lt;R237,T237&lt;S237),"Revisar","Completa")))</x:f>
      </x:c>
      <x:c r="AR237" s="87" t="str">
        <x:f>IF(OR(V237="",W237="",Y237=""),"",Y237-(V237-W237))</x:f>
      </x:c>
      <x:c r="AS237" s="63" t="str">
        <x:f>IF(A237="","",IF(AND(E237&lt;&gt;"",F237&lt;&gt;"",G237&lt;&gt;"",Z237&lt;&gt;"",AA237&lt;&gt;"",AB237&lt;&gt;"",AC237&lt;&gt;""),"Completa","Incompleta"))</x:f>
      </x:c>
      <x:c r="AT237" s="63" t="str">
        <x:f>IF(A237="","",IF(COUNTIF($A$11:$A$410,A237)&gt;1,"ID duplicado",IF(AND(AR237&lt;&gt;"",ABS(AR237)&gt;0.01),"Revisar balanço",IF(AND(W237&lt;&gt;"",V237&lt;&gt;"",W237&gt;V237),"Retirada &gt; estoque",IF(AND(U237&lt;&gt;"",U237&lt;'Cenário Base'!$D$8*'Cenário Base'!$D$74),"E0 abaixo do gatilho",IF(AND(V237&lt;&gt;"",V237&gt;XLOOKUP(B237,$A$414:$A$418,$B$414:$B$418)),"Excedeu capacidade","Sem alerta"))))))</x:f>
      </x:c>
    </x:row>
    <x:row r="238">
      <x:c r="A238" s="43"/>
      <x:c r="B238" s="43"/>
      <x:c r="C238" s="43"/>
      <x:c r="D238" s="43"/>
      <x:c r="E238" s="43"/>
      <x:c r="F238" s="43"/>
      <x:c r="G238" s="43"/>
      <x:c r="H238" s="120"/>
      <x:c r="I238" s="120"/>
      <x:c r="J238" s="120"/>
      <x:c r="K238" s="120"/>
      <x:c r="L238" s="120"/>
      <x:c r="M238" s="120"/>
      <x:c r="N238" s="120"/>
      <x:c r="O238" s="120"/>
      <x:c r="P238" s="120"/>
      <x:c r="Q238" s="120"/>
      <x:c r="R238" s="120"/>
      <x:c r="S238" s="120"/>
      <x:c r="T238" s="120"/>
      <x:c r="U238" s="48"/>
      <x:c r="V238" s="48"/>
      <x:c r="W238" s="48"/>
      <x:c r="X238" s="48"/>
      <x:c r="Y238" s="48"/>
      <x:c r="Z238" s="49"/>
      <x:c r="AA238" s="43"/>
      <x:c r="AB238" s="43"/>
      <x:c r="AC238" s="43"/>
      <x:c r="AD238" s="43"/>
      <x:c r="AE238" s="43"/>
      <x:c r="AF238" s="87" t="str">
        <x:f>IF(OR(H238="",I238="",I238&lt;H238),"",(I238-H238)*1440)</x:f>
      </x:c>
      <x:c r="AG238" s="87" t="str">
        <x:f>IF(OR(I238="",M238="",M238&lt;I238),"",(M238-I238)*1440)</x:f>
      </x:c>
      <x:c r="AH238" s="87" t="str">
        <x:f>IF(OR(M238="",N238="",N238&lt;M238),"",(N238-M238)*1440)</x:f>
      </x:c>
      <x:c r="AI238" s="87" t="str">
        <x:f>IF(OR(H238="",N238="",N238&lt;H238),"",(N238-H238)*1440)</x:f>
      </x:c>
      <x:c r="AJ238" s="87" t="str">
        <x:f>IF(OR(I238="",N238="",N238&lt;I238),"",(N238-I238)*1440)</x:f>
      </x:c>
      <x:c r="AK238" s="87" t="str">
        <x:f>IF(OR(N238="",O238="",O238&lt;N238),"",(O238-N238)*1440)</x:f>
      </x:c>
      <x:c r="AL238" s="87" t="str">
        <x:f>IF(OR(O238="",P238="",P238&lt;O238),"",(P238-O238)*1440)</x:f>
      </x:c>
      <x:c r="AM238" s="87" t="str">
        <x:f>IF(OR(Q238="",R238="",R238&lt;Q238),"",(R238-Q238)*1440)</x:f>
      </x:c>
      <x:c r="AN238" s="87" t="str">
        <x:f>IF(OR(S238="",T238="",T238&lt;S238),"",(T238-S238)*1440)</x:f>
      </x:c>
      <x:c r="AO238" s="87" t="str">
        <x:f>IF(OR(U238="",V238=""),"",V238-U238)</x:f>
      </x:c>
      <x:c r="AP238" s="63" t="str">
        <x:f>IF(A238="","",IF(OR(B238="",H238="",N238=""),"Incompleto",IF(N238&lt;H238,"Revisar",IF(OR(G238="",G238="Não observado"),"Qualidade E0 ausente",IF(OR(G238="Sensor",G238="Marcação física"),"Válido — E0 observado",IF(G238="Cálculo","Válido — E0 calculado","Válido — E0 estimado"))))))</x:f>
      </x:c>
      <x:c r="AQ238" s="63" t="str">
        <x:f>IF(A238="","",IF(COUNTA(H238:T238)&lt;13,"Incompleta",IF(OR(I238&lt;H238,J238&lt;I238,K238&lt;J238,L238&lt;K238,M238&lt;L238,N238&lt;M238,O238&lt;N238,P238&lt;O238,Q238&lt;P238,R238&lt;Q238,S238&lt;R238,T238&lt;S238),"Revisar","Completa")))</x:f>
      </x:c>
      <x:c r="AR238" s="87" t="str">
        <x:f>IF(OR(V238="",W238="",Y238=""),"",Y238-(V238-W238))</x:f>
      </x:c>
      <x:c r="AS238" s="63" t="str">
        <x:f>IF(A238="","",IF(AND(E238&lt;&gt;"",F238&lt;&gt;"",G238&lt;&gt;"",Z238&lt;&gt;"",AA238&lt;&gt;"",AB238&lt;&gt;"",AC238&lt;&gt;""),"Completa","Incompleta"))</x:f>
      </x:c>
      <x:c r="AT238" s="63" t="str">
        <x:f>IF(A238="","",IF(COUNTIF($A$11:$A$410,A238)&gt;1,"ID duplicado",IF(AND(AR238&lt;&gt;"",ABS(AR238)&gt;0.01),"Revisar balanço",IF(AND(W238&lt;&gt;"",V238&lt;&gt;"",W238&gt;V238),"Retirada &gt; estoque",IF(AND(U238&lt;&gt;"",U238&lt;'Cenário Base'!$D$8*'Cenário Base'!$D$74),"E0 abaixo do gatilho",IF(AND(V238&lt;&gt;"",V238&gt;XLOOKUP(B238,$A$414:$A$418,$B$414:$B$418)),"Excedeu capacidade","Sem alerta"))))))</x:f>
      </x:c>
    </x:row>
    <x:row r="239">
      <x:c r="A239" s="43"/>
      <x:c r="B239" s="43"/>
      <x:c r="C239" s="43"/>
      <x:c r="D239" s="43"/>
      <x:c r="E239" s="43"/>
      <x:c r="F239" s="43"/>
      <x:c r="G239" s="43"/>
      <x:c r="H239" s="120"/>
      <x:c r="I239" s="120"/>
      <x:c r="J239" s="120"/>
      <x:c r="K239" s="120"/>
      <x:c r="L239" s="120"/>
      <x:c r="M239" s="120"/>
      <x:c r="N239" s="120"/>
      <x:c r="O239" s="120"/>
      <x:c r="P239" s="120"/>
      <x:c r="Q239" s="120"/>
      <x:c r="R239" s="120"/>
      <x:c r="S239" s="120"/>
      <x:c r="T239" s="120"/>
      <x:c r="U239" s="48"/>
      <x:c r="V239" s="48"/>
      <x:c r="W239" s="48"/>
      <x:c r="X239" s="48"/>
      <x:c r="Y239" s="48"/>
      <x:c r="Z239" s="49"/>
      <x:c r="AA239" s="43"/>
      <x:c r="AB239" s="43"/>
      <x:c r="AC239" s="43"/>
      <x:c r="AD239" s="43"/>
      <x:c r="AE239" s="43"/>
      <x:c r="AF239" s="87" t="str">
        <x:f>IF(OR(H239="",I239="",I239&lt;H239),"",(I239-H239)*1440)</x:f>
      </x:c>
      <x:c r="AG239" s="87" t="str">
        <x:f>IF(OR(I239="",M239="",M239&lt;I239),"",(M239-I239)*1440)</x:f>
      </x:c>
      <x:c r="AH239" s="87" t="str">
        <x:f>IF(OR(M239="",N239="",N239&lt;M239),"",(N239-M239)*1440)</x:f>
      </x:c>
      <x:c r="AI239" s="87" t="str">
        <x:f>IF(OR(H239="",N239="",N239&lt;H239),"",(N239-H239)*1440)</x:f>
      </x:c>
      <x:c r="AJ239" s="87" t="str">
        <x:f>IF(OR(I239="",N239="",N239&lt;I239),"",(N239-I239)*1440)</x:f>
      </x:c>
      <x:c r="AK239" s="87" t="str">
        <x:f>IF(OR(N239="",O239="",O239&lt;N239),"",(O239-N239)*1440)</x:f>
      </x:c>
      <x:c r="AL239" s="87" t="str">
        <x:f>IF(OR(O239="",P239="",P239&lt;O239),"",(P239-O239)*1440)</x:f>
      </x:c>
      <x:c r="AM239" s="87" t="str">
        <x:f>IF(OR(Q239="",R239="",R239&lt;Q239),"",(R239-Q239)*1440)</x:f>
      </x:c>
      <x:c r="AN239" s="87" t="str">
        <x:f>IF(OR(S239="",T239="",T239&lt;S239),"",(T239-S239)*1440)</x:f>
      </x:c>
      <x:c r="AO239" s="87" t="str">
        <x:f>IF(OR(U239="",V239=""),"",V239-U239)</x:f>
      </x:c>
      <x:c r="AP239" s="63" t="str">
        <x:f>IF(A239="","",IF(OR(B239="",H239="",N239=""),"Incompleto",IF(N239&lt;H239,"Revisar",IF(OR(G239="",G239="Não observado"),"Qualidade E0 ausente",IF(OR(G239="Sensor",G239="Marcação física"),"Válido — E0 observado",IF(G239="Cálculo","Válido — E0 calculado","Válido — E0 estimado"))))))</x:f>
      </x:c>
      <x:c r="AQ239" s="63" t="str">
        <x:f>IF(A239="","",IF(COUNTA(H239:T239)&lt;13,"Incompleta",IF(OR(I239&lt;H239,J239&lt;I239,K239&lt;J239,L239&lt;K239,M239&lt;L239,N239&lt;M239,O239&lt;N239,P239&lt;O239,Q239&lt;P239,R239&lt;Q239,S239&lt;R239,T239&lt;S239),"Revisar","Completa")))</x:f>
      </x:c>
      <x:c r="AR239" s="87" t="str">
        <x:f>IF(OR(V239="",W239="",Y239=""),"",Y239-(V239-W239))</x:f>
      </x:c>
      <x:c r="AS239" s="63" t="str">
        <x:f>IF(A239="","",IF(AND(E239&lt;&gt;"",F239&lt;&gt;"",G239&lt;&gt;"",Z239&lt;&gt;"",AA239&lt;&gt;"",AB239&lt;&gt;"",AC239&lt;&gt;""),"Completa","Incompleta"))</x:f>
      </x:c>
      <x:c r="AT239" s="63" t="str">
        <x:f>IF(A239="","",IF(COUNTIF($A$11:$A$410,A239)&gt;1,"ID duplicado",IF(AND(AR239&lt;&gt;"",ABS(AR239)&gt;0.01),"Revisar balanço",IF(AND(W239&lt;&gt;"",V239&lt;&gt;"",W239&gt;V239),"Retirada &gt; estoque",IF(AND(U239&lt;&gt;"",U239&lt;'Cenário Base'!$D$8*'Cenário Base'!$D$74),"E0 abaixo do gatilho",IF(AND(V239&lt;&gt;"",V239&gt;XLOOKUP(B239,$A$414:$A$418,$B$414:$B$418)),"Excedeu capacidade","Sem alerta"))))))</x:f>
      </x:c>
    </x:row>
    <x:row r="240">
      <x:c r="A240" s="43"/>
      <x:c r="B240" s="43"/>
      <x:c r="C240" s="43"/>
      <x:c r="D240" s="43"/>
      <x:c r="E240" s="43"/>
      <x:c r="F240" s="43"/>
      <x:c r="G240" s="43"/>
      <x:c r="H240" s="120"/>
      <x:c r="I240" s="120"/>
      <x:c r="J240" s="120"/>
      <x:c r="K240" s="120"/>
      <x:c r="L240" s="120"/>
      <x:c r="M240" s="120"/>
      <x:c r="N240" s="120"/>
      <x:c r="O240" s="120"/>
      <x:c r="P240" s="120"/>
      <x:c r="Q240" s="120"/>
      <x:c r="R240" s="120"/>
      <x:c r="S240" s="120"/>
      <x:c r="T240" s="120"/>
      <x:c r="U240" s="48"/>
      <x:c r="V240" s="48"/>
      <x:c r="W240" s="48"/>
      <x:c r="X240" s="48"/>
      <x:c r="Y240" s="48"/>
      <x:c r="Z240" s="49"/>
      <x:c r="AA240" s="43"/>
      <x:c r="AB240" s="43"/>
      <x:c r="AC240" s="43"/>
      <x:c r="AD240" s="43"/>
      <x:c r="AE240" s="43"/>
      <x:c r="AF240" s="87" t="str">
        <x:f>IF(OR(H240="",I240="",I240&lt;H240),"",(I240-H240)*1440)</x:f>
      </x:c>
      <x:c r="AG240" s="87" t="str">
        <x:f>IF(OR(I240="",M240="",M240&lt;I240),"",(M240-I240)*1440)</x:f>
      </x:c>
      <x:c r="AH240" s="87" t="str">
        <x:f>IF(OR(M240="",N240="",N240&lt;M240),"",(N240-M240)*1440)</x:f>
      </x:c>
      <x:c r="AI240" s="87" t="str">
        <x:f>IF(OR(H240="",N240="",N240&lt;H240),"",(N240-H240)*1440)</x:f>
      </x:c>
      <x:c r="AJ240" s="87" t="str">
        <x:f>IF(OR(I240="",N240="",N240&lt;I240),"",(N240-I240)*1440)</x:f>
      </x:c>
      <x:c r="AK240" s="87" t="str">
        <x:f>IF(OR(N240="",O240="",O240&lt;N240),"",(O240-N240)*1440)</x:f>
      </x:c>
      <x:c r="AL240" s="87" t="str">
        <x:f>IF(OR(O240="",P240="",P240&lt;O240),"",(P240-O240)*1440)</x:f>
      </x:c>
      <x:c r="AM240" s="87" t="str">
        <x:f>IF(OR(Q240="",R240="",R240&lt;Q240),"",(R240-Q240)*1440)</x:f>
      </x:c>
      <x:c r="AN240" s="87" t="str">
        <x:f>IF(OR(S240="",T240="",T240&lt;S240),"",(T240-S240)*1440)</x:f>
      </x:c>
      <x:c r="AO240" s="87" t="str">
        <x:f>IF(OR(U240="",V240=""),"",V240-U240)</x:f>
      </x:c>
      <x:c r="AP240" s="63" t="str">
        <x:f>IF(A240="","",IF(OR(B240="",H240="",N240=""),"Incompleto",IF(N240&lt;H240,"Revisar",IF(OR(G240="",G240="Não observado"),"Qualidade E0 ausente",IF(OR(G240="Sensor",G240="Marcação física"),"Válido — E0 observado",IF(G240="Cálculo","Válido — E0 calculado","Válido — E0 estimado"))))))</x:f>
      </x:c>
      <x:c r="AQ240" s="63" t="str">
        <x:f>IF(A240="","",IF(COUNTA(H240:T240)&lt;13,"Incompleta",IF(OR(I240&lt;H240,J240&lt;I240,K240&lt;J240,L240&lt;K240,M240&lt;L240,N240&lt;M240,O240&lt;N240,P240&lt;O240,Q240&lt;P240,R240&lt;Q240,S240&lt;R240,T240&lt;S240),"Revisar","Completa")))</x:f>
      </x:c>
      <x:c r="AR240" s="87" t="str">
        <x:f>IF(OR(V240="",W240="",Y240=""),"",Y240-(V240-W240))</x:f>
      </x:c>
      <x:c r="AS240" s="63" t="str">
        <x:f>IF(A240="","",IF(AND(E240&lt;&gt;"",F240&lt;&gt;"",G240&lt;&gt;"",Z240&lt;&gt;"",AA240&lt;&gt;"",AB240&lt;&gt;"",AC240&lt;&gt;""),"Completa","Incompleta"))</x:f>
      </x:c>
      <x:c r="AT240" s="63" t="str">
        <x:f>IF(A240="","",IF(COUNTIF($A$11:$A$410,A240)&gt;1,"ID duplicado",IF(AND(AR240&lt;&gt;"",ABS(AR240)&gt;0.01),"Revisar balanço",IF(AND(W240&lt;&gt;"",V240&lt;&gt;"",W240&gt;V240),"Retirada &gt; estoque",IF(AND(U240&lt;&gt;"",U240&lt;'Cenário Base'!$D$8*'Cenário Base'!$D$74),"E0 abaixo do gatilho",IF(AND(V240&lt;&gt;"",V240&gt;XLOOKUP(B240,$A$414:$A$418,$B$414:$B$418)),"Excedeu capacidade","Sem alerta"))))))</x:f>
      </x:c>
    </x:row>
    <x:row r="241">
      <x:c r="A241" s="43"/>
      <x:c r="B241" s="43"/>
      <x:c r="C241" s="43"/>
      <x:c r="D241" s="43"/>
      <x:c r="E241" s="43"/>
      <x:c r="F241" s="43"/>
      <x:c r="G241" s="43"/>
      <x:c r="H241" s="120"/>
      <x:c r="I241" s="120"/>
      <x:c r="J241" s="120"/>
      <x:c r="K241" s="120"/>
      <x:c r="L241" s="120"/>
      <x:c r="M241" s="120"/>
      <x:c r="N241" s="120"/>
      <x:c r="O241" s="120"/>
      <x:c r="P241" s="120"/>
      <x:c r="Q241" s="120"/>
      <x:c r="R241" s="120"/>
      <x:c r="S241" s="120"/>
      <x:c r="T241" s="120"/>
      <x:c r="U241" s="48"/>
      <x:c r="V241" s="48"/>
      <x:c r="W241" s="48"/>
      <x:c r="X241" s="48"/>
      <x:c r="Y241" s="48"/>
      <x:c r="Z241" s="49"/>
      <x:c r="AA241" s="43"/>
      <x:c r="AB241" s="43"/>
      <x:c r="AC241" s="43"/>
      <x:c r="AD241" s="43"/>
      <x:c r="AE241" s="43"/>
      <x:c r="AF241" s="87" t="str">
        <x:f>IF(OR(H241="",I241="",I241&lt;H241),"",(I241-H241)*1440)</x:f>
      </x:c>
      <x:c r="AG241" s="87" t="str">
        <x:f>IF(OR(I241="",M241="",M241&lt;I241),"",(M241-I241)*1440)</x:f>
      </x:c>
      <x:c r="AH241" s="87" t="str">
        <x:f>IF(OR(M241="",N241="",N241&lt;M241),"",(N241-M241)*1440)</x:f>
      </x:c>
      <x:c r="AI241" s="87" t="str">
        <x:f>IF(OR(H241="",N241="",N241&lt;H241),"",(N241-H241)*1440)</x:f>
      </x:c>
      <x:c r="AJ241" s="87" t="str">
        <x:f>IF(OR(I241="",N241="",N241&lt;I241),"",(N241-I241)*1440)</x:f>
      </x:c>
      <x:c r="AK241" s="87" t="str">
        <x:f>IF(OR(N241="",O241="",O241&lt;N241),"",(O241-N241)*1440)</x:f>
      </x:c>
      <x:c r="AL241" s="87" t="str">
        <x:f>IF(OR(O241="",P241="",P241&lt;O241),"",(P241-O241)*1440)</x:f>
      </x:c>
      <x:c r="AM241" s="87" t="str">
        <x:f>IF(OR(Q241="",R241="",R241&lt;Q241),"",(R241-Q241)*1440)</x:f>
      </x:c>
      <x:c r="AN241" s="87" t="str">
        <x:f>IF(OR(S241="",T241="",T241&lt;S241),"",(T241-S241)*1440)</x:f>
      </x:c>
      <x:c r="AO241" s="87" t="str">
        <x:f>IF(OR(U241="",V241=""),"",V241-U241)</x:f>
      </x:c>
      <x:c r="AP241" s="63" t="str">
        <x:f>IF(A241="","",IF(OR(B241="",H241="",N241=""),"Incompleto",IF(N241&lt;H241,"Revisar",IF(OR(G241="",G241="Não observado"),"Qualidade E0 ausente",IF(OR(G241="Sensor",G241="Marcação física"),"Válido — E0 observado",IF(G241="Cálculo","Válido — E0 calculado","Válido — E0 estimado"))))))</x:f>
      </x:c>
      <x:c r="AQ241" s="63" t="str">
        <x:f>IF(A241="","",IF(COUNTA(H241:T241)&lt;13,"Incompleta",IF(OR(I241&lt;H241,J241&lt;I241,K241&lt;J241,L241&lt;K241,M241&lt;L241,N241&lt;M241,O241&lt;N241,P241&lt;O241,Q241&lt;P241,R241&lt;Q241,S241&lt;R241,T241&lt;S241),"Revisar","Completa")))</x:f>
      </x:c>
      <x:c r="AR241" s="87" t="str">
        <x:f>IF(OR(V241="",W241="",Y241=""),"",Y241-(V241-W241))</x:f>
      </x:c>
      <x:c r="AS241" s="63" t="str">
        <x:f>IF(A241="","",IF(AND(E241&lt;&gt;"",F241&lt;&gt;"",G241&lt;&gt;"",Z241&lt;&gt;"",AA241&lt;&gt;"",AB241&lt;&gt;"",AC241&lt;&gt;""),"Completa","Incompleta"))</x:f>
      </x:c>
      <x:c r="AT241" s="63" t="str">
        <x:f>IF(A241="","",IF(COUNTIF($A$11:$A$410,A241)&gt;1,"ID duplicado",IF(AND(AR241&lt;&gt;"",ABS(AR241)&gt;0.01),"Revisar balanço",IF(AND(W241&lt;&gt;"",V241&lt;&gt;"",W241&gt;V241),"Retirada &gt; estoque",IF(AND(U241&lt;&gt;"",U241&lt;'Cenário Base'!$D$8*'Cenário Base'!$D$74),"E0 abaixo do gatilho",IF(AND(V241&lt;&gt;"",V241&gt;XLOOKUP(B241,$A$414:$A$418,$B$414:$B$418)),"Excedeu capacidade","Sem alerta"))))))</x:f>
      </x:c>
    </x:row>
    <x:row r="242">
      <x:c r="A242" s="43"/>
      <x:c r="B242" s="43"/>
      <x:c r="C242" s="43"/>
      <x:c r="D242" s="43"/>
      <x:c r="E242" s="43"/>
      <x:c r="F242" s="43"/>
      <x:c r="G242" s="43"/>
      <x:c r="H242" s="120"/>
      <x:c r="I242" s="120"/>
      <x:c r="J242" s="120"/>
      <x:c r="K242" s="120"/>
      <x:c r="L242" s="120"/>
      <x:c r="M242" s="120"/>
      <x:c r="N242" s="120"/>
      <x:c r="O242" s="120"/>
      <x:c r="P242" s="120"/>
      <x:c r="Q242" s="120"/>
      <x:c r="R242" s="120"/>
      <x:c r="S242" s="120"/>
      <x:c r="T242" s="120"/>
      <x:c r="U242" s="48"/>
      <x:c r="V242" s="48"/>
      <x:c r="W242" s="48"/>
      <x:c r="X242" s="48"/>
      <x:c r="Y242" s="48"/>
      <x:c r="Z242" s="49"/>
      <x:c r="AA242" s="43"/>
      <x:c r="AB242" s="43"/>
      <x:c r="AC242" s="43"/>
      <x:c r="AD242" s="43"/>
      <x:c r="AE242" s="43"/>
      <x:c r="AF242" s="87" t="str">
        <x:f>IF(OR(H242="",I242="",I242&lt;H242),"",(I242-H242)*1440)</x:f>
      </x:c>
      <x:c r="AG242" s="87" t="str">
        <x:f>IF(OR(I242="",M242="",M242&lt;I242),"",(M242-I242)*1440)</x:f>
      </x:c>
      <x:c r="AH242" s="87" t="str">
        <x:f>IF(OR(M242="",N242="",N242&lt;M242),"",(N242-M242)*1440)</x:f>
      </x:c>
      <x:c r="AI242" s="87" t="str">
        <x:f>IF(OR(H242="",N242="",N242&lt;H242),"",(N242-H242)*1440)</x:f>
      </x:c>
      <x:c r="AJ242" s="87" t="str">
        <x:f>IF(OR(I242="",N242="",N242&lt;I242),"",(N242-I242)*1440)</x:f>
      </x:c>
      <x:c r="AK242" s="87" t="str">
        <x:f>IF(OR(N242="",O242="",O242&lt;N242),"",(O242-N242)*1440)</x:f>
      </x:c>
      <x:c r="AL242" s="87" t="str">
        <x:f>IF(OR(O242="",P242="",P242&lt;O242),"",(P242-O242)*1440)</x:f>
      </x:c>
      <x:c r="AM242" s="87" t="str">
        <x:f>IF(OR(Q242="",R242="",R242&lt;Q242),"",(R242-Q242)*1440)</x:f>
      </x:c>
      <x:c r="AN242" s="87" t="str">
        <x:f>IF(OR(S242="",T242="",T242&lt;S242),"",(T242-S242)*1440)</x:f>
      </x:c>
      <x:c r="AO242" s="87" t="str">
        <x:f>IF(OR(U242="",V242=""),"",V242-U242)</x:f>
      </x:c>
      <x:c r="AP242" s="63" t="str">
        <x:f>IF(A242="","",IF(OR(B242="",H242="",N242=""),"Incompleto",IF(N242&lt;H242,"Revisar",IF(OR(G242="",G242="Não observado"),"Qualidade E0 ausente",IF(OR(G242="Sensor",G242="Marcação física"),"Válido — E0 observado",IF(G242="Cálculo","Válido — E0 calculado","Válido — E0 estimado"))))))</x:f>
      </x:c>
      <x:c r="AQ242" s="63" t="str">
        <x:f>IF(A242="","",IF(COUNTA(H242:T242)&lt;13,"Incompleta",IF(OR(I242&lt;H242,J242&lt;I242,K242&lt;J242,L242&lt;K242,M242&lt;L242,N242&lt;M242,O242&lt;N242,P242&lt;O242,Q242&lt;P242,R242&lt;Q242,S242&lt;R242,T242&lt;S242),"Revisar","Completa")))</x:f>
      </x:c>
      <x:c r="AR242" s="87" t="str">
        <x:f>IF(OR(V242="",W242="",Y242=""),"",Y242-(V242-W242))</x:f>
      </x:c>
      <x:c r="AS242" s="63" t="str">
        <x:f>IF(A242="","",IF(AND(E242&lt;&gt;"",F242&lt;&gt;"",G242&lt;&gt;"",Z242&lt;&gt;"",AA242&lt;&gt;"",AB242&lt;&gt;"",AC242&lt;&gt;""),"Completa","Incompleta"))</x:f>
      </x:c>
      <x:c r="AT242" s="63" t="str">
        <x:f>IF(A242="","",IF(COUNTIF($A$11:$A$410,A242)&gt;1,"ID duplicado",IF(AND(AR242&lt;&gt;"",ABS(AR242)&gt;0.01),"Revisar balanço",IF(AND(W242&lt;&gt;"",V242&lt;&gt;"",W242&gt;V242),"Retirada &gt; estoque",IF(AND(U242&lt;&gt;"",U242&lt;'Cenário Base'!$D$8*'Cenário Base'!$D$74),"E0 abaixo do gatilho",IF(AND(V242&lt;&gt;"",V242&gt;XLOOKUP(B242,$A$414:$A$418,$B$414:$B$418)),"Excedeu capacidade","Sem alerta"))))))</x:f>
      </x:c>
    </x:row>
    <x:row r="243">
      <x:c r="A243" s="43"/>
      <x:c r="B243" s="43"/>
      <x:c r="C243" s="43"/>
      <x:c r="D243" s="43"/>
      <x:c r="E243" s="43"/>
      <x:c r="F243" s="43"/>
      <x:c r="G243" s="43"/>
      <x:c r="H243" s="120"/>
      <x:c r="I243" s="120"/>
      <x:c r="J243" s="120"/>
      <x:c r="K243" s="120"/>
      <x:c r="L243" s="120"/>
      <x:c r="M243" s="120"/>
      <x:c r="N243" s="120"/>
      <x:c r="O243" s="120"/>
      <x:c r="P243" s="120"/>
      <x:c r="Q243" s="120"/>
      <x:c r="R243" s="120"/>
      <x:c r="S243" s="120"/>
      <x:c r="T243" s="120"/>
      <x:c r="U243" s="48"/>
      <x:c r="V243" s="48"/>
      <x:c r="W243" s="48"/>
      <x:c r="X243" s="48"/>
      <x:c r="Y243" s="48"/>
      <x:c r="Z243" s="49"/>
      <x:c r="AA243" s="43"/>
      <x:c r="AB243" s="43"/>
      <x:c r="AC243" s="43"/>
      <x:c r="AD243" s="43"/>
      <x:c r="AE243" s="43"/>
      <x:c r="AF243" s="87" t="str">
        <x:f>IF(OR(H243="",I243="",I243&lt;H243),"",(I243-H243)*1440)</x:f>
      </x:c>
      <x:c r="AG243" s="87" t="str">
        <x:f>IF(OR(I243="",M243="",M243&lt;I243),"",(M243-I243)*1440)</x:f>
      </x:c>
      <x:c r="AH243" s="87" t="str">
        <x:f>IF(OR(M243="",N243="",N243&lt;M243),"",(N243-M243)*1440)</x:f>
      </x:c>
      <x:c r="AI243" s="87" t="str">
        <x:f>IF(OR(H243="",N243="",N243&lt;H243),"",(N243-H243)*1440)</x:f>
      </x:c>
      <x:c r="AJ243" s="87" t="str">
        <x:f>IF(OR(I243="",N243="",N243&lt;I243),"",(N243-I243)*1440)</x:f>
      </x:c>
      <x:c r="AK243" s="87" t="str">
        <x:f>IF(OR(N243="",O243="",O243&lt;N243),"",(O243-N243)*1440)</x:f>
      </x:c>
      <x:c r="AL243" s="87" t="str">
        <x:f>IF(OR(O243="",P243="",P243&lt;O243),"",(P243-O243)*1440)</x:f>
      </x:c>
      <x:c r="AM243" s="87" t="str">
        <x:f>IF(OR(Q243="",R243="",R243&lt;Q243),"",(R243-Q243)*1440)</x:f>
      </x:c>
      <x:c r="AN243" s="87" t="str">
        <x:f>IF(OR(S243="",T243="",T243&lt;S243),"",(T243-S243)*1440)</x:f>
      </x:c>
      <x:c r="AO243" s="87" t="str">
        <x:f>IF(OR(U243="",V243=""),"",V243-U243)</x:f>
      </x:c>
      <x:c r="AP243" s="63" t="str">
        <x:f>IF(A243="","",IF(OR(B243="",H243="",N243=""),"Incompleto",IF(N243&lt;H243,"Revisar",IF(OR(G243="",G243="Não observado"),"Qualidade E0 ausente",IF(OR(G243="Sensor",G243="Marcação física"),"Válido — E0 observado",IF(G243="Cálculo","Válido — E0 calculado","Válido — E0 estimado"))))))</x:f>
      </x:c>
      <x:c r="AQ243" s="63" t="str">
        <x:f>IF(A243="","",IF(COUNTA(H243:T243)&lt;13,"Incompleta",IF(OR(I243&lt;H243,J243&lt;I243,K243&lt;J243,L243&lt;K243,M243&lt;L243,N243&lt;M243,O243&lt;N243,P243&lt;O243,Q243&lt;P243,R243&lt;Q243,S243&lt;R243,T243&lt;S243),"Revisar","Completa")))</x:f>
      </x:c>
      <x:c r="AR243" s="87" t="str">
        <x:f>IF(OR(V243="",W243="",Y243=""),"",Y243-(V243-W243))</x:f>
      </x:c>
      <x:c r="AS243" s="63" t="str">
        <x:f>IF(A243="","",IF(AND(E243&lt;&gt;"",F243&lt;&gt;"",G243&lt;&gt;"",Z243&lt;&gt;"",AA243&lt;&gt;"",AB243&lt;&gt;"",AC243&lt;&gt;""),"Completa","Incompleta"))</x:f>
      </x:c>
      <x:c r="AT243" s="63" t="str">
        <x:f>IF(A243="","",IF(COUNTIF($A$11:$A$410,A243)&gt;1,"ID duplicado",IF(AND(AR243&lt;&gt;"",ABS(AR243)&gt;0.01),"Revisar balanço",IF(AND(W243&lt;&gt;"",V243&lt;&gt;"",W243&gt;V243),"Retirada &gt; estoque",IF(AND(U243&lt;&gt;"",U243&lt;'Cenário Base'!$D$8*'Cenário Base'!$D$74),"E0 abaixo do gatilho",IF(AND(V243&lt;&gt;"",V243&gt;XLOOKUP(B243,$A$414:$A$418,$B$414:$B$418)),"Excedeu capacidade","Sem alerta"))))))</x:f>
      </x:c>
    </x:row>
    <x:row r="244">
      <x:c r="A244" s="43"/>
      <x:c r="B244" s="43"/>
      <x:c r="C244" s="43"/>
      <x:c r="D244" s="43"/>
      <x:c r="E244" s="43"/>
      <x:c r="F244" s="43"/>
      <x:c r="G244" s="43"/>
      <x:c r="H244" s="120"/>
      <x:c r="I244" s="120"/>
      <x:c r="J244" s="120"/>
      <x:c r="K244" s="120"/>
      <x:c r="L244" s="120"/>
      <x:c r="M244" s="120"/>
      <x:c r="N244" s="120"/>
      <x:c r="O244" s="120"/>
      <x:c r="P244" s="120"/>
      <x:c r="Q244" s="120"/>
      <x:c r="R244" s="120"/>
      <x:c r="S244" s="120"/>
      <x:c r="T244" s="120"/>
      <x:c r="U244" s="48"/>
      <x:c r="V244" s="48"/>
      <x:c r="W244" s="48"/>
      <x:c r="X244" s="48"/>
      <x:c r="Y244" s="48"/>
      <x:c r="Z244" s="49"/>
      <x:c r="AA244" s="43"/>
      <x:c r="AB244" s="43"/>
      <x:c r="AC244" s="43"/>
      <x:c r="AD244" s="43"/>
      <x:c r="AE244" s="43"/>
      <x:c r="AF244" s="87" t="str">
        <x:f>IF(OR(H244="",I244="",I244&lt;H244),"",(I244-H244)*1440)</x:f>
      </x:c>
      <x:c r="AG244" s="87" t="str">
        <x:f>IF(OR(I244="",M244="",M244&lt;I244),"",(M244-I244)*1440)</x:f>
      </x:c>
      <x:c r="AH244" s="87" t="str">
        <x:f>IF(OR(M244="",N244="",N244&lt;M244),"",(N244-M244)*1440)</x:f>
      </x:c>
      <x:c r="AI244" s="87" t="str">
        <x:f>IF(OR(H244="",N244="",N244&lt;H244),"",(N244-H244)*1440)</x:f>
      </x:c>
      <x:c r="AJ244" s="87" t="str">
        <x:f>IF(OR(I244="",N244="",N244&lt;I244),"",(N244-I244)*1440)</x:f>
      </x:c>
      <x:c r="AK244" s="87" t="str">
        <x:f>IF(OR(N244="",O244="",O244&lt;N244),"",(O244-N244)*1440)</x:f>
      </x:c>
      <x:c r="AL244" s="87" t="str">
        <x:f>IF(OR(O244="",P244="",P244&lt;O244),"",(P244-O244)*1440)</x:f>
      </x:c>
      <x:c r="AM244" s="87" t="str">
        <x:f>IF(OR(Q244="",R244="",R244&lt;Q244),"",(R244-Q244)*1440)</x:f>
      </x:c>
      <x:c r="AN244" s="87" t="str">
        <x:f>IF(OR(S244="",T244="",T244&lt;S244),"",(T244-S244)*1440)</x:f>
      </x:c>
      <x:c r="AO244" s="87" t="str">
        <x:f>IF(OR(U244="",V244=""),"",V244-U244)</x:f>
      </x:c>
      <x:c r="AP244" s="63" t="str">
        <x:f>IF(A244="","",IF(OR(B244="",H244="",N244=""),"Incompleto",IF(N244&lt;H244,"Revisar",IF(OR(G244="",G244="Não observado"),"Qualidade E0 ausente",IF(OR(G244="Sensor",G244="Marcação física"),"Válido — E0 observado",IF(G244="Cálculo","Válido — E0 calculado","Válido — E0 estimado"))))))</x:f>
      </x:c>
      <x:c r="AQ244" s="63" t="str">
        <x:f>IF(A244="","",IF(COUNTA(H244:T244)&lt;13,"Incompleta",IF(OR(I244&lt;H244,J244&lt;I244,K244&lt;J244,L244&lt;K244,M244&lt;L244,N244&lt;M244,O244&lt;N244,P244&lt;O244,Q244&lt;P244,R244&lt;Q244,S244&lt;R244,T244&lt;S244),"Revisar","Completa")))</x:f>
      </x:c>
      <x:c r="AR244" s="87" t="str">
        <x:f>IF(OR(V244="",W244="",Y244=""),"",Y244-(V244-W244))</x:f>
      </x:c>
      <x:c r="AS244" s="63" t="str">
        <x:f>IF(A244="","",IF(AND(E244&lt;&gt;"",F244&lt;&gt;"",G244&lt;&gt;"",Z244&lt;&gt;"",AA244&lt;&gt;"",AB244&lt;&gt;"",AC244&lt;&gt;""),"Completa","Incompleta"))</x:f>
      </x:c>
      <x:c r="AT244" s="63" t="str">
        <x:f>IF(A244="","",IF(COUNTIF($A$11:$A$410,A244)&gt;1,"ID duplicado",IF(AND(AR244&lt;&gt;"",ABS(AR244)&gt;0.01),"Revisar balanço",IF(AND(W244&lt;&gt;"",V244&lt;&gt;"",W244&gt;V244),"Retirada &gt; estoque",IF(AND(U244&lt;&gt;"",U244&lt;'Cenário Base'!$D$8*'Cenário Base'!$D$74),"E0 abaixo do gatilho",IF(AND(V244&lt;&gt;"",V244&gt;XLOOKUP(B244,$A$414:$A$418,$B$414:$B$418)),"Excedeu capacidade","Sem alerta"))))))</x:f>
      </x:c>
    </x:row>
    <x:row r="245">
      <x:c r="A245" s="43"/>
      <x:c r="B245" s="43"/>
      <x:c r="C245" s="43"/>
      <x:c r="D245" s="43"/>
      <x:c r="E245" s="43"/>
      <x:c r="F245" s="43"/>
      <x:c r="G245" s="43"/>
      <x:c r="H245" s="120"/>
      <x:c r="I245" s="120"/>
      <x:c r="J245" s="120"/>
      <x:c r="K245" s="120"/>
      <x:c r="L245" s="120"/>
      <x:c r="M245" s="120"/>
      <x:c r="N245" s="120"/>
      <x:c r="O245" s="120"/>
      <x:c r="P245" s="120"/>
      <x:c r="Q245" s="120"/>
      <x:c r="R245" s="120"/>
      <x:c r="S245" s="120"/>
      <x:c r="T245" s="120"/>
      <x:c r="U245" s="48"/>
      <x:c r="V245" s="48"/>
      <x:c r="W245" s="48"/>
      <x:c r="X245" s="48"/>
      <x:c r="Y245" s="48"/>
      <x:c r="Z245" s="49"/>
      <x:c r="AA245" s="43"/>
      <x:c r="AB245" s="43"/>
      <x:c r="AC245" s="43"/>
      <x:c r="AD245" s="43"/>
      <x:c r="AE245" s="43"/>
      <x:c r="AF245" s="87" t="str">
        <x:f>IF(OR(H245="",I245="",I245&lt;H245),"",(I245-H245)*1440)</x:f>
      </x:c>
      <x:c r="AG245" s="87" t="str">
        <x:f>IF(OR(I245="",M245="",M245&lt;I245),"",(M245-I245)*1440)</x:f>
      </x:c>
      <x:c r="AH245" s="87" t="str">
        <x:f>IF(OR(M245="",N245="",N245&lt;M245),"",(N245-M245)*1440)</x:f>
      </x:c>
      <x:c r="AI245" s="87" t="str">
        <x:f>IF(OR(H245="",N245="",N245&lt;H245),"",(N245-H245)*1440)</x:f>
      </x:c>
      <x:c r="AJ245" s="87" t="str">
        <x:f>IF(OR(I245="",N245="",N245&lt;I245),"",(N245-I245)*1440)</x:f>
      </x:c>
      <x:c r="AK245" s="87" t="str">
        <x:f>IF(OR(N245="",O245="",O245&lt;N245),"",(O245-N245)*1440)</x:f>
      </x:c>
      <x:c r="AL245" s="87" t="str">
        <x:f>IF(OR(O245="",P245="",P245&lt;O245),"",(P245-O245)*1440)</x:f>
      </x:c>
      <x:c r="AM245" s="87" t="str">
        <x:f>IF(OR(Q245="",R245="",R245&lt;Q245),"",(R245-Q245)*1440)</x:f>
      </x:c>
      <x:c r="AN245" s="87" t="str">
        <x:f>IF(OR(S245="",T245="",T245&lt;S245),"",(T245-S245)*1440)</x:f>
      </x:c>
      <x:c r="AO245" s="87" t="str">
        <x:f>IF(OR(U245="",V245=""),"",V245-U245)</x:f>
      </x:c>
      <x:c r="AP245" s="63" t="str">
        <x:f>IF(A245="","",IF(OR(B245="",H245="",N245=""),"Incompleto",IF(N245&lt;H245,"Revisar",IF(OR(G245="",G245="Não observado"),"Qualidade E0 ausente",IF(OR(G245="Sensor",G245="Marcação física"),"Válido — E0 observado",IF(G245="Cálculo","Válido — E0 calculado","Válido — E0 estimado"))))))</x:f>
      </x:c>
      <x:c r="AQ245" s="63" t="str">
        <x:f>IF(A245="","",IF(COUNTA(H245:T245)&lt;13,"Incompleta",IF(OR(I245&lt;H245,J245&lt;I245,K245&lt;J245,L245&lt;K245,M245&lt;L245,N245&lt;M245,O245&lt;N245,P245&lt;O245,Q245&lt;P245,R245&lt;Q245,S245&lt;R245,T245&lt;S245),"Revisar","Completa")))</x:f>
      </x:c>
      <x:c r="AR245" s="87" t="str">
        <x:f>IF(OR(V245="",W245="",Y245=""),"",Y245-(V245-W245))</x:f>
      </x:c>
      <x:c r="AS245" s="63" t="str">
        <x:f>IF(A245="","",IF(AND(E245&lt;&gt;"",F245&lt;&gt;"",G245&lt;&gt;"",Z245&lt;&gt;"",AA245&lt;&gt;"",AB245&lt;&gt;"",AC245&lt;&gt;""),"Completa","Incompleta"))</x:f>
      </x:c>
      <x:c r="AT245" s="63" t="str">
        <x:f>IF(A245="","",IF(COUNTIF($A$11:$A$410,A245)&gt;1,"ID duplicado",IF(AND(AR245&lt;&gt;"",ABS(AR245)&gt;0.01),"Revisar balanço",IF(AND(W245&lt;&gt;"",V245&lt;&gt;"",W245&gt;V245),"Retirada &gt; estoque",IF(AND(U245&lt;&gt;"",U245&lt;'Cenário Base'!$D$8*'Cenário Base'!$D$74),"E0 abaixo do gatilho",IF(AND(V245&lt;&gt;"",V245&gt;XLOOKUP(B245,$A$414:$A$418,$B$414:$B$418)),"Excedeu capacidade","Sem alerta"))))))</x:f>
      </x:c>
    </x:row>
    <x:row r="246">
      <x:c r="A246" s="43"/>
      <x:c r="B246" s="43"/>
      <x:c r="C246" s="43"/>
      <x:c r="D246" s="43"/>
      <x:c r="E246" s="43"/>
      <x:c r="F246" s="43"/>
      <x:c r="G246" s="43"/>
      <x:c r="H246" s="120"/>
      <x:c r="I246" s="120"/>
      <x:c r="J246" s="120"/>
      <x:c r="K246" s="120"/>
      <x:c r="L246" s="120"/>
      <x:c r="M246" s="120"/>
      <x:c r="N246" s="120"/>
      <x:c r="O246" s="120"/>
      <x:c r="P246" s="120"/>
      <x:c r="Q246" s="120"/>
      <x:c r="R246" s="120"/>
      <x:c r="S246" s="120"/>
      <x:c r="T246" s="120"/>
      <x:c r="U246" s="48"/>
      <x:c r="V246" s="48"/>
      <x:c r="W246" s="48"/>
      <x:c r="X246" s="48"/>
      <x:c r="Y246" s="48"/>
      <x:c r="Z246" s="49"/>
      <x:c r="AA246" s="43"/>
      <x:c r="AB246" s="43"/>
      <x:c r="AC246" s="43"/>
      <x:c r="AD246" s="43"/>
      <x:c r="AE246" s="43"/>
      <x:c r="AF246" s="87" t="str">
        <x:f>IF(OR(H246="",I246="",I246&lt;H246),"",(I246-H246)*1440)</x:f>
      </x:c>
      <x:c r="AG246" s="87" t="str">
        <x:f>IF(OR(I246="",M246="",M246&lt;I246),"",(M246-I246)*1440)</x:f>
      </x:c>
      <x:c r="AH246" s="87" t="str">
        <x:f>IF(OR(M246="",N246="",N246&lt;M246),"",(N246-M246)*1440)</x:f>
      </x:c>
      <x:c r="AI246" s="87" t="str">
        <x:f>IF(OR(H246="",N246="",N246&lt;H246),"",(N246-H246)*1440)</x:f>
      </x:c>
      <x:c r="AJ246" s="87" t="str">
        <x:f>IF(OR(I246="",N246="",N246&lt;I246),"",(N246-I246)*1440)</x:f>
      </x:c>
      <x:c r="AK246" s="87" t="str">
        <x:f>IF(OR(N246="",O246="",O246&lt;N246),"",(O246-N246)*1440)</x:f>
      </x:c>
      <x:c r="AL246" s="87" t="str">
        <x:f>IF(OR(O246="",P246="",P246&lt;O246),"",(P246-O246)*1440)</x:f>
      </x:c>
      <x:c r="AM246" s="87" t="str">
        <x:f>IF(OR(Q246="",R246="",R246&lt;Q246),"",(R246-Q246)*1440)</x:f>
      </x:c>
      <x:c r="AN246" s="87" t="str">
        <x:f>IF(OR(S246="",T246="",T246&lt;S246),"",(T246-S246)*1440)</x:f>
      </x:c>
      <x:c r="AO246" s="87" t="str">
        <x:f>IF(OR(U246="",V246=""),"",V246-U246)</x:f>
      </x:c>
      <x:c r="AP246" s="63" t="str">
        <x:f>IF(A246="","",IF(OR(B246="",H246="",N246=""),"Incompleto",IF(N246&lt;H246,"Revisar",IF(OR(G246="",G246="Não observado"),"Qualidade E0 ausente",IF(OR(G246="Sensor",G246="Marcação física"),"Válido — E0 observado",IF(G246="Cálculo","Válido — E0 calculado","Válido — E0 estimado"))))))</x:f>
      </x:c>
      <x:c r="AQ246" s="63" t="str">
        <x:f>IF(A246="","",IF(COUNTA(H246:T246)&lt;13,"Incompleta",IF(OR(I246&lt;H246,J246&lt;I246,K246&lt;J246,L246&lt;K246,M246&lt;L246,N246&lt;M246,O246&lt;N246,P246&lt;O246,Q246&lt;P246,R246&lt;Q246,S246&lt;R246,T246&lt;S246),"Revisar","Completa")))</x:f>
      </x:c>
      <x:c r="AR246" s="87" t="str">
        <x:f>IF(OR(V246="",W246="",Y246=""),"",Y246-(V246-W246))</x:f>
      </x:c>
      <x:c r="AS246" s="63" t="str">
        <x:f>IF(A246="","",IF(AND(E246&lt;&gt;"",F246&lt;&gt;"",G246&lt;&gt;"",Z246&lt;&gt;"",AA246&lt;&gt;"",AB246&lt;&gt;"",AC246&lt;&gt;""),"Completa","Incompleta"))</x:f>
      </x:c>
      <x:c r="AT246" s="63" t="str">
        <x:f>IF(A246="","",IF(COUNTIF($A$11:$A$410,A246)&gt;1,"ID duplicado",IF(AND(AR246&lt;&gt;"",ABS(AR246)&gt;0.01),"Revisar balanço",IF(AND(W246&lt;&gt;"",V246&lt;&gt;"",W246&gt;V246),"Retirada &gt; estoque",IF(AND(U246&lt;&gt;"",U246&lt;'Cenário Base'!$D$8*'Cenário Base'!$D$74),"E0 abaixo do gatilho",IF(AND(V246&lt;&gt;"",V246&gt;XLOOKUP(B246,$A$414:$A$418,$B$414:$B$418)),"Excedeu capacidade","Sem alerta"))))))</x:f>
      </x:c>
    </x:row>
    <x:row r="247">
      <x:c r="A247" s="43"/>
      <x:c r="B247" s="43"/>
      <x:c r="C247" s="43"/>
      <x:c r="D247" s="43"/>
      <x:c r="E247" s="43"/>
      <x:c r="F247" s="43"/>
      <x:c r="G247" s="43"/>
      <x:c r="H247" s="120"/>
      <x:c r="I247" s="120"/>
      <x:c r="J247" s="120"/>
      <x:c r="K247" s="120"/>
      <x:c r="L247" s="120"/>
      <x:c r="M247" s="120"/>
      <x:c r="N247" s="120"/>
      <x:c r="O247" s="120"/>
      <x:c r="P247" s="120"/>
      <x:c r="Q247" s="120"/>
      <x:c r="R247" s="120"/>
      <x:c r="S247" s="120"/>
      <x:c r="T247" s="120"/>
      <x:c r="U247" s="48"/>
      <x:c r="V247" s="48"/>
      <x:c r="W247" s="48"/>
      <x:c r="X247" s="48"/>
      <x:c r="Y247" s="48"/>
      <x:c r="Z247" s="49"/>
      <x:c r="AA247" s="43"/>
      <x:c r="AB247" s="43"/>
      <x:c r="AC247" s="43"/>
      <x:c r="AD247" s="43"/>
      <x:c r="AE247" s="43"/>
      <x:c r="AF247" s="87" t="str">
        <x:f>IF(OR(H247="",I247="",I247&lt;H247),"",(I247-H247)*1440)</x:f>
      </x:c>
      <x:c r="AG247" s="87" t="str">
        <x:f>IF(OR(I247="",M247="",M247&lt;I247),"",(M247-I247)*1440)</x:f>
      </x:c>
      <x:c r="AH247" s="87" t="str">
        <x:f>IF(OR(M247="",N247="",N247&lt;M247),"",(N247-M247)*1440)</x:f>
      </x:c>
      <x:c r="AI247" s="87" t="str">
        <x:f>IF(OR(H247="",N247="",N247&lt;H247),"",(N247-H247)*1440)</x:f>
      </x:c>
      <x:c r="AJ247" s="87" t="str">
        <x:f>IF(OR(I247="",N247="",N247&lt;I247),"",(N247-I247)*1440)</x:f>
      </x:c>
      <x:c r="AK247" s="87" t="str">
        <x:f>IF(OR(N247="",O247="",O247&lt;N247),"",(O247-N247)*1440)</x:f>
      </x:c>
      <x:c r="AL247" s="87" t="str">
        <x:f>IF(OR(O247="",P247="",P247&lt;O247),"",(P247-O247)*1440)</x:f>
      </x:c>
      <x:c r="AM247" s="87" t="str">
        <x:f>IF(OR(Q247="",R247="",R247&lt;Q247),"",(R247-Q247)*1440)</x:f>
      </x:c>
      <x:c r="AN247" s="87" t="str">
        <x:f>IF(OR(S247="",T247="",T247&lt;S247),"",(T247-S247)*1440)</x:f>
      </x:c>
      <x:c r="AO247" s="87" t="str">
        <x:f>IF(OR(U247="",V247=""),"",V247-U247)</x:f>
      </x:c>
      <x:c r="AP247" s="63" t="str">
        <x:f>IF(A247="","",IF(OR(B247="",H247="",N247=""),"Incompleto",IF(N247&lt;H247,"Revisar",IF(OR(G247="",G247="Não observado"),"Qualidade E0 ausente",IF(OR(G247="Sensor",G247="Marcação física"),"Válido — E0 observado",IF(G247="Cálculo","Válido — E0 calculado","Válido — E0 estimado"))))))</x:f>
      </x:c>
      <x:c r="AQ247" s="63" t="str">
        <x:f>IF(A247="","",IF(COUNTA(H247:T247)&lt;13,"Incompleta",IF(OR(I247&lt;H247,J247&lt;I247,K247&lt;J247,L247&lt;K247,M247&lt;L247,N247&lt;M247,O247&lt;N247,P247&lt;O247,Q247&lt;P247,R247&lt;Q247,S247&lt;R247,T247&lt;S247),"Revisar","Completa")))</x:f>
      </x:c>
      <x:c r="AR247" s="87" t="str">
        <x:f>IF(OR(V247="",W247="",Y247=""),"",Y247-(V247-W247))</x:f>
      </x:c>
      <x:c r="AS247" s="63" t="str">
        <x:f>IF(A247="","",IF(AND(E247&lt;&gt;"",F247&lt;&gt;"",G247&lt;&gt;"",Z247&lt;&gt;"",AA247&lt;&gt;"",AB247&lt;&gt;"",AC247&lt;&gt;""),"Completa","Incompleta"))</x:f>
      </x:c>
      <x:c r="AT247" s="63" t="str">
        <x:f>IF(A247="","",IF(COUNTIF($A$11:$A$410,A247)&gt;1,"ID duplicado",IF(AND(AR247&lt;&gt;"",ABS(AR247)&gt;0.01),"Revisar balanço",IF(AND(W247&lt;&gt;"",V247&lt;&gt;"",W247&gt;V247),"Retirada &gt; estoque",IF(AND(U247&lt;&gt;"",U247&lt;'Cenário Base'!$D$8*'Cenário Base'!$D$74),"E0 abaixo do gatilho",IF(AND(V247&lt;&gt;"",V247&gt;XLOOKUP(B247,$A$414:$A$418,$B$414:$B$418)),"Excedeu capacidade","Sem alerta"))))))</x:f>
      </x:c>
    </x:row>
    <x:row r="248">
      <x:c r="A248" s="43"/>
      <x:c r="B248" s="43"/>
      <x:c r="C248" s="43"/>
      <x:c r="D248" s="43"/>
      <x:c r="E248" s="43"/>
      <x:c r="F248" s="43"/>
      <x:c r="G248" s="43"/>
      <x:c r="H248" s="120"/>
      <x:c r="I248" s="120"/>
      <x:c r="J248" s="120"/>
      <x:c r="K248" s="120"/>
      <x:c r="L248" s="120"/>
      <x:c r="M248" s="120"/>
      <x:c r="N248" s="120"/>
      <x:c r="O248" s="120"/>
      <x:c r="P248" s="120"/>
      <x:c r="Q248" s="120"/>
      <x:c r="R248" s="120"/>
      <x:c r="S248" s="120"/>
      <x:c r="T248" s="120"/>
      <x:c r="U248" s="48"/>
      <x:c r="V248" s="48"/>
      <x:c r="W248" s="48"/>
      <x:c r="X248" s="48"/>
      <x:c r="Y248" s="48"/>
      <x:c r="Z248" s="49"/>
      <x:c r="AA248" s="43"/>
      <x:c r="AB248" s="43"/>
      <x:c r="AC248" s="43"/>
      <x:c r="AD248" s="43"/>
      <x:c r="AE248" s="43"/>
      <x:c r="AF248" s="87" t="str">
        <x:f>IF(OR(H248="",I248="",I248&lt;H248),"",(I248-H248)*1440)</x:f>
      </x:c>
      <x:c r="AG248" s="87" t="str">
        <x:f>IF(OR(I248="",M248="",M248&lt;I248),"",(M248-I248)*1440)</x:f>
      </x:c>
      <x:c r="AH248" s="87" t="str">
        <x:f>IF(OR(M248="",N248="",N248&lt;M248),"",(N248-M248)*1440)</x:f>
      </x:c>
      <x:c r="AI248" s="87" t="str">
        <x:f>IF(OR(H248="",N248="",N248&lt;H248),"",(N248-H248)*1440)</x:f>
      </x:c>
      <x:c r="AJ248" s="87" t="str">
        <x:f>IF(OR(I248="",N248="",N248&lt;I248),"",(N248-I248)*1440)</x:f>
      </x:c>
      <x:c r="AK248" s="87" t="str">
        <x:f>IF(OR(N248="",O248="",O248&lt;N248),"",(O248-N248)*1440)</x:f>
      </x:c>
      <x:c r="AL248" s="87" t="str">
        <x:f>IF(OR(O248="",P248="",P248&lt;O248),"",(P248-O248)*1440)</x:f>
      </x:c>
      <x:c r="AM248" s="87" t="str">
        <x:f>IF(OR(Q248="",R248="",R248&lt;Q248),"",(R248-Q248)*1440)</x:f>
      </x:c>
      <x:c r="AN248" s="87" t="str">
        <x:f>IF(OR(S248="",T248="",T248&lt;S248),"",(T248-S248)*1440)</x:f>
      </x:c>
      <x:c r="AO248" s="87" t="str">
        <x:f>IF(OR(U248="",V248=""),"",V248-U248)</x:f>
      </x:c>
      <x:c r="AP248" s="63" t="str">
        <x:f>IF(A248="","",IF(OR(B248="",H248="",N248=""),"Incompleto",IF(N248&lt;H248,"Revisar",IF(OR(G248="",G248="Não observado"),"Qualidade E0 ausente",IF(OR(G248="Sensor",G248="Marcação física"),"Válido — E0 observado",IF(G248="Cálculo","Válido — E0 calculado","Válido — E0 estimado"))))))</x:f>
      </x:c>
      <x:c r="AQ248" s="63" t="str">
        <x:f>IF(A248="","",IF(COUNTA(H248:T248)&lt;13,"Incompleta",IF(OR(I248&lt;H248,J248&lt;I248,K248&lt;J248,L248&lt;K248,M248&lt;L248,N248&lt;M248,O248&lt;N248,P248&lt;O248,Q248&lt;P248,R248&lt;Q248,S248&lt;R248,T248&lt;S248),"Revisar","Completa")))</x:f>
      </x:c>
      <x:c r="AR248" s="87" t="str">
        <x:f>IF(OR(V248="",W248="",Y248=""),"",Y248-(V248-W248))</x:f>
      </x:c>
      <x:c r="AS248" s="63" t="str">
        <x:f>IF(A248="","",IF(AND(E248&lt;&gt;"",F248&lt;&gt;"",G248&lt;&gt;"",Z248&lt;&gt;"",AA248&lt;&gt;"",AB248&lt;&gt;"",AC248&lt;&gt;""),"Completa","Incompleta"))</x:f>
      </x:c>
      <x:c r="AT248" s="63" t="str">
        <x:f>IF(A248="","",IF(COUNTIF($A$11:$A$410,A248)&gt;1,"ID duplicado",IF(AND(AR248&lt;&gt;"",ABS(AR248)&gt;0.01),"Revisar balanço",IF(AND(W248&lt;&gt;"",V248&lt;&gt;"",W248&gt;V248),"Retirada &gt; estoque",IF(AND(U248&lt;&gt;"",U248&lt;'Cenário Base'!$D$8*'Cenário Base'!$D$74),"E0 abaixo do gatilho",IF(AND(V248&lt;&gt;"",V248&gt;XLOOKUP(B248,$A$414:$A$418,$B$414:$B$418)),"Excedeu capacidade","Sem alerta"))))))</x:f>
      </x:c>
    </x:row>
    <x:row r="249">
      <x:c r="A249" s="43"/>
      <x:c r="B249" s="43"/>
      <x:c r="C249" s="43"/>
      <x:c r="D249" s="43"/>
      <x:c r="E249" s="43"/>
      <x:c r="F249" s="43"/>
      <x:c r="G249" s="43"/>
      <x:c r="H249" s="120"/>
      <x:c r="I249" s="120"/>
      <x:c r="J249" s="120"/>
      <x:c r="K249" s="120"/>
      <x:c r="L249" s="120"/>
      <x:c r="M249" s="120"/>
      <x:c r="N249" s="120"/>
      <x:c r="O249" s="120"/>
      <x:c r="P249" s="120"/>
      <x:c r="Q249" s="120"/>
      <x:c r="R249" s="120"/>
      <x:c r="S249" s="120"/>
      <x:c r="T249" s="120"/>
      <x:c r="U249" s="48"/>
      <x:c r="V249" s="48"/>
      <x:c r="W249" s="48"/>
      <x:c r="X249" s="48"/>
      <x:c r="Y249" s="48"/>
      <x:c r="Z249" s="49"/>
      <x:c r="AA249" s="43"/>
      <x:c r="AB249" s="43"/>
      <x:c r="AC249" s="43"/>
      <x:c r="AD249" s="43"/>
      <x:c r="AE249" s="43"/>
      <x:c r="AF249" s="87" t="str">
        <x:f>IF(OR(H249="",I249="",I249&lt;H249),"",(I249-H249)*1440)</x:f>
      </x:c>
      <x:c r="AG249" s="87" t="str">
        <x:f>IF(OR(I249="",M249="",M249&lt;I249),"",(M249-I249)*1440)</x:f>
      </x:c>
      <x:c r="AH249" s="87" t="str">
        <x:f>IF(OR(M249="",N249="",N249&lt;M249),"",(N249-M249)*1440)</x:f>
      </x:c>
      <x:c r="AI249" s="87" t="str">
        <x:f>IF(OR(H249="",N249="",N249&lt;H249),"",(N249-H249)*1440)</x:f>
      </x:c>
      <x:c r="AJ249" s="87" t="str">
        <x:f>IF(OR(I249="",N249="",N249&lt;I249),"",(N249-I249)*1440)</x:f>
      </x:c>
      <x:c r="AK249" s="87" t="str">
        <x:f>IF(OR(N249="",O249="",O249&lt;N249),"",(O249-N249)*1440)</x:f>
      </x:c>
      <x:c r="AL249" s="87" t="str">
        <x:f>IF(OR(O249="",P249="",P249&lt;O249),"",(P249-O249)*1440)</x:f>
      </x:c>
      <x:c r="AM249" s="87" t="str">
        <x:f>IF(OR(Q249="",R249="",R249&lt;Q249),"",(R249-Q249)*1440)</x:f>
      </x:c>
      <x:c r="AN249" s="87" t="str">
        <x:f>IF(OR(S249="",T249="",T249&lt;S249),"",(T249-S249)*1440)</x:f>
      </x:c>
      <x:c r="AO249" s="87" t="str">
        <x:f>IF(OR(U249="",V249=""),"",V249-U249)</x:f>
      </x:c>
      <x:c r="AP249" s="63" t="str">
        <x:f>IF(A249="","",IF(OR(B249="",H249="",N249=""),"Incompleto",IF(N249&lt;H249,"Revisar",IF(OR(G249="",G249="Não observado"),"Qualidade E0 ausente",IF(OR(G249="Sensor",G249="Marcação física"),"Válido — E0 observado",IF(G249="Cálculo","Válido — E0 calculado","Válido — E0 estimado"))))))</x:f>
      </x:c>
      <x:c r="AQ249" s="63" t="str">
        <x:f>IF(A249="","",IF(COUNTA(H249:T249)&lt;13,"Incompleta",IF(OR(I249&lt;H249,J249&lt;I249,K249&lt;J249,L249&lt;K249,M249&lt;L249,N249&lt;M249,O249&lt;N249,P249&lt;O249,Q249&lt;P249,R249&lt;Q249,S249&lt;R249,T249&lt;S249),"Revisar","Completa")))</x:f>
      </x:c>
      <x:c r="AR249" s="87" t="str">
        <x:f>IF(OR(V249="",W249="",Y249=""),"",Y249-(V249-W249))</x:f>
      </x:c>
      <x:c r="AS249" s="63" t="str">
        <x:f>IF(A249="","",IF(AND(E249&lt;&gt;"",F249&lt;&gt;"",G249&lt;&gt;"",Z249&lt;&gt;"",AA249&lt;&gt;"",AB249&lt;&gt;"",AC249&lt;&gt;""),"Completa","Incompleta"))</x:f>
      </x:c>
      <x:c r="AT249" s="63" t="str">
        <x:f>IF(A249="","",IF(COUNTIF($A$11:$A$410,A249)&gt;1,"ID duplicado",IF(AND(AR249&lt;&gt;"",ABS(AR249)&gt;0.01),"Revisar balanço",IF(AND(W249&lt;&gt;"",V249&lt;&gt;"",W249&gt;V249),"Retirada &gt; estoque",IF(AND(U249&lt;&gt;"",U249&lt;'Cenário Base'!$D$8*'Cenário Base'!$D$74),"E0 abaixo do gatilho",IF(AND(V249&lt;&gt;"",V249&gt;XLOOKUP(B249,$A$414:$A$418,$B$414:$B$418)),"Excedeu capacidade","Sem alerta"))))))</x:f>
      </x:c>
    </x:row>
    <x:row r="250">
      <x:c r="A250" s="43"/>
      <x:c r="B250" s="43"/>
      <x:c r="C250" s="43"/>
      <x:c r="D250" s="43"/>
      <x:c r="E250" s="43"/>
      <x:c r="F250" s="43"/>
      <x:c r="G250" s="43"/>
      <x:c r="H250" s="120"/>
      <x:c r="I250" s="120"/>
      <x:c r="J250" s="120"/>
      <x:c r="K250" s="120"/>
      <x:c r="L250" s="120"/>
      <x:c r="M250" s="120"/>
      <x:c r="N250" s="120"/>
      <x:c r="O250" s="120"/>
      <x:c r="P250" s="120"/>
      <x:c r="Q250" s="120"/>
      <x:c r="R250" s="120"/>
      <x:c r="S250" s="120"/>
      <x:c r="T250" s="120"/>
      <x:c r="U250" s="48"/>
      <x:c r="V250" s="48"/>
      <x:c r="W250" s="48"/>
      <x:c r="X250" s="48"/>
      <x:c r="Y250" s="48"/>
      <x:c r="Z250" s="49"/>
      <x:c r="AA250" s="43"/>
      <x:c r="AB250" s="43"/>
      <x:c r="AC250" s="43"/>
      <x:c r="AD250" s="43"/>
      <x:c r="AE250" s="43"/>
      <x:c r="AF250" s="87" t="str">
        <x:f>IF(OR(H250="",I250="",I250&lt;H250),"",(I250-H250)*1440)</x:f>
      </x:c>
      <x:c r="AG250" s="87" t="str">
        <x:f>IF(OR(I250="",M250="",M250&lt;I250),"",(M250-I250)*1440)</x:f>
      </x:c>
      <x:c r="AH250" s="87" t="str">
        <x:f>IF(OR(M250="",N250="",N250&lt;M250),"",(N250-M250)*1440)</x:f>
      </x:c>
      <x:c r="AI250" s="87" t="str">
        <x:f>IF(OR(H250="",N250="",N250&lt;H250),"",(N250-H250)*1440)</x:f>
      </x:c>
      <x:c r="AJ250" s="87" t="str">
        <x:f>IF(OR(I250="",N250="",N250&lt;I250),"",(N250-I250)*1440)</x:f>
      </x:c>
      <x:c r="AK250" s="87" t="str">
        <x:f>IF(OR(N250="",O250="",O250&lt;N250),"",(O250-N250)*1440)</x:f>
      </x:c>
      <x:c r="AL250" s="87" t="str">
        <x:f>IF(OR(O250="",P250="",P250&lt;O250),"",(P250-O250)*1440)</x:f>
      </x:c>
      <x:c r="AM250" s="87" t="str">
        <x:f>IF(OR(Q250="",R250="",R250&lt;Q250),"",(R250-Q250)*1440)</x:f>
      </x:c>
      <x:c r="AN250" s="87" t="str">
        <x:f>IF(OR(S250="",T250="",T250&lt;S250),"",(T250-S250)*1440)</x:f>
      </x:c>
      <x:c r="AO250" s="87" t="str">
        <x:f>IF(OR(U250="",V250=""),"",V250-U250)</x:f>
      </x:c>
      <x:c r="AP250" s="63" t="str">
        <x:f>IF(A250="","",IF(OR(B250="",H250="",N250=""),"Incompleto",IF(N250&lt;H250,"Revisar",IF(OR(G250="",G250="Não observado"),"Qualidade E0 ausente",IF(OR(G250="Sensor",G250="Marcação física"),"Válido — E0 observado",IF(G250="Cálculo","Válido — E0 calculado","Válido — E0 estimado"))))))</x:f>
      </x:c>
      <x:c r="AQ250" s="63" t="str">
        <x:f>IF(A250="","",IF(COUNTA(H250:T250)&lt;13,"Incompleta",IF(OR(I250&lt;H250,J250&lt;I250,K250&lt;J250,L250&lt;K250,M250&lt;L250,N250&lt;M250,O250&lt;N250,P250&lt;O250,Q250&lt;P250,R250&lt;Q250,S250&lt;R250,T250&lt;S250),"Revisar","Completa")))</x:f>
      </x:c>
      <x:c r="AR250" s="87" t="str">
        <x:f>IF(OR(V250="",W250="",Y250=""),"",Y250-(V250-W250))</x:f>
      </x:c>
      <x:c r="AS250" s="63" t="str">
        <x:f>IF(A250="","",IF(AND(E250&lt;&gt;"",F250&lt;&gt;"",G250&lt;&gt;"",Z250&lt;&gt;"",AA250&lt;&gt;"",AB250&lt;&gt;"",AC250&lt;&gt;""),"Completa","Incompleta"))</x:f>
      </x:c>
      <x:c r="AT250" s="63" t="str">
        <x:f>IF(A250="","",IF(COUNTIF($A$11:$A$410,A250)&gt;1,"ID duplicado",IF(AND(AR250&lt;&gt;"",ABS(AR250)&gt;0.01),"Revisar balanço",IF(AND(W250&lt;&gt;"",V250&lt;&gt;"",W250&gt;V250),"Retirada &gt; estoque",IF(AND(U250&lt;&gt;"",U250&lt;'Cenário Base'!$D$8*'Cenário Base'!$D$74),"E0 abaixo do gatilho",IF(AND(V250&lt;&gt;"",V250&gt;XLOOKUP(B250,$A$414:$A$418,$B$414:$B$418)),"Excedeu capacidade","Sem alerta"))))))</x:f>
      </x:c>
    </x:row>
    <x:row r="251">
      <x:c r="A251" s="43"/>
      <x:c r="B251" s="43"/>
      <x:c r="C251" s="43"/>
      <x:c r="D251" s="43"/>
      <x:c r="E251" s="43"/>
      <x:c r="F251" s="43"/>
      <x:c r="G251" s="43"/>
      <x:c r="H251" s="120"/>
      <x:c r="I251" s="120"/>
      <x:c r="J251" s="120"/>
      <x:c r="K251" s="120"/>
      <x:c r="L251" s="120"/>
      <x:c r="M251" s="120"/>
      <x:c r="N251" s="120"/>
      <x:c r="O251" s="120"/>
      <x:c r="P251" s="120"/>
      <x:c r="Q251" s="120"/>
      <x:c r="R251" s="120"/>
      <x:c r="S251" s="120"/>
      <x:c r="T251" s="120"/>
      <x:c r="U251" s="48"/>
      <x:c r="V251" s="48"/>
      <x:c r="W251" s="48"/>
      <x:c r="X251" s="48"/>
      <x:c r="Y251" s="48"/>
      <x:c r="Z251" s="49"/>
      <x:c r="AA251" s="43"/>
      <x:c r="AB251" s="43"/>
      <x:c r="AC251" s="43"/>
      <x:c r="AD251" s="43"/>
      <x:c r="AE251" s="43"/>
      <x:c r="AF251" s="87" t="str">
        <x:f>IF(OR(H251="",I251="",I251&lt;H251),"",(I251-H251)*1440)</x:f>
      </x:c>
      <x:c r="AG251" s="87" t="str">
        <x:f>IF(OR(I251="",M251="",M251&lt;I251),"",(M251-I251)*1440)</x:f>
      </x:c>
      <x:c r="AH251" s="87" t="str">
        <x:f>IF(OR(M251="",N251="",N251&lt;M251),"",(N251-M251)*1440)</x:f>
      </x:c>
      <x:c r="AI251" s="87" t="str">
        <x:f>IF(OR(H251="",N251="",N251&lt;H251),"",(N251-H251)*1440)</x:f>
      </x:c>
      <x:c r="AJ251" s="87" t="str">
        <x:f>IF(OR(I251="",N251="",N251&lt;I251),"",(N251-I251)*1440)</x:f>
      </x:c>
      <x:c r="AK251" s="87" t="str">
        <x:f>IF(OR(N251="",O251="",O251&lt;N251),"",(O251-N251)*1440)</x:f>
      </x:c>
      <x:c r="AL251" s="87" t="str">
        <x:f>IF(OR(O251="",P251="",P251&lt;O251),"",(P251-O251)*1440)</x:f>
      </x:c>
      <x:c r="AM251" s="87" t="str">
        <x:f>IF(OR(Q251="",R251="",R251&lt;Q251),"",(R251-Q251)*1440)</x:f>
      </x:c>
      <x:c r="AN251" s="87" t="str">
        <x:f>IF(OR(S251="",T251="",T251&lt;S251),"",(T251-S251)*1440)</x:f>
      </x:c>
      <x:c r="AO251" s="87" t="str">
        <x:f>IF(OR(U251="",V251=""),"",V251-U251)</x:f>
      </x:c>
      <x:c r="AP251" s="63" t="str">
        <x:f>IF(A251="","",IF(OR(B251="",H251="",N251=""),"Incompleto",IF(N251&lt;H251,"Revisar",IF(OR(G251="",G251="Não observado"),"Qualidade E0 ausente",IF(OR(G251="Sensor",G251="Marcação física"),"Válido — E0 observado",IF(G251="Cálculo","Válido — E0 calculado","Válido — E0 estimado"))))))</x:f>
      </x:c>
      <x:c r="AQ251" s="63" t="str">
        <x:f>IF(A251="","",IF(COUNTA(H251:T251)&lt;13,"Incompleta",IF(OR(I251&lt;H251,J251&lt;I251,K251&lt;J251,L251&lt;K251,M251&lt;L251,N251&lt;M251,O251&lt;N251,P251&lt;O251,Q251&lt;P251,R251&lt;Q251,S251&lt;R251,T251&lt;S251),"Revisar","Completa")))</x:f>
      </x:c>
      <x:c r="AR251" s="87" t="str">
        <x:f>IF(OR(V251="",W251="",Y251=""),"",Y251-(V251-W251))</x:f>
      </x:c>
      <x:c r="AS251" s="63" t="str">
        <x:f>IF(A251="","",IF(AND(E251&lt;&gt;"",F251&lt;&gt;"",G251&lt;&gt;"",Z251&lt;&gt;"",AA251&lt;&gt;"",AB251&lt;&gt;"",AC251&lt;&gt;""),"Completa","Incompleta"))</x:f>
      </x:c>
      <x:c r="AT251" s="63" t="str">
        <x:f>IF(A251="","",IF(COUNTIF($A$11:$A$410,A251)&gt;1,"ID duplicado",IF(AND(AR251&lt;&gt;"",ABS(AR251)&gt;0.01),"Revisar balanço",IF(AND(W251&lt;&gt;"",V251&lt;&gt;"",W251&gt;V251),"Retirada &gt; estoque",IF(AND(U251&lt;&gt;"",U251&lt;'Cenário Base'!$D$8*'Cenário Base'!$D$74),"E0 abaixo do gatilho",IF(AND(V251&lt;&gt;"",V251&gt;XLOOKUP(B251,$A$414:$A$418,$B$414:$B$418)),"Excedeu capacidade","Sem alerta"))))))</x:f>
      </x:c>
    </x:row>
    <x:row r="252">
      <x:c r="A252" s="43"/>
      <x:c r="B252" s="43"/>
      <x:c r="C252" s="43"/>
      <x:c r="D252" s="43"/>
      <x:c r="E252" s="43"/>
      <x:c r="F252" s="43"/>
      <x:c r="G252" s="43"/>
      <x:c r="H252" s="120"/>
      <x:c r="I252" s="120"/>
      <x:c r="J252" s="120"/>
      <x:c r="K252" s="120"/>
      <x:c r="L252" s="120"/>
      <x:c r="M252" s="120"/>
      <x:c r="N252" s="120"/>
      <x:c r="O252" s="120"/>
      <x:c r="P252" s="120"/>
      <x:c r="Q252" s="120"/>
      <x:c r="R252" s="120"/>
      <x:c r="S252" s="120"/>
      <x:c r="T252" s="120"/>
      <x:c r="U252" s="48"/>
      <x:c r="V252" s="48"/>
      <x:c r="W252" s="48"/>
      <x:c r="X252" s="48"/>
      <x:c r="Y252" s="48"/>
      <x:c r="Z252" s="49"/>
      <x:c r="AA252" s="43"/>
      <x:c r="AB252" s="43"/>
      <x:c r="AC252" s="43"/>
      <x:c r="AD252" s="43"/>
      <x:c r="AE252" s="43"/>
      <x:c r="AF252" s="87" t="str">
        <x:f>IF(OR(H252="",I252="",I252&lt;H252),"",(I252-H252)*1440)</x:f>
      </x:c>
      <x:c r="AG252" s="87" t="str">
        <x:f>IF(OR(I252="",M252="",M252&lt;I252),"",(M252-I252)*1440)</x:f>
      </x:c>
      <x:c r="AH252" s="87" t="str">
        <x:f>IF(OR(M252="",N252="",N252&lt;M252),"",(N252-M252)*1440)</x:f>
      </x:c>
      <x:c r="AI252" s="87" t="str">
        <x:f>IF(OR(H252="",N252="",N252&lt;H252),"",(N252-H252)*1440)</x:f>
      </x:c>
      <x:c r="AJ252" s="87" t="str">
        <x:f>IF(OR(I252="",N252="",N252&lt;I252),"",(N252-I252)*1440)</x:f>
      </x:c>
      <x:c r="AK252" s="87" t="str">
        <x:f>IF(OR(N252="",O252="",O252&lt;N252),"",(O252-N252)*1440)</x:f>
      </x:c>
      <x:c r="AL252" s="87" t="str">
        <x:f>IF(OR(O252="",P252="",P252&lt;O252),"",(P252-O252)*1440)</x:f>
      </x:c>
      <x:c r="AM252" s="87" t="str">
        <x:f>IF(OR(Q252="",R252="",R252&lt;Q252),"",(R252-Q252)*1440)</x:f>
      </x:c>
      <x:c r="AN252" s="87" t="str">
        <x:f>IF(OR(S252="",T252="",T252&lt;S252),"",(T252-S252)*1440)</x:f>
      </x:c>
      <x:c r="AO252" s="87" t="str">
        <x:f>IF(OR(U252="",V252=""),"",V252-U252)</x:f>
      </x:c>
      <x:c r="AP252" s="63" t="str">
        <x:f>IF(A252="","",IF(OR(B252="",H252="",N252=""),"Incompleto",IF(N252&lt;H252,"Revisar",IF(OR(G252="",G252="Não observado"),"Qualidade E0 ausente",IF(OR(G252="Sensor",G252="Marcação física"),"Válido — E0 observado",IF(G252="Cálculo","Válido — E0 calculado","Válido — E0 estimado"))))))</x:f>
      </x:c>
      <x:c r="AQ252" s="63" t="str">
        <x:f>IF(A252="","",IF(COUNTA(H252:T252)&lt;13,"Incompleta",IF(OR(I252&lt;H252,J252&lt;I252,K252&lt;J252,L252&lt;K252,M252&lt;L252,N252&lt;M252,O252&lt;N252,P252&lt;O252,Q252&lt;P252,R252&lt;Q252,S252&lt;R252,T252&lt;S252),"Revisar","Completa")))</x:f>
      </x:c>
      <x:c r="AR252" s="87" t="str">
        <x:f>IF(OR(V252="",W252="",Y252=""),"",Y252-(V252-W252))</x:f>
      </x:c>
      <x:c r="AS252" s="63" t="str">
        <x:f>IF(A252="","",IF(AND(E252&lt;&gt;"",F252&lt;&gt;"",G252&lt;&gt;"",Z252&lt;&gt;"",AA252&lt;&gt;"",AB252&lt;&gt;"",AC252&lt;&gt;""),"Completa","Incompleta"))</x:f>
      </x:c>
      <x:c r="AT252" s="63" t="str">
        <x:f>IF(A252="","",IF(COUNTIF($A$11:$A$410,A252)&gt;1,"ID duplicado",IF(AND(AR252&lt;&gt;"",ABS(AR252)&gt;0.01),"Revisar balanço",IF(AND(W252&lt;&gt;"",V252&lt;&gt;"",W252&gt;V252),"Retirada &gt; estoque",IF(AND(U252&lt;&gt;"",U252&lt;'Cenário Base'!$D$8*'Cenário Base'!$D$74),"E0 abaixo do gatilho",IF(AND(V252&lt;&gt;"",V252&gt;XLOOKUP(B252,$A$414:$A$418,$B$414:$B$418)),"Excedeu capacidade","Sem alerta"))))))</x:f>
      </x:c>
    </x:row>
    <x:row r="253">
      <x:c r="A253" s="43"/>
      <x:c r="B253" s="43"/>
      <x:c r="C253" s="43"/>
      <x:c r="D253" s="43"/>
      <x:c r="E253" s="43"/>
      <x:c r="F253" s="43"/>
      <x:c r="G253" s="43"/>
      <x:c r="H253" s="120"/>
      <x:c r="I253" s="120"/>
      <x:c r="J253" s="120"/>
      <x:c r="K253" s="120"/>
      <x:c r="L253" s="120"/>
      <x:c r="M253" s="120"/>
      <x:c r="N253" s="120"/>
      <x:c r="O253" s="120"/>
      <x:c r="P253" s="120"/>
      <x:c r="Q253" s="120"/>
      <x:c r="R253" s="120"/>
      <x:c r="S253" s="120"/>
      <x:c r="T253" s="120"/>
      <x:c r="U253" s="48"/>
      <x:c r="V253" s="48"/>
      <x:c r="W253" s="48"/>
      <x:c r="X253" s="48"/>
      <x:c r="Y253" s="48"/>
      <x:c r="Z253" s="49"/>
      <x:c r="AA253" s="43"/>
      <x:c r="AB253" s="43"/>
      <x:c r="AC253" s="43"/>
      <x:c r="AD253" s="43"/>
      <x:c r="AE253" s="43"/>
      <x:c r="AF253" s="87" t="str">
        <x:f>IF(OR(H253="",I253="",I253&lt;H253),"",(I253-H253)*1440)</x:f>
      </x:c>
      <x:c r="AG253" s="87" t="str">
        <x:f>IF(OR(I253="",M253="",M253&lt;I253),"",(M253-I253)*1440)</x:f>
      </x:c>
      <x:c r="AH253" s="87" t="str">
        <x:f>IF(OR(M253="",N253="",N253&lt;M253),"",(N253-M253)*1440)</x:f>
      </x:c>
      <x:c r="AI253" s="87" t="str">
        <x:f>IF(OR(H253="",N253="",N253&lt;H253),"",(N253-H253)*1440)</x:f>
      </x:c>
      <x:c r="AJ253" s="87" t="str">
        <x:f>IF(OR(I253="",N253="",N253&lt;I253),"",(N253-I253)*1440)</x:f>
      </x:c>
      <x:c r="AK253" s="87" t="str">
        <x:f>IF(OR(N253="",O253="",O253&lt;N253),"",(O253-N253)*1440)</x:f>
      </x:c>
      <x:c r="AL253" s="87" t="str">
        <x:f>IF(OR(O253="",P253="",P253&lt;O253),"",(P253-O253)*1440)</x:f>
      </x:c>
      <x:c r="AM253" s="87" t="str">
        <x:f>IF(OR(Q253="",R253="",R253&lt;Q253),"",(R253-Q253)*1440)</x:f>
      </x:c>
      <x:c r="AN253" s="87" t="str">
        <x:f>IF(OR(S253="",T253="",T253&lt;S253),"",(T253-S253)*1440)</x:f>
      </x:c>
      <x:c r="AO253" s="87" t="str">
        <x:f>IF(OR(U253="",V253=""),"",V253-U253)</x:f>
      </x:c>
      <x:c r="AP253" s="63" t="str">
        <x:f>IF(A253="","",IF(OR(B253="",H253="",N253=""),"Incompleto",IF(N253&lt;H253,"Revisar",IF(OR(G253="",G253="Não observado"),"Qualidade E0 ausente",IF(OR(G253="Sensor",G253="Marcação física"),"Válido — E0 observado",IF(G253="Cálculo","Válido — E0 calculado","Válido — E0 estimado"))))))</x:f>
      </x:c>
      <x:c r="AQ253" s="63" t="str">
        <x:f>IF(A253="","",IF(COUNTA(H253:T253)&lt;13,"Incompleta",IF(OR(I253&lt;H253,J253&lt;I253,K253&lt;J253,L253&lt;K253,M253&lt;L253,N253&lt;M253,O253&lt;N253,P253&lt;O253,Q253&lt;P253,R253&lt;Q253,S253&lt;R253,T253&lt;S253),"Revisar","Completa")))</x:f>
      </x:c>
      <x:c r="AR253" s="87" t="str">
        <x:f>IF(OR(V253="",W253="",Y253=""),"",Y253-(V253-W253))</x:f>
      </x:c>
      <x:c r="AS253" s="63" t="str">
        <x:f>IF(A253="","",IF(AND(E253&lt;&gt;"",F253&lt;&gt;"",G253&lt;&gt;"",Z253&lt;&gt;"",AA253&lt;&gt;"",AB253&lt;&gt;"",AC253&lt;&gt;""),"Completa","Incompleta"))</x:f>
      </x:c>
      <x:c r="AT253" s="63" t="str">
        <x:f>IF(A253="","",IF(COUNTIF($A$11:$A$410,A253)&gt;1,"ID duplicado",IF(AND(AR253&lt;&gt;"",ABS(AR253)&gt;0.01),"Revisar balanço",IF(AND(W253&lt;&gt;"",V253&lt;&gt;"",W253&gt;V253),"Retirada &gt; estoque",IF(AND(U253&lt;&gt;"",U253&lt;'Cenário Base'!$D$8*'Cenário Base'!$D$74),"E0 abaixo do gatilho",IF(AND(V253&lt;&gt;"",V253&gt;XLOOKUP(B253,$A$414:$A$418,$B$414:$B$418)),"Excedeu capacidade","Sem alerta"))))))</x:f>
      </x:c>
    </x:row>
    <x:row r="254">
      <x:c r="A254" s="43"/>
      <x:c r="B254" s="43"/>
      <x:c r="C254" s="43"/>
      <x:c r="D254" s="43"/>
      <x:c r="E254" s="43"/>
      <x:c r="F254" s="43"/>
      <x:c r="G254" s="43"/>
      <x:c r="H254" s="120"/>
      <x:c r="I254" s="120"/>
      <x:c r="J254" s="120"/>
      <x:c r="K254" s="120"/>
      <x:c r="L254" s="120"/>
      <x:c r="M254" s="120"/>
      <x:c r="N254" s="120"/>
      <x:c r="O254" s="120"/>
      <x:c r="P254" s="120"/>
      <x:c r="Q254" s="120"/>
      <x:c r="R254" s="120"/>
      <x:c r="S254" s="120"/>
      <x:c r="T254" s="120"/>
      <x:c r="U254" s="48"/>
      <x:c r="V254" s="48"/>
      <x:c r="W254" s="48"/>
      <x:c r="X254" s="48"/>
      <x:c r="Y254" s="48"/>
      <x:c r="Z254" s="49"/>
      <x:c r="AA254" s="43"/>
      <x:c r="AB254" s="43"/>
      <x:c r="AC254" s="43"/>
      <x:c r="AD254" s="43"/>
      <x:c r="AE254" s="43"/>
      <x:c r="AF254" s="87" t="str">
        <x:f>IF(OR(H254="",I254="",I254&lt;H254),"",(I254-H254)*1440)</x:f>
      </x:c>
      <x:c r="AG254" s="87" t="str">
        <x:f>IF(OR(I254="",M254="",M254&lt;I254),"",(M254-I254)*1440)</x:f>
      </x:c>
      <x:c r="AH254" s="87" t="str">
        <x:f>IF(OR(M254="",N254="",N254&lt;M254),"",(N254-M254)*1440)</x:f>
      </x:c>
      <x:c r="AI254" s="87" t="str">
        <x:f>IF(OR(H254="",N254="",N254&lt;H254),"",(N254-H254)*1440)</x:f>
      </x:c>
      <x:c r="AJ254" s="87" t="str">
        <x:f>IF(OR(I254="",N254="",N254&lt;I254),"",(N254-I254)*1440)</x:f>
      </x:c>
      <x:c r="AK254" s="87" t="str">
        <x:f>IF(OR(N254="",O254="",O254&lt;N254),"",(O254-N254)*1440)</x:f>
      </x:c>
      <x:c r="AL254" s="87" t="str">
        <x:f>IF(OR(O254="",P254="",P254&lt;O254),"",(P254-O254)*1440)</x:f>
      </x:c>
      <x:c r="AM254" s="87" t="str">
        <x:f>IF(OR(Q254="",R254="",R254&lt;Q254),"",(R254-Q254)*1440)</x:f>
      </x:c>
      <x:c r="AN254" s="87" t="str">
        <x:f>IF(OR(S254="",T254="",T254&lt;S254),"",(T254-S254)*1440)</x:f>
      </x:c>
      <x:c r="AO254" s="87" t="str">
        <x:f>IF(OR(U254="",V254=""),"",V254-U254)</x:f>
      </x:c>
      <x:c r="AP254" s="63" t="str">
        <x:f>IF(A254="","",IF(OR(B254="",H254="",N254=""),"Incompleto",IF(N254&lt;H254,"Revisar",IF(OR(G254="",G254="Não observado"),"Qualidade E0 ausente",IF(OR(G254="Sensor",G254="Marcação física"),"Válido — E0 observado",IF(G254="Cálculo","Válido — E0 calculado","Válido — E0 estimado"))))))</x:f>
      </x:c>
      <x:c r="AQ254" s="63" t="str">
        <x:f>IF(A254="","",IF(COUNTA(H254:T254)&lt;13,"Incompleta",IF(OR(I254&lt;H254,J254&lt;I254,K254&lt;J254,L254&lt;K254,M254&lt;L254,N254&lt;M254,O254&lt;N254,P254&lt;O254,Q254&lt;P254,R254&lt;Q254,S254&lt;R254,T254&lt;S254),"Revisar","Completa")))</x:f>
      </x:c>
      <x:c r="AR254" s="87" t="str">
        <x:f>IF(OR(V254="",W254="",Y254=""),"",Y254-(V254-W254))</x:f>
      </x:c>
      <x:c r="AS254" s="63" t="str">
        <x:f>IF(A254="","",IF(AND(E254&lt;&gt;"",F254&lt;&gt;"",G254&lt;&gt;"",Z254&lt;&gt;"",AA254&lt;&gt;"",AB254&lt;&gt;"",AC254&lt;&gt;""),"Completa","Incompleta"))</x:f>
      </x:c>
      <x:c r="AT254" s="63" t="str">
        <x:f>IF(A254="","",IF(COUNTIF($A$11:$A$410,A254)&gt;1,"ID duplicado",IF(AND(AR254&lt;&gt;"",ABS(AR254)&gt;0.01),"Revisar balanço",IF(AND(W254&lt;&gt;"",V254&lt;&gt;"",W254&gt;V254),"Retirada &gt; estoque",IF(AND(U254&lt;&gt;"",U254&lt;'Cenário Base'!$D$8*'Cenário Base'!$D$74),"E0 abaixo do gatilho",IF(AND(V254&lt;&gt;"",V254&gt;XLOOKUP(B254,$A$414:$A$418,$B$414:$B$418)),"Excedeu capacidade","Sem alerta"))))))</x:f>
      </x:c>
    </x:row>
    <x:row r="255">
      <x:c r="A255" s="43"/>
      <x:c r="B255" s="43"/>
      <x:c r="C255" s="43"/>
      <x:c r="D255" s="43"/>
      <x:c r="E255" s="43"/>
      <x:c r="F255" s="43"/>
      <x:c r="G255" s="43"/>
      <x:c r="H255" s="120"/>
      <x:c r="I255" s="120"/>
      <x:c r="J255" s="120"/>
      <x:c r="K255" s="120"/>
      <x:c r="L255" s="120"/>
      <x:c r="M255" s="120"/>
      <x:c r="N255" s="120"/>
      <x:c r="O255" s="120"/>
      <x:c r="P255" s="120"/>
      <x:c r="Q255" s="120"/>
      <x:c r="R255" s="120"/>
      <x:c r="S255" s="120"/>
      <x:c r="T255" s="120"/>
      <x:c r="U255" s="48"/>
      <x:c r="V255" s="48"/>
      <x:c r="W255" s="48"/>
      <x:c r="X255" s="48"/>
      <x:c r="Y255" s="48"/>
      <x:c r="Z255" s="49"/>
      <x:c r="AA255" s="43"/>
      <x:c r="AB255" s="43"/>
      <x:c r="AC255" s="43"/>
      <x:c r="AD255" s="43"/>
      <x:c r="AE255" s="43"/>
      <x:c r="AF255" s="87" t="str">
        <x:f>IF(OR(H255="",I255="",I255&lt;H255),"",(I255-H255)*1440)</x:f>
      </x:c>
      <x:c r="AG255" s="87" t="str">
        <x:f>IF(OR(I255="",M255="",M255&lt;I255),"",(M255-I255)*1440)</x:f>
      </x:c>
      <x:c r="AH255" s="87" t="str">
        <x:f>IF(OR(M255="",N255="",N255&lt;M255),"",(N255-M255)*1440)</x:f>
      </x:c>
      <x:c r="AI255" s="87" t="str">
        <x:f>IF(OR(H255="",N255="",N255&lt;H255),"",(N255-H255)*1440)</x:f>
      </x:c>
      <x:c r="AJ255" s="87" t="str">
        <x:f>IF(OR(I255="",N255="",N255&lt;I255),"",(N255-I255)*1440)</x:f>
      </x:c>
      <x:c r="AK255" s="87" t="str">
        <x:f>IF(OR(N255="",O255="",O255&lt;N255),"",(O255-N255)*1440)</x:f>
      </x:c>
      <x:c r="AL255" s="87" t="str">
        <x:f>IF(OR(O255="",P255="",P255&lt;O255),"",(P255-O255)*1440)</x:f>
      </x:c>
      <x:c r="AM255" s="87" t="str">
        <x:f>IF(OR(Q255="",R255="",R255&lt;Q255),"",(R255-Q255)*1440)</x:f>
      </x:c>
      <x:c r="AN255" s="87" t="str">
        <x:f>IF(OR(S255="",T255="",T255&lt;S255),"",(T255-S255)*1440)</x:f>
      </x:c>
      <x:c r="AO255" s="87" t="str">
        <x:f>IF(OR(U255="",V255=""),"",V255-U255)</x:f>
      </x:c>
      <x:c r="AP255" s="63" t="str">
        <x:f>IF(A255="","",IF(OR(B255="",H255="",N255=""),"Incompleto",IF(N255&lt;H255,"Revisar",IF(OR(G255="",G255="Não observado"),"Qualidade E0 ausente",IF(OR(G255="Sensor",G255="Marcação física"),"Válido — E0 observado",IF(G255="Cálculo","Válido — E0 calculado","Válido — E0 estimado"))))))</x:f>
      </x:c>
      <x:c r="AQ255" s="63" t="str">
        <x:f>IF(A255="","",IF(COUNTA(H255:T255)&lt;13,"Incompleta",IF(OR(I255&lt;H255,J255&lt;I255,K255&lt;J255,L255&lt;K255,M255&lt;L255,N255&lt;M255,O255&lt;N255,P255&lt;O255,Q255&lt;P255,R255&lt;Q255,S255&lt;R255,T255&lt;S255),"Revisar","Completa")))</x:f>
      </x:c>
      <x:c r="AR255" s="87" t="str">
        <x:f>IF(OR(V255="",W255="",Y255=""),"",Y255-(V255-W255))</x:f>
      </x:c>
      <x:c r="AS255" s="63" t="str">
        <x:f>IF(A255="","",IF(AND(E255&lt;&gt;"",F255&lt;&gt;"",G255&lt;&gt;"",Z255&lt;&gt;"",AA255&lt;&gt;"",AB255&lt;&gt;"",AC255&lt;&gt;""),"Completa","Incompleta"))</x:f>
      </x:c>
      <x:c r="AT255" s="63" t="str">
        <x:f>IF(A255="","",IF(COUNTIF($A$11:$A$410,A255)&gt;1,"ID duplicado",IF(AND(AR255&lt;&gt;"",ABS(AR255)&gt;0.01),"Revisar balanço",IF(AND(W255&lt;&gt;"",V255&lt;&gt;"",W255&gt;V255),"Retirada &gt; estoque",IF(AND(U255&lt;&gt;"",U255&lt;'Cenário Base'!$D$8*'Cenário Base'!$D$74),"E0 abaixo do gatilho",IF(AND(V255&lt;&gt;"",V255&gt;XLOOKUP(B255,$A$414:$A$418,$B$414:$B$418)),"Excedeu capacidade","Sem alerta"))))))</x:f>
      </x:c>
    </x:row>
    <x:row r="256">
      <x:c r="A256" s="43"/>
      <x:c r="B256" s="43"/>
      <x:c r="C256" s="43"/>
      <x:c r="D256" s="43"/>
      <x:c r="E256" s="43"/>
      <x:c r="F256" s="43"/>
      <x:c r="G256" s="43"/>
      <x:c r="H256" s="120"/>
      <x:c r="I256" s="120"/>
      <x:c r="J256" s="120"/>
      <x:c r="K256" s="120"/>
      <x:c r="L256" s="120"/>
      <x:c r="M256" s="120"/>
      <x:c r="N256" s="120"/>
      <x:c r="O256" s="120"/>
      <x:c r="P256" s="120"/>
      <x:c r="Q256" s="120"/>
      <x:c r="R256" s="120"/>
      <x:c r="S256" s="120"/>
      <x:c r="T256" s="120"/>
      <x:c r="U256" s="48"/>
      <x:c r="V256" s="48"/>
      <x:c r="W256" s="48"/>
      <x:c r="X256" s="48"/>
      <x:c r="Y256" s="48"/>
      <x:c r="Z256" s="49"/>
      <x:c r="AA256" s="43"/>
      <x:c r="AB256" s="43"/>
      <x:c r="AC256" s="43"/>
      <x:c r="AD256" s="43"/>
      <x:c r="AE256" s="43"/>
      <x:c r="AF256" s="87" t="str">
        <x:f>IF(OR(H256="",I256="",I256&lt;H256),"",(I256-H256)*1440)</x:f>
      </x:c>
      <x:c r="AG256" s="87" t="str">
        <x:f>IF(OR(I256="",M256="",M256&lt;I256),"",(M256-I256)*1440)</x:f>
      </x:c>
      <x:c r="AH256" s="87" t="str">
        <x:f>IF(OR(M256="",N256="",N256&lt;M256),"",(N256-M256)*1440)</x:f>
      </x:c>
      <x:c r="AI256" s="87" t="str">
        <x:f>IF(OR(H256="",N256="",N256&lt;H256),"",(N256-H256)*1440)</x:f>
      </x:c>
      <x:c r="AJ256" s="87" t="str">
        <x:f>IF(OR(I256="",N256="",N256&lt;I256),"",(N256-I256)*1440)</x:f>
      </x:c>
      <x:c r="AK256" s="87" t="str">
        <x:f>IF(OR(N256="",O256="",O256&lt;N256),"",(O256-N256)*1440)</x:f>
      </x:c>
      <x:c r="AL256" s="87" t="str">
        <x:f>IF(OR(O256="",P256="",P256&lt;O256),"",(P256-O256)*1440)</x:f>
      </x:c>
      <x:c r="AM256" s="87" t="str">
        <x:f>IF(OR(Q256="",R256="",R256&lt;Q256),"",(R256-Q256)*1440)</x:f>
      </x:c>
      <x:c r="AN256" s="87" t="str">
        <x:f>IF(OR(S256="",T256="",T256&lt;S256),"",(T256-S256)*1440)</x:f>
      </x:c>
      <x:c r="AO256" s="87" t="str">
        <x:f>IF(OR(U256="",V256=""),"",V256-U256)</x:f>
      </x:c>
      <x:c r="AP256" s="63" t="str">
        <x:f>IF(A256="","",IF(OR(B256="",H256="",N256=""),"Incompleto",IF(N256&lt;H256,"Revisar",IF(OR(G256="",G256="Não observado"),"Qualidade E0 ausente",IF(OR(G256="Sensor",G256="Marcação física"),"Válido — E0 observado",IF(G256="Cálculo","Válido — E0 calculado","Válido — E0 estimado"))))))</x:f>
      </x:c>
      <x:c r="AQ256" s="63" t="str">
        <x:f>IF(A256="","",IF(COUNTA(H256:T256)&lt;13,"Incompleta",IF(OR(I256&lt;H256,J256&lt;I256,K256&lt;J256,L256&lt;K256,M256&lt;L256,N256&lt;M256,O256&lt;N256,P256&lt;O256,Q256&lt;P256,R256&lt;Q256,S256&lt;R256,T256&lt;S256),"Revisar","Completa")))</x:f>
      </x:c>
      <x:c r="AR256" s="87" t="str">
        <x:f>IF(OR(V256="",W256="",Y256=""),"",Y256-(V256-W256))</x:f>
      </x:c>
      <x:c r="AS256" s="63" t="str">
        <x:f>IF(A256="","",IF(AND(E256&lt;&gt;"",F256&lt;&gt;"",G256&lt;&gt;"",Z256&lt;&gt;"",AA256&lt;&gt;"",AB256&lt;&gt;"",AC256&lt;&gt;""),"Completa","Incompleta"))</x:f>
      </x:c>
      <x:c r="AT256" s="63" t="str">
        <x:f>IF(A256="","",IF(COUNTIF($A$11:$A$410,A256)&gt;1,"ID duplicado",IF(AND(AR256&lt;&gt;"",ABS(AR256)&gt;0.01),"Revisar balanço",IF(AND(W256&lt;&gt;"",V256&lt;&gt;"",W256&gt;V256),"Retirada &gt; estoque",IF(AND(U256&lt;&gt;"",U256&lt;'Cenário Base'!$D$8*'Cenário Base'!$D$74),"E0 abaixo do gatilho",IF(AND(V256&lt;&gt;"",V256&gt;XLOOKUP(B256,$A$414:$A$418,$B$414:$B$418)),"Excedeu capacidade","Sem alerta"))))))</x:f>
      </x:c>
    </x:row>
    <x:row r="257">
      <x:c r="A257" s="43"/>
      <x:c r="B257" s="43"/>
      <x:c r="C257" s="43"/>
      <x:c r="D257" s="43"/>
      <x:c r="E257" s="43"/>
      <x:c r="F257" s="43"/>
      <x:c r="G257" s="43"/>
      <x:c r="H257" s="120"/>
      <x:c r="I257" s="120"/>
      <x:c r="J257" s="120"/>
      <x:c r="K257" s="120"/>
      <x:c r="L257" s="120"/>
      <x:c r="M257" s="120"/>
      <x:c r="N257" s="120"/>
      <x:c r="O257" s="120"/>
      <x:c r="P257" s="120"/>
      <x:c r="Q257" s="120"/>
      <x:c r="R257" s="120"/>
      <x:c r="S257" s="120"/>
      <x:c r="T257" s="120"/>
      <x:c r="U257" s="48"/>
      <x:c r="V257" s="48"/>
      <x:c r="W257" s="48"/>
      <x:c r="X257" s="48"/>
      <x:c r="Y257" s="48"/>
      <x:c r="Z257" s="49"/>
      <x:c r="AA257" s="43"/>
      <x:c r="AB257" s="43"/>
      <x:c r="AC257" s="43"/>
      <x:c r="AD257" s="43"/>
      <x:c r="AE257" s="43"/>
      <x:c r="AF257" s="87" t="str">
        <x:f>IF(OR(H257="",I257="",I257&lt;H257),"",(I257-H257)*1440)</x:f>
      </x:c>
      <x:c r="AG257" s="87" t="str">
        <x:f>IF(OR(I257="",M257="",M257&lt;I257),"",(M257-I257)*1440)</x:f>
      </x:c>
      <x:c r="AH257" s="87" t="str">
        <x:f>IF(OR(M257="",N257="",N257&lt;M257),"",(N257-M257)*1440)</x:f>
      </x:c>
      <x:c r="AI257" s="87" t="str">
        <x:f>IF(OR(H257="",N257="",N257&lt;H257),"",(N257-H257)*1440)</x:f>
      </x:c>
      <x:c r="AJ257" s="87" t="str">
        <x:f>IF(OR(I257="",N257="",N257&lt;I257),"",(N257-I257)*1440)</x:f>
      </x:c>
      <x:c r="AK257" s="87" t="str">
        <x:f>IF(OR(N257="",O257="",O257&lt;N257),"",(O257-N257)*1440)</x:f>
      </x:c>
      <x:c r="AL257" s="87" t="str">
        <x:f>IF(OR(O257="",P257="",P257&lt;O257),"",(P257-O257)*1440)</x:f>
      </x:c>
      <x:c r="AM257" s="87" t="str">
        <x:f>IF(OR(Q257="",R257="",R257&lt;Q257),"",(R257-Q257)*1440)</x:f>
      </x:c>
      <x:c r="AN257" s="87" t="str">
        <x:f>IF(OR(S257="",T257="",T257&lt;S257),"",(T257-S257)*1440)</x:f>
      </x:c>
      <x:c r="AO257" s="87" t="str">
        <x:f>IF(OR(U257="",V257=""),"",V257-U257)</x:f>
      </x:c>
      <x:c r="AP257" s="63" t="str">
        <x:f>IF(A257="","",IF(OR(B257="",H257="",N257=""),"Incompleto",IF(N257&lt;H257,"Revisar",IF(OR(G257="",G257="Não observado"),"Qualidade E0 ausente",IF(OR(G257="Sensor",G257="Marcação física"),"Válido — E0 observado",IF(G257="Cálculo","Válido — E0 calculado","Válido — E0 estimado"))))))</x:f>
      </x:c>
      <x:c r="AQ257" s="63" t="str">
        <x:f>IF(A257="","",IF(COUNTA(H257:T257)&lt;13,"Incompleta",IF(OR(I257&lt;H257,J257&lt;I257,K257&lt;J257,L257&lt;K257,M257&lt;L257,N257&lt;M257,O257&lt;N257,P257&lt;O257,Q257&lt;P257,R257&lt;Q257,S257&lt;R257,T257&lt;S257),"Revisar","Completa")))</x:f>
      </x:c>
      <x:c r="AR257" s="87" t="str">
        <x:f>IF(OR(V257="",W257="",Y257=""),"",Y257-(V257-W257))</x:f>
      </x:c>
      <x:c r="AS257" s="63" t="str">
        <x:f>IF(A257="","",IF(AND(E257&lt;&gt;"",F257&lt;&gt;"",G257&lt;&gt;"",Z257&lt;&gt;"",AA257&lt;&gt;"",AB257&lt;&gt;"",AC257&lt;&gt;""),"Completa","Incompleta"))</x:f>
      </x:c>
      <x:c r="AT257" s="63" t="str">
        <x:f>IF(A257="","",IF(COUNTIF($A$11:$A$410,A257)&gt;1,"ID duplicado",IF(AND(AR257&lt;&gt;"",ABS(AR257)&gt;0.01),"Revisar balanço",IF(AND(W257&lt;&gt;"",V257&lt;&gt;"",W257&gt;V257),"Retirada &gt; estoque",IF(AND(U257&lt;&gt;"",U257&lt;'Cenário Base'!$D$8*'Cenário Base'!$D$74),"E0 abaixo do gatilho",IF(AND(V257&lt;&gt;"",V257&gt;XLOOKUP(B257,$A$414:$A$418,$B$414:$B$418)),"Excedeu capacidade","Sem alerta"))))))</x:f>
      </x:c>
    </x:row>
    <x:row r="258">
      <x:c r="A258" s="43"/>
      <x:c r="B258" s="43"/>
      <x:c r="C258" s="43"/>
      <x:c r="D258" s="43"/>
      <x:c r="E258" s="43"/>
      <x:c r="F258" s="43"/>
      <x:c r="G258" s="43"/>
      <x:c r="H258" s="120"/>
      <x:c r="I258" s="120"/>
      <x:c r="J258" s="120"/>
      <x:c r="K258" s="120"/>
      <x:c r="L258" s="120"/>
      <x:c r="M258" s="120"/>
      <x:c r="N258" s="120"/>
      <x:c r="O258" s="120"/>
      <x:c r="P258" s="120"/>
      <x:c r="Q258" s="120"/>
      <x:c r="R258" s="120"/>
      <x:c r="S258" s="120"/>
      <x:c r="T258" s="120"/>
      <x:c r="U258" s="48"/>
      <x:c r="V258" s="48"/>
      <x:c r="W258" s="48"/>
      <x:c r="X258" s="48"/>
      <x:c r="Y258" s="48"/>
      <x:c r="Z258" s="49"/>
      <x:c r="AA258" s="43"/>
      <x:c r="AB258" s="43"/>
      <x:c r="AC258" s="43"/>
      <x:c r="AD258" s="43"/>
      <x:c r="AE258" s="43"/>
      <x:c r="AF258" s="87" t="str">
        <x:f>IF(OR(H258="",I258="",I258&lt;H258),"",(I258-H258)*1440)</x:f>
      </x:c>
      <x:c r="AG258" s="87" t="str">
        <x:f>IF(OR(I258="",M258="",M258&lt;I258),"",(M258-I258)*1440)</x:f>
      </x:c>
      <x:c r="AH258" s="87" t="str">
        <x:f>IF(OR(M258="",N258="",N258&lt;M258),"",(N258-M258)*1440)</x:f>
      </x:c>
      <x:c r="AI258" s="87" t="str">
        <x:f>IF(OR(H258="",N258="",N258&lt;H258),"",(N258-H258)*1440)</x:f>
      </x:c>
      <x:c r="AJ258" s="87" t="str">
        <x:f>IF(OR(I258="",N258="",N258&lt;I258),"",(N258-I258)*1440)</x:f>
      </x:c>
      <x:c r="AK258" s="87" t="str">
        <x:f>IF(OR(N258="",O258="",O258&lt;N258),"",(O258-N258)*1440)</x:f>
      </x:c>
      <x:c r="AL258" s="87" t="str">
        <x:f>IF(OR(O258="",P258="",P258&lt;O258),"",(P258-O258)*1440)</x:f>
      </x:c>
      <x:c r="AM258" s="87" t="str">
        <x:f>IF(OR(Q258="",R258="",R258&lt;Q258),"",(R258-Q258)*1440)</x:f>
      </x:c>
      <x:c r="AN258" s="87" t="str">
        <x:f>IF(OR(S258="",T258="",T258&lt;S258),"",(T258-S258)*1440)</x:f>
      </x:c>
      <x:c r="AO258" s="87" t="str">
        <x:f>IF(OR(U258="",V258=""),"",V258-U258)</x:f>
      </x:c>
      <x:c r="AP258" s="63" t="str">
        <x:f>IF(A258="","",IF(OR(B258="",H258="",N258=""),"Incompleto",IF(N258&lt;H258,"Revisar",IF(OR(G258="",G258="Não observado"),"Qualidade E0 ausente",IF(OR(G258="Sensor",G258="Marcação física"),"Válido — E0 observado",IF(G258="Cálculo","Válido — E0 calculado","Válido — E0 estimado"))))))</x:f>
      </x:c>
      <x:c r="AQ258" s="63" t="str">
        <x:f>IF(A258="","",IF(COUNTA(H258:T258)&lt;13,"Incompleta",IF(OR(I258&lt;H258,J258&lt;I258,K258&lt;J258,L258&lt;K258,M258&lt;L258,N258&lt;M258,O258&lt;N258,P258&lt;O258,Q258&lt;P258,R258&lt;Q258,S258&lt;R258,T258&lt;S258),"Revisar","Completa")))</x:f>
      </x:c>
      <x:c r="AR258" s="87" t="str">
        <x:f>IF(OR(V258="",W258="",Y258=""),"",Y258-(V258-W258))</x:f>
      </x:c>
      <x:c r="AS258" s="63" t="str">
        <x:f>IF(A258="","",IF(AND(E258&lt;&gt;"",F258&lt;&gt;"",G258&lt;&gt;"",Z258&lt;&gt;"",AA258&lt;&gt;"",AB258&lt;&gt;"",AC258&lt;&gt;""),"Completa","Incompleta"))</x:f>
      </x:c>
      <x:c r="AT258" s="63" t="str">
        <x:f>IF(A258="","",IF(COUNTIF($A$11:$A$410,A258)&gt;1,"ID duplicado",IF(AND(AR258&lt;&gt;"",ABS(AR258)&gt;0.01),"Revisar balanço",IF(AND(W258&lt;&gt;"",V258&lt;&gt;"",W258&gt;V258),"Retirada &gt; estoque",IF(AND(U258&lt;&gt;"",U258&lt;'Cenário Base'!$D$8*'Cenário Base'!$D$74),"E0 abaixo do gatilho",IF(AND(V258&lt;&gt;"",V258&gt;XLOOKUP(B258,$A$414:$A$418,$B$414:$B$418)),"Excedeu capacidade","Sem alerta"))))))</x:f>
      </x:c>
    </x:row>
    <x:row r="259">
      <x:c r="A259" s="43"/>
      <x:c r="B259" s="43"/>
      <x:c r="C259" s="43"/>
      <x:c r="D259" s="43"/>
      <x:c r="E259" s="43"/>
      <x:c r="F259" s="43"/>
      <x:c r="G259" s="43"/>
      <x:c r="H259" s="120"/>
      <x:c r="I259" s="120"/>
      <x:c r="J259" s="120"/>
      <x:c r="K259" s="120"/>
      <x:c r="L259" s="120"/>
      <x:c r="M259" s="120"/>
      <x:c r="N259" s="120"/>
      <x:c r="O259" s="120"/>
      <x:c r="P259" s="120"/>
      <x:c r="Q259" s="120"/>
      <x:c r="R259" s="120"/>
      <x:c r="S259" s="120"/>
      <x:c r="T259" s="120"/>
      <x:c r="U259" s="48"/>
      <x:c r="V259" s="48"/>
      <x:c r="W259" s="48"/>
      <x:c r="X259" s="48"/>
      <x:c r="Y259" s="48"/>
      <x:c r="Z259" s="49"/>
      <x:c r="AA259" s="43"/>
      <x:c r="AB259" s="43"/>
      <x:c r="AC259" s="43"/>
      <x:c r="AD259" s="43"/>
      <x:c r="AE259" s="43"/>
      <x:c r="AF259" s="87" t="str">
        <x:f>IF(OR(H259="",I259="",I259&lt;H259),"",(I259-H259)*1440)</x:f>
      </x:c>
      <x:c r="AG259" s="87" t="str">
        <x:f>IF(OR(I259="",M259="",M259&lt;I259),"",(M259-I259)*1440)</x:f>
      </x:c>
      <x:c r="AH259" s="87" t="str">
        <x:f>IF(OR(M259="",N259="",N259&lt;M259),"",(N259-M259)*1440)</x:f>
      </x:c>
      <x:c r="AI259" s="87" t="str">
        <x:f>IF(OR(H259="",N259="",N259&lt;H259),"",(N259-H259)*1440)</x:f>
      </x:c>
      <x:c r="AJ259" s="87" t="str">
        <x:f>IF(OR(I259="",N259="",N259&lt;I259),"",(N259-I259)*1440)</x:f>
      </x:c>
      <x:c r="AK259" s="87" t="str">
        <x:f>IF(OR(N259="",O259="",O259&lt;N259),"",(O259-N259)*1440)</x:f>
      </x:c>
      <x:c r="AL259" s="87" t="str">
        <x:f>IF(OR(O259="",P259="",P259&lt;O259),"",(P259-O259)*1440)</x:f>
      </x:c>
      <x:c r="AM259" s="87" t="str">
        <x:f>IF(OR(Q259="",R259="",R259&lt;Q259),"",(R259-Q259)*1440)</x:f>
      </x:c>
      <x:c r="AN259" s="87" t="str">
        <x:f>IF(OR(S259="",T259="",T259&lt;S259),"",(T259-S259)*1440)</x:f>
      </x:c>
      <x:c r="AO259" s="87" t="str">
        <x:f>IF(OR(U259="",V259=""),"",V259-U259)</x:f>
      </x:c>
      <x:c r="AP259" s="63" t="str">
        <x:f>IF(A259="","",IF(OR(B259="",H259="",N259=""),"Incompleto",IF(N259&lt;H259,"Revisar",IF(OR(G259="",G259="Não observado"),"Qualidade E0 ausente",IF(OR(G259="Sensor",G259="Marcação física"),"Válido — E0 observado",IF(G259="Cálculo","Válido — E0 calculado","Válido — E0 estimado"))))))</x:f>
      </x:c>
      <x:c r="AQ259" s="63" t="str">
        <x:f>IF(A259="","",IF(COUNTA(H259:T259)&lt;13,"Incompleta",IF(OR(I259&lt;H259,J259&lt;I259,K259&lt;J259,L259&lt;K259,M259&lt;L259,N259&lt;M259,O259&lt;N259,P259&lt;O259,Q259&lt;P259,R259&lt;Q259,S259&lt;R259,T259&lt;S259),"Revisar","Completa")))</x:f>
      </x:c>
      <x:c r="AR259" s="87" t="str">
        <x:f>IF(OR(V259="",W259="",Y259=""),"",Y259-(V259-W259))</x:f>
      </x:c>
      <x:c r="AS259" s="63" t="str">
        <x:f>IF(A259="","",IF(AND(E259&lt;&gt;"",F259&lt;&gt;"",G259&lt;&gt;"",Z259&lt;&gt;"",AA259&lt;&gt;"",AB259&lt;&gt;"",AC259&lt;&gt;""),"Completa","Incompleta"))</x:f>
      </x:c>
      <x:c r="AT259" s="63" t="str">
        <x:f>IF(A259="","",IF(COUNTIF($A$11:$A$410,A259)&gt;1,"ID duplicado",IF(AND(AR259&lt;&gt;"",ABS(AR259)&gt;0.01),"Revisar balanço",IF(AND(W259&lt;&gt;"",V259&lt;&gt;"",W259&gt;V259),"Retirada &gt; estoque",IF(AND(U259&lt;&gt;"",U259&lt;'Cenário Base'!$D$8*'Cenário Base'!$D$74),"E0 abaixo do gatilho",IF(AND(V259&lt;&gt;"",V259&gt;XLOOKUP(B259,$A$414:$A$418,$B$414:$B$418)),"Excedeu capacidade","Sem alerta"))))))</x:f>
      </x:c>
    </x:row>
    <x:row r="260">
      <x:c r="A260" s="43"/>
      <x:c r="B260" s="43"/>
      <x:c r="C260" s="43"/>
      <x:c r="D260" s="43"/>
      <x:c r="E260" s="43"/>
      <x:c r="F260" s="43"/>
      <x:c r="G260" s="43"/>
      <x:c r="H260" s="120"/>
      <x:c r="I260" s="120"/>
      <x:c r="J260" s="120"/>
      <x:c r="K260" s="120"/>
      <x:c r="L260" s="120"/>
      <x:c r="M260" s="120"/>
      <x:c r="N260" s="120"/>
      <x:c r="O260" s="120"/>
      <x:c r="P260" s="120"/>
      <x:c r="Q260" s="120"/>
      <x:c r="R260" s="120"/>
      <x:c r="S260" s="120"/>
      <x:c r="T260" s="120"/>
      <x:c r="U260" s="48"/>
      <x:c r="V260" s="48"/>
      <x:c r="W260" s="48"/>
      <x:c r="X260" s="48"/>
      <x:c r="Y260" s="48"/>
      <x:c r="Z260" s="49"/>
      <x:c r="AA260" s="43"/>
      <x:c r="AB260" s="43"/>
      <x:c r="AC260" s="43"/>
      <x:c r="AD260" s="43"/>
      <x:c r="AE260" s="43"/>
      <x:c r="AF260" s="87" t="str">
        <x:f>IF(OR(H260="",I260="",I260&lt;H260),"",(I260-H260)*1440)</x:f>
      </x:c>
      <x:c r="AG260" s="87" t="str">
        <x:f>IF(OR(I260="",M260="",M260&lt;I260),"",(M260-I260)*1440)</x:f>
      </x:c>
      <x:c r="AH260" s="87" t="str">
        <x:f>IF(OR(M260="",N260="",N260&lt;M260),"",(N260-M260)*1440)</x:f>
      </x:c>
      <x:c r="AI260" s="87" t="str">
        <x:f>IF(OR(H260="",N260="",N260&lt;H260),"",(N260-H260)*1440)</x:f>
      </x:c>
      <x:c r="AJ260" s="87" t="str">
        <x:f>IF(OR(I260="",N260="",N260&lt;I260),"",(N260-I260)*1440)</x:f>
      </x:c>
      <x:c r="AK260" s="87" t="str">
        <x:f>IF(OR(N260="",O260="",O260&lt;N260),"",(O260-N260)*1440)</x:f>
      </x:c>
      <x:c r="AL260" s="87" t="str">
        <x:f>IF(OR(O260="",P260="",P260&lt;O260),"",(P260-O260)*1440)</x:f>
      </x:c>
      <x:c r="AM260" s="87" t="str">
        <x:f>IF(OR(Q260="",R260="",R260&lt;Q260),"",(R260-Q260)*1440)</x:f>
      </x:c>
      <x:c r="AN260" s="87" t="str">
        <x:f>IF(OR(S260="",T260="",T260&lt;S260),"",(T260-S260)*1440)</x:f>
      </x:c>
      <x:c r="AO260" s="87" t="str">
        <x:f>IF(OR(U260="",V260=""),"",V260-U260)</x:f>
      </x:c>
      <x:c r="AP260" s="63" t="str">
        <x:f>IF(A260="","",IF(OR(B260="",H260="",N260=""),"Incompleto",IF(N260&lt;H260,"Revisar",IF(OR(G260="",G260="Não observado"),"Qualidade E0 ausente",IF(OR(G260="Sensor",G260="Marcação física"),"Válido — E0 observado",IF(G260="Cálculo","Válido — E0 calculado","Válido — E0 estimado"))))))</x:f>
      </x:c>
      <x:c r="AQ260" s="63" t="str">
        <x:f>IF(A260="","",IF(COUNTA(H260:T260)&lt;13,"Incompleta",IF(OR(I260&lt;H260,J260&lt;I260,K260&lt;J260,L260&lt;K260,M260&lt;L260,N260&lt;M260,O260&lt;N260,P260&lt;O260,Q260&lt;P260,R260&lt;Q260,S260&lt;R260,T260&lt;S260),"Revisar","Completa")))</x:f>
      </x:c>
      <x:c r="AR260" s="87" t="str">
        <x:f>IF(OR(V260="",W260="",Y260=""),"",Y260-(V260-W260))</x:f>
      </x:c>
      <x:c r="AS260" s="63" t="str">
        <x:f>IF(A260="","",IF(AND(E260&lt;&gt;"",F260&lt;&gt;"",G260&lt;&gt;"",Z260&lt;&gt;"",AA260&lt;&gt;"",AB260&lt;&gt;"",AC260&lt;&gt;""),"Completa","Incompleta"))</x:f>
      </x:c>
      <x:c r="AT260" s="63" t="str">
        <x:f>IF(A260="","",IF(COUNTIF($A$11:$A$410,A260)&gt;1,"ID duplicado",IF(AND(AR260&lt;&gt;"",ABS(AR260)&gt;0.01),"Revisar balanço",IF(AND(W260&lt;&gt;"",V260&lt;&gt;"",W260&gt;V260),"Retirada &gt; estoque",IF(AND(U260&lt;&gt;"",U260&lt;'Cenário Base'!$D$8*'Cenário Base'!$D$74),"E0 abaixo do gatilho",IF(AND(V260&lt;&gt;"",V260&gt;XLOOKUP(B260,$A$414:$A$418,$B$414:$B$418)),"Excedeu capacidade","Sem alerta"))))))</x:f>
      </x:c>
    </x:row>
    <x:row r="261">
      <x:c r="A261" s="43"/>
      <x:c r="B261" s="43"/>
      <x:c r="C261" s="43"/>
      <x:c r="D261" s="43"/>
      <x:c r="E261" s="43"/>
      <x:c r="F261" s="43"/>
      <x:c r="G261" s="43"/>
      <x:c r="H261" s="120"/>
      <x:c r="I261" s="120"/>
      <x:c r="J261" s="120"/>
      <x:c r="K261" s="120"/>
      <x:c r="L261" s="120"/>
      <x:c r="M261" s="120"/>
      <x:c r="N261" s="120"/>
      <x:c r="O261" s="120"/>
      <x:c r="P261" s="120"/>
      <x:c r="Q261" s="120"/>
      <x:c r="R261" s="120"/>
      <x:c r="S261" s="120"/>
      <x:c r="T261" s="120"/>
      <x:c r="U261" s="48"/>
      <x:c r="V261" s="48"/>
      <x:c r="W261" s="48"/>
      <x:c r="X261" s="48"/>
      <x:c r="Y261" s="48"/>
      <x:c r="Z261" s="49"/>
      <x:c r="AA261" s="43"/>
      <x:c r="AB261" s="43"/>
      <x:c r="AC261" s="43"/>
      <x:c r="AD261" s="43"/>
      <x:c r="AE261" s="43"/>
      <x:c r="AF261" s="87" t="str">
        <x:f>IF(OR(H261="",I261="",I261&lt;H261),"",(I261-H261)*1440)</x:f>
      </x:c>
      <x:c r="AG261" s="87" t="str">
        <x:f>IF(OR(I261="",M261="",M261&lt;I261),"",(M261-I261)*1440)</x:f>
      </x:c>
      <x:c r="AH261" s="87" t="str">
        <x:f>IF(OR(M261="",N261="",N261&lt;M261),"",(N261-M261)*1440)</x:f>
      </x:c>
      <x:c r="AI261" s="87" t="str">
        <x:f>IF(OR(H261="",N261="",N261&lt;H261),"",(N261-H261)*1440)</x:f>
      </x:c>
      <x:c r="AJ261" s="87" t="str">
        <x:f>IF(OR(I261="",N261="",N261&lt;I261),"",(N261-I261)*1440)</x:f>
      </x:c>
      <x:c r="AK261" s="87" t="str">
        <x:f>IF(OR(N261="",O261="",O261&lt;N261),"",(O261-N261)*1440)</x:f>
      </x:c>
      <x:c r="AL261" s="87" t="str">
        <x:f>IF(OR(O261="",P261="",P261&lt;O261),"",(P261-O261)*1440)</x:f>
      </x:c>
      <x:c r="AM261" s="87" t="str">
        <x:f>IF(OR(Q261="",R261="",R261&lt;Q261),"",(R261-Q261)*1440)</x:f>
      </x:c>
      <x:c r="AN261" s="87" t="str">
        <x:f>IF(OR(S261="",T261="",T261&lt;S261),"",(T261-S261)*1440)</x:f>
      </x:c>
      <x:c r="AO261" s="87" t="str">
        <x:f>IF(OR(U261="",V261=""),"",V261-U261)</x:f>
      </x:c>
      <x:c r="AP261" s="63" t="str">
        <x:f>IF(A261="","",IF(OR(B261="",H261="",N261=""),"Incompleto",IF(N261&lt;H261,"Revisar",IF(OR(G261="",G261="Não observado"),"Qualidade E0 ausente",IF(OR(G261="Sensor",G261="Marcação física"),"Válido — E0 observado",IF(G261="Cálculo","Válido — E0 calculado","Válido — E0 estimado"))))))</x:f>
      </x:c>
      <x:c r="AQ261" s="63" t="str">
        <x:f>IF(A261="","",IF(COUNTA(H261:T261)&lt;13,"Incompleta",IF(OR(I261&lt;H261,J261&lt;I261,K261&lt;J261,L261&lt;K261,M261&lt;L261,N261&lt;M261,O261&lt;N261,P261&lt;O261,Q261&lt;P261,R261&lt;Q261,S261&lt;R261,T261&lt;S261),"Revisar","Completa")))</x:f>
      </x:c>
      <x:c r="AR261" s="87" t="str">
        <x:f>IF(OR(V261="",W261="",Y261=""),"",Y261-(V261-W261))</x:f>
      </x:c>
      <x:c r="AS261" s="63" t="str">
        <x:f>IF(A261="","",IF(AND(E261&lt;&gt;"",F261&lt;&gt;"",G261&lt;&gt;"",Z261&lt;&gt;"",AA261&lt;&gt;"",AB261&lt;&gt;"",AC261&lt;&gt;""),"Completa","Incompleta"))</x:f>
      </x:c>
      <x:c r="AT261" s="63" t="str">
        <x:f>IF(A261="","",IF(COUNTIF($A$11:$A$410,A261)&gt;1,"ID duplicado",IF(AND(AR261&lt;&gt;"",ABS(AR261)&gt;0.01),"Revisar balanço",IF(AND(W261&lt;&gt;"",V261&lt;&gt;"",W261&gt;V261),"Retirada &gt; estoque",IF(AND(U261&lt;&gt;"",U261&lt;'Cenário Base'!$D$8*'Cenário Base'!$D$74),"E0 abaixo do gatilho",IF(AND(V261&lt;&gt;"",V261&gt;XLOOKUP(B261,$A$414:$A$418,$B$414:$B$418)),"Excedeu capacidade","Sem alerta"))))))</x:f>
      </x:c>
    </x:row>
    <x:row r="262">
      <x:c r="A262" s="43"/>
      <x:c r="B262" s="43"/>
      <x:c r="C262" s="43"/>
      <x:c r="D262" s="43"/>
      <x:c r="E262" s="43"/>
      <x:c r="F262" s="43"/>
      <x:c r="G262" s="43"/>
      <x:c r="H262" s="120"/>
      <x:c r="I262" s="120"/>
      <x:c r="J262" s="120"/>
      <x:c r="K262" s="120"/>
      <x:c r="L262" s="120"/>
      <x:c r="M262" s="120"/>
      <x:c r="N262" s="120"/>
      <x:c r="O262" s="120"/>
      <x:c r="P262" s="120"/>
      <x:c r="Q262" s="120"/>
      <x:c r="R262" s="120"/>
      <x:c r="S262" s="120"/>
      <x:c r="T262" s="120"/>
      <x:c r="U262" s="48"/>
      <x:c r="V262" s="48"/>
      <x:c r="W262" s="48"/>
      <x:c r="X262" s="48"/>
      <x:c r="Y262" s="48"/>
      <x:c r="Z262" s="49"/>
      <x:c r="AA262" s="43"/>
      <x:c r="AB262" s="43"/>
      <x:c r="AC262" s="43"/>
      <x:c r="AD262" s="43"/>
      <x:c r="AE262" s="43"/>
      <x:c r="AF262" s="87" t="str">
        <x:f>IF(OR(H262="",I262="",I262&lt;H262),"",(I262-H262)*1440)</x:f>
      </x:c>
      <x:c r="AG262" s="87" t="str">
        <x:f>IF(OR(I262="",M262="",M262&lt;I262),"",(M262-I262)*1440)</x:f>
      </x:c>
      <x:c r="AH262" s="87" t="str">
        <x:f>IF(OR(M262="",N262="",N262&lt;M262),"",(N262-M262)*1440)</x:f>
      </x:c>
      <x:c r="AI262" s="87" t="str">
        <x:f>IF(OR(H262="",N262="",N262&lt;H262),"",(N262-H262)*1440)</x:f>
      </x:c>
      <x:c r="AJ262" s="87" t="str">
        <x:f>IF(OR(I262="",N262="",N262&lt;I262),"",(N262-I262)*1440)</x:f>
      </x:c>
      <x:c r="AK262" s="87" t="str">
        <x:f>IF(OR(N262="",O262="",O262&lt;N262),"",(O262-N262)*1440)</x:f>
      </x:c>
      <x:c r="AL262" s="87" t="str">
        <x:f>IF(OR(O262="",P262="",P262&lt;O262),"",(P262-O262)*1440)</x:f>
      </x:c>
      <x:c r="AM262" s="87" t="str">
        <x:f>IF(OR(Q262="",R262="",R262&lt;Q262),"",(R262-Q262)*1440)</x:f>
      </x:c>
      <x:c r="AN262" s="87" t="str">
        <x:f>IF(OR(S262="",T262="",T262&lt;S262),"",(T262-S262)*1440)</x:f>
      </x:c>
      <x:c r="AO262" s="87" t="str">
        <x:f>IF(OR(U262="",V262=""),"",V262-U262)</x:f>
      </x:c>
      <x:c r="AP262" s="63" t="str">
        <x:f>IF(A262="","",IF(OR(B262="",H262="",N262=""),"Incompleto",IF(N262&lt;H262,"Revisar",IF(OR(G262="",G262="Não observado"),"Qualidade E0 ausente",IF(OR(G262="Sensor",G262="Marcação física"),"Válido — E0 observado",IF(G262="Cálculo","Válido — E0 calculado","Válido — E0 estimado"))))))</x:f>
      </x:c>
      <x:c r="AQ262" s="63" t="str">
        <x:f>IF(A262="","",IF(COUNTA(H262:T262)&lt;13,"Incompleta",IF(OR(I262&lt;H262,J262&lt;I262,K262&lt;J262,L262&lt;K262,M262&lt;L262,N262&lt;M262,O262&lt;N262,P262&lt;O262,Q262&lt;P262,R262&lt;Q262,S262&lt;R262,T262&lt;S262),"Revisar","Completa")))</x:f>
      </x:c>
      <x:c r="AR262" s="87" t="str">
        <x:f>IF(OR(V262="",W262="",Y262=""),"",Y262-(V262-W262))</x:f>
      </x:c>
      <x:c r="AS262" s="63" t="str">
        <x:f>IF(A262="","",IF(AND(E262&lt;&gt;"",F262&lt;&gt;"",G262&lt;&gt;"",Z262&lt;&gt;"",AA262&lt;&gt;"",AB262&lt;&gt;"",AC262&lt;&gt;""),"Completa","Incompleta"))</x:f>
      </x:c>
      <x:c r="AT262" s="63" t="str">
        <x:f>IF(A262="","",IF(COUNTIF($A$11:$A$410,A262)&gt;1,"ID duplicado",IF(AND(AR262&lt;&gt;"",ABS(AR262)&gt;0.01),"Revisar balanço",IF(AND(W262&lt;&gt;"",V262&lt;&gt;"",W262&gt;V262),"Retirada &gt; estoque",IF(AND(U262&lt;&gt;"",U262&lt;'Cenário Base'!$D$8*'Cenário Base'!$D$74),"E0 abaixo do gatilho",IF(AND(V262&lt;&gt;"",V262&gt;XLOOKUP(B262,$A$414:$A$418,$B$414:$B$418)),"Excedeu capacidade","Sem alerta"))))))</x:f>
      </x:c>
    </x:row>
    <x:row r="263">
      <x:c r="A263" s="43"/>
      <x:c r="B263" s="43"/>
      <x:c r="C263" s="43"/>
      <x:c r="D263" s="43"/>
      <x:c r="E263" s="43"/>
      <x:c r="F263" s="43"/>
      <x:c r="G263" s="43"/>
      <x:c r="H263" s="120"/>
      <x:c r="I263" s="120"/>
      <x:c r="J263" s="120"/>
      <x:c r="K263" s="120"/>
      <x:c r="L263" s="120"/>
      <x:c r="M263" s="120"/>
      <x:c r="N263" s="120"/>
      <x:c r="O263" s="120"/>
      <x:c r="P263" s="120"/>
      <x:c r="Q263" s="120"/>
      <x:c r="R263" s="120"/>
      <x:c r="S263" s="120"/>
      <x:c r="T263" s="120"/>
      <x:c r="U263" s="48"/>
      <x:c r="V263" s="48"/>
      <x:c r="W263" s="48"/>
      <x:c r="X263" s="48"/>
      <x:c r="Y263" s="48"/>
      <x:c r="Z263" s="49"/>
      <x:c r="AA263" s="43"/>
      <x:c r="AB263" s="43"/>
      <x:c r="AC263" s="43"/>
      <x:c r="AD263" s="43"/>
      <x:c r="AE263" s="43"/>
      <x:c r="AF263" s="87" t="str">
        <x:f>IF(OR(H263="",I263="",I263&lt;H263),"",(I263-H263)*1440)</x:f>
      </x:c>
      <x:c r="AG263" s="87" t="str">
        <x:f>IF(OR(I263="",M263="",M263&lt;I263),"",(M263-I263)*1440)</x:f>
      </x:c>
      <x:c r="AH263" s="87" t="str">
        <x:f>IF(OR(M263="",N263="",N263&lt;M263),"",(N263-M263)*1440)</x:f>
      </x:c>
      <x:c r="AI263" s="87" t="str">
        <x:f>IF(OR(H263="",N263="",N263&lt;H263),"",(N263-H263)*1440)</x:f>
      </x:c>
      <x:c r="AJ263" s="87" t="str">
        <x:f>IF(OR(I263="",N263="",N263&lt;I263),"",(N263-I263)*1440)</x:f>
      </x:c>
      <x:c r="AK263" s="87" t="str">
        <x:f>IF(OR(N263="",O263="",O263&lt;N263),"",(O263-N263)*1440)</x:f>
      </x:c>
      <x:c r="AL263" s="87" t="str">
        <x:f>IF(OR(O263="",P263="",P263&lt;O263),"",(P263-O263)*1440)</x:f>
      </x:c>
      <x:c r="AM263" s="87" t="str">
        <x:f>IF(OR(Q263="",R263="",R263&lt;Q263),"",(R263-Q263)*1440)</x:f>
      </x:c>
      <x:c r="AN263" s="87" t="str">
        <x:f>IF(OR(S263="",T263="",T263&lt;S263),"",(T263-S263)*1440)</x:f>
      </x:c>
      <x:c r="AO263" s="87" t="str">
        <x:f>IF(OR(U263="",V263=""),"",V263-U263)</x:f>
      </x:c>
      <x:c r="AP263" s="63" t="str">
        <x:f>IF(A263="","",IF(OR(B263="",H263="",N263=""),"Incompleto",IF(N263&lt;H263,"Revisar",IF(OR(G263="",G263="Não observado"),"Qualidade E0 ausente",IF(OR(G263="Sensor",G263="Marcação física"),"Válido — E0 observado",IF(G263="Cálculo","Válido — E0 calculado","Válido — E0 estimado"))))))</x:f>
      </x:c>
      <x:c r="AQ263" s="63" t="str">
        <x:f>IF(A263="","",IF(COUNTA(H263:T263)&lt;13,"Incompleta",IF(OR(I263&lt;H263,J263&lt;I263,K263&lt;J263,L263&lt;K263,M263&lt;L263,N263&lt;M263,O263&lt;N263,P263&lt;O263,Q263&lt;P263,R263&lt;Q263,S263&lt;R263,T263&lt;S263),"Revisar","Completa")))</x:f>
      </x:c>
      <x:c r="AR263" s="87" t="str">
        <x:f>IF(OR(V263="",W263="",Y263=""),"",Y263-(V263-W263))</x:f>
      </x:c>
      <x:c r="AS263" s="63" t="str">
        <x:f>IF(A263="","",IF(AND(E263&lt;&gt;"",F263&lt;&gt;"",G263&lt;&gt;"",Z263&lt;&gt;"",AA263&lt;&gt;"",AB263&lt;&gt;"",AC263&lt;&gt;""),"Completa","Incompleta"))</x:f>
      </x:c>
      <x:c r="AT263" s="63" t="str">
        <x:f>IF(A263="","",IF(COUNTIF($A$11:$A$410,A263)&gt;1,"ID duplicado",IF(AND(AR263&lt;&gt;"",ABS(AR263)&gt;0.01),"Revisar balanço",IF(AND(W263&lt;&gt;"",V263&lt;&gt;"",W263&gt;V263),"Retirada &gt; estoque",IF(AND(U263&lt;&gt;"",U263&lt;'Cenário Base'!$D$8*'Cenário Base'!$D$74),"E0 abaixo do gatilho",IF(AND(V263&lt;&gt;"",V263&gt;XLOOKUP(B263,$A$414:$A$418,$B$414:$B$418)),"Excedeu capacidade","Sem alerta"))))))</x:f>
      </x:c>
    </x:row>
    <x:row r="264">
      <x:c r="A264" s="43"/>
      <x:c r="B264" s="43"/>
      <x:c r="C264" s="43"/>
      <x:c r="D264" s="43"/>
      <x:c r="E264" s="43"/>
      <x:c r="F264" s="43"/>
      <x:c r="G264" s="43"/>
      <x:c r="H264" s="120"/>
      <x:c r="I264" s="120"/>
      <x:c r="J264" s="120"/>
      <x:c r="K264" s="120"/>
      <x:c r="L264" s="120"/>
      <x:c r="M264" s="120"/>
      <x:c r="N264" s="120"/>
      <x:c r="O264" s="120"/>
      <x:c r="P264" s="120"/>
      <x:c r="Q264" s="120"/>
      <x:c r="R264" s="120"/>
      <x:c r="S264" s="120"/>
      <x:c r="T264" s="120"/>
      <x:c r="U264" s="48"/>
      <x:c r="V264" s="48"/>
      <x:c r="W264" s="48"/>
      <x:c r="X264" s="48"/>
      <x:c r="Y264" s="48"/>
      <x:c r="Z264" s="49"/>
      <x:c r="AA264" s="43"/>
      <x:c r="AB264" s="43"/>
      <x:c r="AC264" s="43"/>
      <x:c r="AD264" s="43"/>
      <x:c r="AE264" s="43"/>
      <x:c r="AF264" s="87" t="str">
        <x:f>IF(OR(H264="",I264="",I264&lt;H264),"",(I264-H264)*1440)</x:f>
      </x:c>
      <x:c r="AG264" s="87" t="str">
        <x:f>IF(OR(I264="",M264="",M264&lt;I264),"",(M264-I264)*1440)</x:f>
      </x:c>
      <x:c r="AH264" s="87" t="str">
        <x:f>IF(OR(M264="",N264="",N264&lt;M264),"",(N264-M264)*1440)</x:f>
      </x:c>
      <x:c r="AI264" s="87" t="str">
        <x:f>IF(OR(H264="",N264="",N264&lt;H264),"",(N264-H264)*1440)</x:f>
      </x:c>
      <x:c r="AJ264" s="87" t="str">
        <x:f>IF(OR(I264="",N264="",N264&lt;I264),"",(N264-I264)*1440)</x:f>
      </x:c>
      <x:c r="AK264" s="87" t="str">
        <x:f>IF(OR(N264="",O264="",O264&lt;N264),"",(O264-N264)*1440)</x:f>
      </x:c>
      <x:c r="AL264" s="87" t="str">
        <x:f>IF(OR(O264="",P264="",P264&lt;O264),"",(P264-O264)*1440)</x:f>
      </x:c>
      <x:c r="AM264" s="87" t="str">
        <x:f>IF(OR(Q264="",R264="",R264&lt;Q264),"",(R264-Q264)*1440)</x:f>
      </x:c>
      <x:c r="AN264" s="87" t="str">
        <x:f>IF(OR(S264="",T264="",T264&lt;S264),"",(T264-S264)*1440)</x:f>
      </x:c>
      <x:c r="AO264" s="87" t="str">
        <x:f>IF(OR(U264="",V264=""),"",V264-U264)</x:f>
      </x:c>
      <x:c r="AP264" s="63" t="str">
        <x:f>IF(A264="","",IF(OR(B264="",H264="",N264=""),"Incompleto",IF(N264&lt;H264,"Revisar",IF(OR(G264="",G264="Não observado"),"Qualidade E0 ausente",IF(OR(G264="Sensor",G264="Marcação física"),"Válido — E0 observado",IF(G264="Cálculo","Válido — E0 calculado","Válido — E0 estimado"))))))</x:f>
      </x:c>
      <x:c r="AQ264" s="63" t="str">
        <x:f>IF(A264="","",IF(COUNTA(H264:T264)&lt;13,"Incompleta",IF(OR(I264&lt;H264,J264&lt;I264,K264&lt;J264,L264&lt;K264,M264&lt;L264,N264&lt;M264,O264&lt;N264,P264&lt;O264,Q264&lt;P264,R264&lt;Q264,S264&lt;R264,T264&lt;S264),"Revisar","Completa")))</x:f>
      </x:c>
      <x:c r="AR264" s="87" t="str">
        <x:f>IF(OR(V264="",W264="",Y264=""),"",Y264-(V264-W264))</x:f>
      </x:c>
      <x:c r="AS264" s="63" t="str">
        <x:f>IF(A264="","",IF(AND(E264&lt;&gt;"",F264&lt;&gt;"",G264&lt;&gt;"",Z264&lt;&gt;"",AA264&lt;&gt;"",AB264&lt;&gt;"",AC264&lt;&gt;""),"Completa","Incompleta"))</x:f>
      </x:c>
      <x:c r="AT264" s="63" t="str">
        <x:f>IF(A264="","",IF(COUNTIF($A$11:$A$410,A264)&gt;1,"ID duplicado",IF(AND(AR264&lt;&gt;"",ABS(AR264)&gt;0.01),"Revisar balanço",IF(AND(W264&lt;&gt;"",V264&lt;&gt;"",W264&gt;V264),"Retirada &gt; estoque",IF(AND(U264&lt;&gt;"",U264&lt;'Cenário Base'!$D$8*'Cenário Base'!$D$74),"E0 abaixo do gatilho",IF(AND(V264&lt;&gt;"",V264&gt;XLOOKUP(B264,$A$414:$A$418,$B$414:$B$418)),"Excedeu capacidade","Sem alerta"))))))</x:f>
      </x:c>
    </x:row>
    <x:row r="265">
      <x:c r="A265" s="43"/>
      <x:c r="B265" s="43"/>
      <x:c r="C265" s="43"/>
      <x:c r="D265" s="43"/>
      <x:c r="E265" s="43"/>
      <x:c r="F265" s="43"/>
      <x:c r="G265" s="43"/>
      <x:c r="H265" s="120"/>
      <x:c r="I265" s="120"/>
      <x:c r="J265" s="120"/>
      <x:c r="K265" s="120"/>
      <x:c r="L265" s="120"/>
      <x:c r="M265" s="120"/>
      <x:c r="N265" s="120"/>
      <x:c r="O265" s="120"/>
      <x:c r="P265" s="120"/>
      <x:c r="Q265" s="120"/>
      <x:c r="R265" s="120"/>
      <x:c r="S265" s="120"/>
      <x:c r="T265" s="120"/>
      <x:c r="U265" s="48"/>
      <x:c r="V265" s="48"/>
      <x:c r="W265" s="48"/>
      <x:c r="X265" s="48"/>
      <x:c r="Y265" s="48"/>
      <x:c r="Z265" s="49"/>
      <x:c r="AA265" s="43"/>
      <x:c r="AB265" s="43"/>
      <x:c r="AC265" s="43"/>
      <x:c r="AD265" s="43"/>
      <x:c r="AE265" s="43"/>
      <x:c r="AF265" s="87" t="str">
        <x:f>IF(OR(H265="",I265="",I265&lt;H265),"",(I265-H265)*1440)</x:f>
      </x:c>
      <x:c r="AG265" s="87" t="str">
        <x:f>IF(OR(I265="",M265="",M265&lt;I265),"",(M265-I265)*1440)</x:f>
      </x:c>
      <x:c r="AH265" s="87" t="str">
        <x:f>IF(OR(M265="",N265="",N265&lt;M265),"",(N265-M265)*1440)</x:f>
      </x:c>
      <x:c r="AI265" s="87" t="str">
        <x:f>IF(OR(H265="",N265="",N265&lt;H265),"",(N265-H265)*1440)</x:f>
      </x:c>
      <x:c r="AJ265" s="87" t="str">
        <x:f>IF(OR(I265="",N265="",N265&lt;I265),"",(N265-I265)*1440)</x:f>
      </x:c>
      <x:c r="AK265" s="87" t="str">
        <x:f>IF(OR(N265="",O265="",O265&lt;N265),"",(O265-N265)*1440)</x:f>
      </x:c>
      <x:c r="AL265" s="87" t="str">
        <x:f>IF(OR(O265="",P265="",P265&lt;O265),"",(P265-O265)*1440)</x:f>
      </x:c>
      <x:c r="AM265" s="87" t="str">
        <x:f>IF(OR(Q265="",R265="",R265&lt;Q265),"",(R265-Q265)*1440)</x:f>
      </x:c>
      <x:c r="AN265" s="87" t="str">
        <x:f>IF(OR(S265="",T265="",T265&lt;S265),"",(T265-S265)*1440)</x:f>
      </x:c>
      <x:c r="AO265" s="87" t="str">
        <x:f>IF(OR(U265="",V265=""),"",V265-U265)</x:f>
      </x:c>
      <x:c r="AP265" s="63" t="str">
        <x:f>IF(A265="","",IF(OR(B265="",H265="",N265=""),"Incompleto",IF(N265&lt;H265,"Revisar",IF(OR(G265="",G265="Não observado"),"Qualidade E0 ausente",IF(OR(G265="Sensor",G265="Marcação física"),"Válido — E0 observado",IF(G265="Cálculo","Válido — E0 calculado","Válido — E0 estimado"))))))</x:f>
      </x:c>
      <x:c r="AQ265" s="63" t="str">
        <x:f>IF(A265="","",IF(COUNTA(H265:T265)&lt;13,"Incompleta",IF(OR(I265&lt;H265,J265&lt;I265,K265&lt;J265,L265&lt;K265,M265&lt;L265,N265&lt;M265,O265&lt;N265,P265&lt;O265,Q265&lt;P265,R265&lt;Q265,S265&lt;R265,T265&lt;S265),"Revisar","Completa")))</x:f>
      </x:c>
      <x:c r="AR265" s="87" t="str">
        <x:f>IF(OR(V265="",W265="",Y265=""),"",Y265-(V265-W265))</x:f>
      </x:c>
      <x:c r="AS265" s="63" t="str">
        <x:f>IF(A265="","",IF(AND(E265&lt;&gt;"",F265&lt;&gt;"",G265&lt;&gt;"",Z265&lt;&gt;"",AA265&lt;&gt;"",AB265&lt;&gt;"",AC265&lt;&gt;""),"Completa","Incompleta"))</x:f>
      </x:c>
      <x:c r="AT265" s="63" t="str">
        <x:f>IF(A265="","",IF(COUNTIF($A$11:$A$410,A265)&gt;1,"ID duplicado",IF(AND(AR265&lt;&gt;"",ABS(AR265)&gt;0.01),"Revisar balanço",IF(AND(W265&lt;&gt;"",V265&lt;&gt;"",W265&gt;V265),"Retirada &gt; estoque",IF(AND(U265&lt;&gt;"",U265&lt;'Cenário Base'!$D$8*'Cenário Base'!$D$74),"E0 abaixo do gatilho",IF(AND(V265&lt;&gt;"",V265&gt;XLOOKUP(B265,$A$414:$A$418,$B$414:$B$418)),"Excedeu capacidade","Sem alerta"))))))</x:f>
      </x:c>
    </x:row>
    <x:row r="266">
      <x:c r="A266" s="43"/>
      <x:c r="B266" s="43"/>
      <x:c r="C266" s="43"/>
      <x:c r="D266" s="43"/>
      <x:c r="E266" s="43"/>
      <x:c r="F266" s="43"/>
      <x:c r="G266" s="43"/>
      <x:c r="H266" s="120"/>
      <x:c r="I266" s="120"/>
      <x:c r="J266" s="120"/>
      <x:c r="K266" s="120"/>
      <x:c r="L266" s="120"/>
      <x:c r="M266" s="120"/>
      <x:c r="N266" s="120"/>
      <x:c r="O266" s="120"/>
      <x:c r="P266" s="120"/>
      <x:c r="Q266" s="120"/>
      <x:c r="R266" s="120"/>
      <x:c r="S266" s="120"/>
      <x:c r="T266" s="120"/>
      <x:c r="U266" s="48"/>
      <x:c r="V266" s="48"/>
      <x:c r="W266" s="48"/>
      <x:c r="X266" s="48"/>
      <x:c r="Y266" s="48"/>
      <x:c r="Z266" s="49"/>
      <x:c r="AA266" s="43"/>
      <x:c r="AB266" s="43"/>
      <x:c r="AC266" s="43"/>
      <x:c r="AD266" s="43"/>
      <x:c r="AE266" s="43"/>
      <x:c r="AF266" s="87" t="str">
        <x:f>IF(OR(H266="",I266="",I266&lt;H266),"",(I266-H266)*1440)</x:f>
      </x:c>
      <x:c r="AG266" s="87" t="str">
        <x:f>IF(OR(I266="",M266="",M266&lt;I266),"",(M266-I266)*1440)</x:f>
      </x:c>
      <x:c r="AH266" s="87" t="str">
        <x:f>IF(OR(M266="",N266="",N266&lt;M266),"",(N266-M266)*1440)</x:f>
      </x:c>
      <x:c r="AI266" s="87" t="str">
        <x:f>IF(OR(H266="",N266="",N266&lt;H266),"",(N266-H266)*1440)</x:f>
      </x:c>
      <x:c r="AJ266" s="87" t="str">
        <x:f>IF(OR(I266="",N266="",N266&lt;I266),"",(N266-I266)*1440)</x:f>
      </x:c>
      <x:c r="AK266" s="87" t="str">
        <x:f>IF(OR(N266="",O266="",O266&lt;N266),"",(O266-N266)*1440)</x:f>
      </x:c>
      <x:c r="AL266" s="87" t="str">
        <x:f>IF(OR(O266="",P266="",P266&lt;O266),"",(P266-O266)*1440)</x:f>
      </x:c>
      <x:c r="AM266" s="87" t="str">
        <x:f>IF(OR(Q266="",R266="",R266&lt;Q266),"",(R266-Q266)*1440)</x:f>
      </x:c>
      <x:c r="AN266" s="87" t="str">
        <x:f>IF(OR(S266="",T266="",T266&lt;S266),"",(T266-S266)*1440)</x:f>
      </x:c>
      <x:c r="AO266" s="87" t="str">
        <x:f>IF(OR(U266="",V266=""),"",V266-U266)</x:f>
      </x:c>
      <x:c r="AP266" s="63" t="str">
        <x:f>IF(A266="","",IF(OR(B266="",H266="",N266=""),"Incompleto",IF(N266&lt;H266,"Revisar",IF(OR(G266="",G266="Não observado"),"Qualidade E0 ausente",IF(OR(G266="Sensor",G266="Marcação física"),"Válido — E0 observado",IF(G266="Cálculo","Válido — E0 calculado","Válido — E0 estimado"))))))</x:f>
      </x:c>
      <x:c r="AQ266" s="63" t="str">
        <x:f>IF(A266="","",IF(COUNTA(H266:T266)&lt;13,"Incompleta",IF(OR(I266&lt;H266,J266&lt;I266,K266&lt;J266,L266&lt;K266,M266&lt;L266,N266&lt;M266,O266&lt;N266,P266&lt;O266,Q266&lt;P266,R266&lt;Q266,S266&lt;R266,T266&lt;S266),"Revisar","Completa")))</x:f>
      </x:c>
      <x:c r="AR266" s="87" t="str">
        <x:f>IF(OR(V266="",W266="",Y266=""),"",Y266-(V266-W266))</x:f>
      </x:c>
      <x:c r="AS266" s="63" t="str">
        <x:f>IF(A266="","",IF(AND(E266&lt;&gt;"",F266&lt;&gt;"",G266&lt;&gt;"",Z266&lt;&gt;"",AA266&lt;&gt;"",AB266&lt;&gt;"",AC266&lt;&gt;""),"Completa","Incompleta"))</x:f>
      </x:c>
      <x:c r="AT266" s="63" t="str">
        <x:f>IF(A266="","",IF(COUNTIF($A$11:$A$410,A266)&gt;1,"ID duplicado",IF(AND(AR266&lt;&gt;"",ABS(AR266)&gt;0.01),"Revisar balanço",IF(AND(W266&lt;&gt;"",V266&lt;&gt;"",W266&gt;V266),"Retirada &gt; estoque",IF(AND(U266&lt;&gt;"",U266&lt;'Cenário Base'!$D$8*'Cenário Base'!$D$74),"E0 abaixo do gatilho",IF(AND(V266&lt;&gt;"",V266&gt;XLOOKUP(B266,$A$414:$A$418,$B$414:$B$418)),"Excedeu capacidade","Sem alerta"))))))</x:f>
      </x:c>
    </x:row>
    <x:row r="267">
      <x:c r="A267" s="43"/>
      <x:c r="B267" s="43"/>
      <x:c r="C267" s="43"/>
      <x:c r="D267" s="43"/>
      <x:c r="E267" s="43"/>
      <x:c r="F267" s="43"/>
      <x:c r="G267" s="43"/>
      <x:c r="H267" s="120"/>
      <x:c r="I267" s="120"/>
      <x:c r="J267" s="120"/>
      <x:c r="K267" s="120"/>
      <x:c r="L267" s="120"/>
      <x:c r="M267" s="120"/>
      <x:c r="N267" s="120"/>
      <x:c r="O267" s="120"/>
      <x:c r="P267" s="120"/>
      <x:c r="Q267" s="120"/>
      <x:c r="R267" s="120"/>
      <x:c r="S267" s="120"/>
      <x:c r="T267" s="120"/>
      <x:c r="U267" s="48"/>
      <x:c r="V267" s="48"/>
      <x:c r="W267" s="48"/>
      <x:c r="X267" s="48"/>
      <x:c r="Y267" s="48"/>
      <x:c r="Z267" s="49"/>
      <x:c r="AA267" s="43"/>
      <x:c r="AB267" s="43"/>
      <x:c r="AC267" s="43"/>
      <x:c r="AD267" s="43"/>
      <x:c r="AE267" s="43"/>
      <x:c r="AF267" s="87" t="str">
        <x:f>IF(OR(H267="",I267="",I267&lt;H267),"",(I267-H267)*1440)</x:f>
      </x:c>
      <x:c r="AG267" s="87" t="str">
        <x:f>IF(OR(I267="",M267="",M267&lt;I267),"",(M267-I267)*1440)</x:f>
      </x:c>
      <x:c r="AH267" s="87" t="str">
        <x:f>IF(OR(M267="",N267="",N267&lt;M267),"",(N267-M267)*1440)</x:f>
      </x:c>
      <x:c r="AI267" s="87" t="str">
        <x:f>IF(OR(H267="",N267="",N267&lt;H267),"",(N267-H267)*1440)</x:f>
      </x:c>
      <x:c r="AJ267" s="87" t="str">
        <x:f>IF(OR(I267="",N267="",N267&lt;I267),"",(N267-I267)*1440)</x:f>
      </x:c>
      <x:c r="AK267" s="87" t="str">
        <x:f>IF(OR(N267="",O267="",O267&lt;N267),"",(O267-N267)*1440)</x:f>
      </x:c>
      <x:c r="AL267" s="87" t="str">
        <x:f>IF(OR(O267="",P267="",P267&lt;O267),"",(P267-O267)*1440)</x:f>
      </x:c>
      <x:c r="AM267" s="87" t="str">
        <x:f>IF(OR(Q267="",R267="",R267&lt;Q267),"",(R267-Q267)*1440)</x:f>
      </x:c>
      <x:c r="AN267" s="87" t="str">
        <x:f>IF(OR(S267="",T267="",T267&lt;S267),"",(T267-S267)*1440)</x:f>
      </x:c>
      <x:c r="AO267" s="87" t="str">
        <x:f>IF(OR(U267="",V267=""),"",V267-U267)</x:f>
      </x:c>
      <x:c r="AP267" s="63" t="str">
        <x:f>IF(A267="","",IF(OR(B267="",H267="",N267=""),"Incompleto",IF(N267&lt;H267,"Revisar",IF(OR(G267="",G267="Não observado"),"Qualidade E0 ausente",IF(OR(G267="Sensor",G267="Marcação física"),"Válido — E0 observado",IF(G267="Cálculo","Válido — E0 calculado","Válido — E0 estimado"))))))</x:f>
      </x:c>
      <x:c r="AQ267" s="63" t="str">
        <x:f>IF(A267="","",IF(COUNTA(H267:T267)&lt;13,"Incompleta",IF(OR(I267&lt;H267,J267&lt;I267,K267&lt;J267,L267&lt;K267,M267&lt;L267,N267&lt;M267,O267&lt;N267,P267&lt;O267,Q267&lt;P267,R267&lt;Q267,S267&lt;R267,T267&lt;S267),"Revisar","Completa")))</x:f>
      </x:c>
      <x:c r="AR267" s="87" t="str">
        <x:f>IF(OR(V267="",W267="",Y267=""),"",Y267-(V267-W267))</x:f>
      </x:c>
      <x:c r="AS267" s="63" t="str">
        <x:f>IF(A267="","",IF(AND(E267&lt;&gt;"",F267&lt;&gt;"",G267&lt;&gt;"",Z267&lt;&gt;"",AA267&lt;&gt;"",AB267&lt;&gt;"",AC267&lt;&gt;""),"Completa","Incompleta"))</x:f>
      </x:c>
      <x:c r="AT267" s="63" t="str">
        <x:f>IF(A267="","",IF(COUNTIF($A$11:$A$410,A267)&gt;1,"ID duplicado",IF(AND(AR267&lt;&gt;"",ABS(AR267)&gt;0.01),"Revisar balanço",IF(AND(W267&lt;&gt;"",V267&lt;&gt;"",W267&gt;V267),"Retirada &gt; estoque",IF(AND(U267&lt;&gt;"",U267&lt;'Cenário Base'!$D$8*'Cenário Base'!$D$74),"E0 abaixo do gatilho",IF(AND(V267&lt;&gt;"",V267&gt;XLOOKUP(B267,$A$414:$A$418,$B$414:$B$418)),"Excedeu capacidade","Sem alerta"))))))</x:f>
      </x:c>
    </x:row>
    <x:row r="268">
      <x:c r="A268" s="43"/>
      <x:c r="B268" s="43"/>
      <x:c r="C268" s="43"/>
      <x:c r="D268" s="43"/>
      <x:c r="E268" s="43"/>
      <x:c r="F268" s="43"/>
      <x:c r="G268" s="43"/>
      <x:c r="H268" s="120"/>
      <x:c r="I268" s="120"/>
      <x:c r="J268" s="120"/>
      <x:c r="K268" s="120"/>
      <x:c r="L268" s="120"/>
      <x:c r="M268" s="120"/>
      <x:c r="N268" s="120"/>
      <x:c r="O268" s="120"/>
      <x:c r="P268" s="120"/>
      <x:c r="Q268" s="120"/>
      <x:c r="R268" s="120"/>
      <x:c r="S268" s="120"/>
      <x:c r="T268" s="120"/>
      <x:c r="U268" s="48"/>
      <x:c r="V268" s="48"/>
      <x:c r="W268" s="48"/>
      <x:c r="X268" s="48"/>
      <x:c r="Y268" s="48"/>
      <x:c r="Z268" s="49"/>
      <x:c r="AA268" s="43"/>
      <x:c r="AB268" s="43"/>
      <x:c r="AC268" s="43"/>
      <x:c r="AD268" s="43"/>
      <x:c r="AE268" s="43"/>
      <x:c r="AF268" s="87" t="str">
        <x:f>IF(OR(H268="",I268="",I268&lt;H268),"",(I268-H268)*1440)</x:f>
      </x:c>
      <x:c r="AG268" s="87" t="str">
        <x:f>IF(OR(I268="",M268="",M268&lt;I268),"",(M268-I268)*1440)</x:f>
      </x:c>
      <x:c r="AH268" s="87" t="str">
        <x:f>IF(OR(M268="",N268="",N268&lt;M268),"",(N268-M268)*1440)</x:f>
      </x:c>
      <x:c r="AI268" s="87" t="str">
        <x:f>IF(OR(H268="",N268="",N268&lt;H268),"",(N268-H268)*1440)</x:f>
      </x:c>
      <x:c r="AJ268" s="87" t="str">
        <x:f>IF(OR(I268="",N268="",N268&lt;I268),"",(N268-I268)*1440)</x:f>
      </x:c>
      <x:c r="AK268" s="87" t="str">
        <x:f>IF(OR(N268="",O268="",O268&lt;N268),"",(O268-N268)*1440)</x:f>
      </x:c>
      <x:c r="AL268" s="87" t="str">
        <x:f>IF(OR(O268="",P268="",P268&lt;O268),"",(P268-O268)*1440)</x:f>
      </x:c>
      <x:c r="AM268" s="87" t="str">
        <x:f>IF(OR(Q268="",R268="",R268&lt;Q268),"",(R268-Q268)*1440)</x:f>
      </x:c>
      <x:c r="AN268" s="87" t="str">
        <x:f>IF(OR(S268="",T268="",T268&lt;S268),"",(T268-S268)*1440)</x:f>
      </x:c>
      <x:c r="AO268" s="87" t="str">
        <x:f>IF(OR(U268="",V268=""),"",V268-U268)</x:f>
      </x:c>
      <x:c r="AP268" s="63" t="str">
        <x:f>IF(A268="","",IF(OR(B268="",H268="",N268=""),"Incompleto",IF(N268&lt;H268,"Revisar",IF(OR(G268="",G268="Não observado"),"Qualidade E0 ausente",IF(OR(G268="Sensor",G268="Marcação física"),"Válido — E0 observado",IF(G268="Cálculo","Válido — E0 calculado","Válido — E0 estimado"))))))</x:f>
      </x:c>
      <x:c r="AQ268" s="63" t="str">
        <x:f>IF(A268="","",IF(COUNTA(H268:T268)&lt;13,"Incompleta",IF(OR(I268&lt;H268,J268&lt;I268,K268&lt;J268,L268&lt;K268,M268&lt;L268,N268&lt;M268,O268&lt;N268,P268&lt;O268,Q268&lt;P268,R268&lt;Q268,S268&lt;R268,T268&lt;S268),"Revisar","Completa")))</x:f>
      </x:c>
      <x:c r="AR268" s="87" t="str">
        <x:f>IF(OR(V268="",W268="",Y268=""),"",Y268-(V268-W268))</x:f>
      </x:c>
      <x:c r="AS268" s="63" t="str">
        <x:f>IF(A268="","",IF(AND(E268&lt;&gt;"",F268&lt;&gt;"",G268&lt;&gt;"",Z268&lt;&gt;"",AA268&lt;&gt;"",AB268&lt;&gt;"",AC268&lt;&gt;""),"Completa","Incompleta"))</x:f>
      </x:c>
      <x:c r="AT268" s="63" t="str">
        <x:f>IF(A268="","",IF(COUNTIF($A$11:$A$410,A268)&gt;1,"ID duplicado",IF(AND(AR268&lt;&gt;"",ABS(AR268)&gt;0.01),"Revisar balanço",IF(AND(W268&lt;&gt;"",V268&lt;&gt;"",W268&gt;V268),"Retirada &gt; estoque",IF(AND(U268&lt;&gt;"",U268&lt;'Cenário Base'!$D$8*'Cenário Base'!$D$74),"E0 abaixo do gatilho",IF(AND(V268&lt;&gt;"",V268&gt;XLOOKUP(B268,$A$414:$A$418,$B$414:$B$418)),"Excedeu capacidade","Sem alerta"))))))</x:f>
      </x:c>
    </x:row>
    <x:row r="269">
      <x:c r="A269" s="43"/>
      <x:c r="B269" s="43"/>
      <x:c r="C269" s="43"/>
      <x:c r="D269" s="43"/>
      <x:c r="E269" s="43"/>
      <x:c r="F269" s="43"/>
      <x:c r="G269" s="43"/>
      <x:c r="H269" s="120"/>
      <x:c r="I269" s="120"/>
      <x:c r="J269" s="120"/>
      <x:c r="K269" s="120"/>
      <x:c r="L269" s="120"/>
      <x:c r="M269" s="120"/>
      <x:c r="N269" s="120"/>
      <x:c r="O269" s="120"/>
      <x:c r="P269" s="120"/>
      <x:c r="Q269" s="120"/>
      <x:c r="R269" s="120"/>
      <x:c r="S269" s="120"/>
      <x:c r="T269" s="120"/>
      <x:c r="U269" s="48"/>
      <x:c r="V269" s="48"/>
      <x:c r="W269" s="48"/>
      <x:c r="X269" s="48"/>
      <x:c r="Y269" s="48"/>
      <x:c r="Z269" s="49"/>
      <x:c r="AA269" s="43"/>
      <x:c r="AB269" s="43"/>
      <x:c r="AC269" s="43"/>
      <x:c r="AD269" s="43"/>
      <x:c r="AE269" s="43"/>
      <x:c r="AF269" s="87" t="str">
        <x:f>IF(OR(H269="",I269="",I269&lt;H269),"",(I269-H269)*1440)</x:f>
      </x:c>
      <x:c r="AG269" s="87" t="str">
        <x:f>IF(OR(I269="",M269="",M269&lt;I269),"",(M269-I269)*1440)</x:f>
      </x:c>
      <x:c r="AH269" s="87" t="str">
        <x:f>IF(OR(M269="",N269="",N269&lt;M269),"",(N269-M269)*1440)</x:f>
      </x:c>
      <x:c r="AI269" s="87" t="str">
        <x:f>IF(OR(H269="",N269="",N269&lt;H269),"",(N269-H269)*1440)</x:f>
      </x:c>
      <x:c r="AJ269" s="87" t="str">
        <x:f>IF(OR(I269="",N269="",N269&lt;I269),"",(N269-I269)*1440)</x:f>
      </x:c>
      <x:c r="AK269" s="87" t="str">
        <x:f>IF(OR(N269="",O269="",O269&lt;N269),"",(O269-N269)*1440)</x:f>
      </x:c>
      <x:c r="AL269" s="87" t="str">
        <x:f>IF(OR(O269="",P269="",P269&lt;O269),"",(P269-O269)*1440)</x:f>
      </x:c>
      <x:c r="AM269" s="87" t="str">
        <x:f>IF(OR(Q269="",R269="",R269&lt;Q269),"",(R269-Q269)*1440)</x:f>
      </x:c>
      <x:c r="AN269" s="87" t="str">
        <x:f>IF(OR(S269="",T269="",T269&lt;S269),"",(T269-S269)*1440)</x:f>
      </x:c>
      <x:c r="AO269" s="87" t="str">
        <x:f>IF(OR(U269="",V269=""),"",V269-U269)</x:f>
      </x:c>
      <x:c r="AP269" s="63" t="str">
        <x:f>IF(A269="","",IF(OR(B269="",H269="",N269=""),"Incompleto",IF(N269&lt;H269,"Revisar",IF(OR(G269="",G269="Não observado"),"Qualidade E0 ausente",IF(OR(G269="Sensor",G269="Marcação física"),"Válido — E0 observado",IF(G269="Cálculo","Válido — E0 calculado","Válido — E0 estimado"))))))</x:f>
      </x:c>
      <x:c r="AQ269" s="63" t="str">
        <x:f>IF(A269="","",IF(COUNTA(H269:T269)&lt;13,"Incompleta",IF(OR(I269&lt;H269,J269&lt;I269,K269&lt;J269,L269&lt;K269,M269&lt;L269,N269&lt;M269,O269&lt;N269,P269&lt;O269,Q269&lt;P269,R269&lt;Q269,S269&lt;R269,T269&lt;S269),"Revisar","Completa")))</x:f>
      </x:c>
      <x:c r="AR269" s="87" t="str">
        <x:f>IF(OR(V269="",W269="",Y269=""),"",Y269-(V269-W269))</x:f>
      </x:c>
      <x:c r="AS269" s="63" t="str">
        <x:f>IF(A269="","",IF(AND(E269&lt;&gt;"",F269&lt;&gt;"",G269&lt;&gt;"",Z269&lt;&gt;"",AA269&lt;&gt;"",AB269&lt;&gt;"",AC269&lt;&gt;""),"Completa","Incompleta"))</x:f>
      </x:c>
      <x:c r="AT269" s="63" t="str">
        <x:f>IF(A269="","",IF(COUNTIF($A$11:$A$410,A269)&gt;1,"ID duplicado",IF(AND(AR269&lt;&gt;"",ABS(AR269)&gt;0.01),"Revisar balanço",IF(AND(W269&lt;&gt;"",V269&lt;&gt;"",W269&gt;V269),"Retirada &gt; estoque",IF(AND(U269&lt;&gt;"",U269&lt;'Cenário Base'!$D$8*'Cenário Base'!$D$74),"E0 abaixo do gatilho",IF(AND(V269&lt;&gt;"",V269&gt;XLOOKUP(B269,$A$414:$A$418,$B$414:$B$418)),"Excedeu capacidade","Sem alerta"))))))</x:f>
      </x:c>
    </x:row>
    <x:row r="270">
      <x:c r="A270" s="43"/>
      <x:c r="B270" s="43"/>
      <x:c r="C270" s="43"/>
      <x:c r="D270" s="43"/>
      <x:c r="E270" s="43"/>
      <x:c r="F270" s="43"/>
      <x:c r="G270" s="43"/>
      <x:c r="H270" s="120"/>
      <x:c r="I270" s="120"/>
      <x:c r="J270" s="120"/>
      <x:c r="K270" s="120"/>
      <x:c r="L270" s="120"/>
      <x:c r="M270" s="120"/>
      <x:c r="N270" s="120"/>
      <x:c r="O270" s="120"/>
      <x:c r="P270" s="120"/>
      <x:c r="Q270" s="120"/>
      <x:c r="R270" s="120"/>
      <x:c r="S270" s="120"/>
      <x:c r="T270" s="120"/>
      <x:c r="U270" s="48"/>
      <x:c r="V270" s="48"/>
      <x:c r="W270" s="48"/>
      <x:c r="X270" s="48"/>
      <x:c r="Y270" s="48"/>
      <x:c r="Z270" s="49"/>
      <x:c r="AA270" s="43"/>
      <x:c r="AB270" s="43"/>
      <x:c r="AC270" s="43"/>
      <x:c r="AD270" s="43"/>
      <x:c r="AE270" s="43"/>
      <x:c r="AF270" s="87" t="str">
        <x:f>IF(OR(H270="",I270="",I270&lt;H270),"",(I270-H270)*1440)</x:f>
      </x:c>
      <x:c r="AG270" s="87" t="str">
        <x:f>IF(OR(I270="",M270="",M270&lt;I270),"",(M270-I270)*1440)</x:f>
      </x:c>
      <x:c r="AH270" s="87" t="str">
        <x:f>IF(OR(M270="",N270="",N270&lt;M270),"",(N270-M270)*1440)</x:f>
      </x:c>
      <x:c r="AI270" s="87" t="str">
        <x:f>IF(OR(H270="",N270="",N270&lt;H270),"",(N270-H270)*1440)</x:f>
      </x:c>
      <x:c r="AJ270" s="87" t="str">
        <x:f>IF(OR(I270="",N270="",N270&lt;I270),"",(N270-I270)*1440)</x:f>
      </x:c>
      <x:c r="AK270" s="87" t="str">
        <x:f>IF(OR(N270="",O270="",O270&lt;N270),"",(O270-N270)*1440)</x:f>
      </x:c>
      <x:c r="AL270" s="87" t="str">
        <x:f>IF(OR(O270="",P270="",P270&lt;O270),"",(P270-O270)*1440)</x:f>
      </x:c>
      <x:c r="AM270" s="87" t="str">
        <x:f>IF(OR(Q270="",R270="",R270&lt;Q270),"",(R270-Q270)*1440)</x:f>
      </x:c>
      <x:c r="AN270" s="87" t="str">
        <x:f>IF(OR(S270="",T270="",T270&lt;S270),"",(T270-S270)*1440)</x:f>
      </x:c>
      <x:c r="AO270" s="87" t="str">
        <x:f>IF(OR(U270="",V270=""),"",V270-U270)</x:f>
      </x:c>
      <x:c r="AP270" s="63" t="str">
        <x:f>IF(A270="","",IF(OR(B270="",H270="",N270=""),"Incompleto",IF(N270&lt;H270,"Revisar",IF(OR(G270="",G270="Não observado"),"Qualidade E0 ausente",IF(OR(G270="Sensor",G270="Marcação física"),"Válido — E0 observado",IF(G270="Cálculo","Válido — E0 calculado","Válido — E0 estimado"))))))</x:f>
      </x:c>
      <x:c r="AQ270" s="63" t="str">
        <x:f>IF(A270="","",IF(COUNTA(H270:T270)&lt;13,"Incompleta",IF(OR(I270&lt;H270,J270&lt;I270,K270&lt;J270,L270&lt;K270,M270&lt;L270,N270&lt;M270,O270&lt;N270,P270&lt;O270,Q270&lt;P270,R270&lt;Q270,S270&lt;R270,T270&lt;S270),"Revisar","Completa")))</x:f>
      </x:c>
      <x:c r="AR270" s="87" t="str">
        <x:f>IF(OR(V270="",W270="",Y270=""),"",Y270-(V270-W270))</x:f>
      </x:c>
      <x:c r="AS270" s="63" t="str">
        <x:f>IF(A270="","",IF(AND(E270&lt;&gt;"",F270&lt;&gt;"",G270&lt;&gt;"",Z270&lt;&gt;"",AA270&lt;&gt;"",AB270&lt;&gt;"",AC270&lt;&gt;""),"Completa","Incompleta"))</x:f>
      </x:c>
      <x:c r="AT270" s="63" t="str">
        <x:f>IF(A270="","",IF(COUNTIF($A$11:$A$410,A270)&gt;1,"ID duplicado",IF(AND(AR270&lt;&gt;"",ABS(AR270)&gt;0.01),"Revisar balanço",IF(AND(W270&lt;&gt;"",V270&lt;&gt;"",W270&gt;V270),"Retirada &gt; estoque",IF(AND(U270&lt;&gt;"",U270&lt;'Cenário Base'!$D$8*'Cenário Base'!$D$74),"E0 abaixo do gatilho",IF(AND(V270&lt;&gt;"",V270&gt;XLOOKUP(B270,$A$414:$A$418,$B$414:$B$418)),"Excedeu capacidade","Sem alerta"))))))</x:f>
      </x:c>
    </x:row>
    <x:row r="271">
      <x:c r="A271" s="43"/>
      <x:c r="B271" s="43"/>
      <x:c r="C271" s="43"/>
      <x:c r="D271" s="43"/>
      <x:c r="E271" s="43"/>
      <x:c r="F271" s="43"/>
      <x:c r="G271" s="43"/>
      <x:c r="H271" s="120"/>
      <x:c r="I271" s="120"/>
      <x:c r="J271" s="120"/>
      <x:c r="K271" s="120"/>
      <x:c r="L271" s="120"/>
      <x:c r="M271" s="120"/>
      <x:c r="N271" s="120"/>
      <x:c r="O271" s="120"/>
      <x:c r="P271" s="120"/>
      <x:c r="Q271" s="120"/>
      <x:c r="R271" s="120"/>
      <x:c r="S271" s="120"/>
      <x:c r="T271" s="120"/>
      <x:c r="U271" s="48"/>
      <x:c r="V271" s="48"/>
      <x:c r="W271" s="48"/>
      <x:c r="X271" s="48"/>
      <x:c r="Y271" s="48"/>
      <x:c r="Z271" s="49"/>
      <x:c r="AA271" s="43"/>
      <x:c r="AB271" s="43"/>
      <x:c r="AC271" s="43"/>
      <x:c r="AD271" s="43"/>
      <x:c r="AE271" s="43"/>
      <x:c r="AF271" s="87" t="str">
        <x:f>IF(OR(H271="",I271="",I271&lt;H271),"",(I271-H271)*1440)</x:f>
      </x:c>
      <x:c r="AG271" s="87" t="str">
        <x:f>IF(OR(I271="",M271="",M271&lt;I271),"",(M271-I271)*1440)</x:f>
      </x:c>
      <x:c r="AH271" s="87" t="str">
        <x:f>IF(OR(M271="",N271="",N271&lt;M271),"",(N271-M271)*1440)</x:f>
      </x:c>
      <x:c r="AI271" s="87" t="str">
        <x:f>IF(OR(H271="",N271="",N271&lt;H271),"",(N271-H271)*1440)</x:f>
      </x:c>
      <x:c r="AJ271" s="87" t="str">
        <x:f>IF(OR(I271="",N271="",N271&lt;I271),"",(N271-I271)*1440)</x:f>
      </x:c>
      <x:c r="AK271" s="87" t="str">
        <x:f>IF(OR(N271="",O271="",O271&lt;N271),"",(O271-N271)*1440)</x:f>
      </x:c>
      <x:c r="AL271" s="87" t="str">
        <x:f>IF(OR(O271="",P271="",P271&lt;O271),"",(P271-O271)*1440)</x:f>
      </x:c>
      <x:c r="AM271" s="87" t="str">
        <x:f>IF(OR(Q271="",R271="",R271&lt;Q271),"",(R271-Q271)*1440)</x:f>
      </x:c>
      <x:c r="AN271" s="87" t="str">
        <x:f>IF(OR(S271="",T271="",T271&lt;S271),"",(T271-S271)*1440)</x:f>
      </x:c>
      <x:c r="AO271" s="87" t="str">
        <x:f>IF(OR(U271="",V271=""),"",V271-U271)</x:f>
      </x:c>
      <x:c r="AP271" s="63" t="str">
        <x:f>IF(A271="","",IF(OR(B271="",H271="",N271=""),"Incompleto",IF(N271&lt;H271,"Revisar",IF(OR(G271="",G271="Não observado"),"Qualidade E0 ausente",IF(OR(G271="Sensor",G271="Marcação física"),"Válido — E0 observado",IF(G271="Cálculo","Válido — E0 calculado","Válido — E0 estimado"))))))</x:f>
      </x:c>
      <x:c r="AQ271" s="63" t="str">
        <x:f>IF(A271="","",IF(COUNTA(H271:T271)&lt;13,"Incompleta",IF(OR(I271&lt;H271,J271&lt;I271,K271&lt;J271,L271&lt;K271,M271&lt;L271,N271&lt;M271,O271&lt;N271,P271&lt;O271,Q271&lt;P271,R271&lt;Q271,S271&lt;R271,T271&lt;S271),"Revisar","Completa")))</x:f>
      </x:c>
      <x:c r="AR271" s="87" t="str">
        <x:f>IF(OR(V271="",W271="",Y271=""),"",Y271-(V271-W271))</x:f>
      </x:c>
      <x:c r="AS271" s="63" t="str">
        <x:f>IF(A271="","",IF(AND(E271&lt;&gt;"",F271&lt;&gt;"",G271&lt;&gt;"",Z271&lt;&gt;"",AA271&lt;&gt;"",AB271&lt;&gt;"",AC271&lt;&gt;""),"Completa","Incompleta"))</x:f>
      </x:c>
      <x:c r="AT271" s="63" t="str">
        <x:f>IF(A271="","",IF(COUNTIF($A$11:$A$410,A271)&gt;1,"ID duplicado",IF(AND(AR271&lt;&gt;"",ABS(AR271)&gt;0.01),"Revisar balanço",IF(AND(W271&lt;&gt;"",V271&lt;&gt;"",W271&gt;V271),"Retirada &gt; estoque",IF(AND(U271&lt;&gt;"",U271&lt;'Cenário Base'!$D$8*'Cenário Base'!$D$74),"E0 abaixo do gatilho",IF(AND(V271&lt;&gt;"",V271&gt;XLOOKUP(B271,$A$414:$A$418,$B$414:$B$418)),"Excedeu capacidade","Sem alerta"))))))</x:f>
      </x:c>
    </x:row>
    <x:row r="272">
      <x:c r="A272" s="43"/>
      <x:c r="B272" s="43"/>
      <x:c r="C272" s="43"/>
      <x:c r="D272" s="43"/>
      <x:c r="E272" s="43"/>
      <x:c r="F272" s="43"/>
      <x:c r="G272" s="43"/>
      <x:c r="H272" s="120"/>
      <x:c r="I272" s="120"/>
      <x:c r="J272" s="120"/>
      <x:c r="K272" s="120"/>
      <x:c r="L272" s="120"/>
      <x:c r="M272" s="120"/>
      <x:c r="N272" s="120"/>
      <x:c r="O272" s="120"/>
      <x:c r="P272" s="120"/>
      <x:c r="Q272" s="120"/>
      <x:c r="R272" s="120"/>
      <x:c r="S272" s="120"/>
      <x:c r="T272" s="120"/>
      <x:c r="U272" s="48"/>
      <x:c r="V272" s="48"/>
      <x:c r="W272" s="48"/>
      <x:c r="X272" s="48"/>
      <x:c r="Y272" s="48"/>
      <x:c r="Z272" s="49"/>
      <x:c r="AA272" s="43"/>
      <x:c r="AB272" s="43"/>
      <x:c r="AC272" s="43"/>
      <x:c r="AD272" s="43"/>
      <x:c r="AE272" s="43"/>
      <x:c r="AF272" s="87" t="str">
        <x:f>IF(OR(H272="",I272="",I272&lt;H272),"",(I272-H272)*1440)</x:f>
      </x:c>
      <x:c r="AG272" s="87" t="str">
        <x:f>IF(OR(I272="",M272="",M272&lt;I272),"",(M272-I272)*1440)</x:f>
      </x:c>
      <x:c r="AH272" s="87" t="str">
        <x:f>IF(OR(M272="",N272="",N272&lt;M272),"",(N272-M272)*1440)</x:f>
      </x:c>
      <x:c r="AI272" s="87" t="str">
        <x:f>IF(OR(H272="",N272="",N272&lt;H272),"",(N272-H272)*1440)</x:f>
      </x:c>
      <x:c r="AJ272" s="87" t="str">
        <x:f>IF(OR(I272="",N272="",N272&lt;I272),"",(N272-I272)*1440)</x:f>
      </x:c>
      <x:c r="AK272" s="87" t="str">
        <x:f>IF(OR(N272="",O272="",O272&lt;N272),"",(O272-N272)*1440)</x:f>
      </x:c>
      <x:c r="AL272" s="87" t="str">
        <x:f>IF(OR(O272="",P272="",P272&lt;O272),"",(P272-O272)*1440)</x:f>
      </x:c>
      <x:c r="AM272" s="87" t="str">
        <x:f>IF(OR(Q272="",R272="",R272&lt;Q272),"",(R272-Q272)*1440)</x:f>
      </x:c>
      <x:c r="AN272" s="87" t="str">
        <x:f>IF(OR(S272="",T272="",T272&lt;S272),"",(T272-S272)*1440)</x:f>
      </x:c>
      <x:c r="AO272" s="87" t="str">
        <x:f>IF(OR(U272="",V272=""),"",V272-U272)</x:f>
      </x:c>
      <x:c r="AP272" s="63" t="str">
        <x:f>IF(A272="","",IF(OR(B272="",H272="",N272=""),"Incompleto",IF(N272&lt;H272,"Revisar",IF(OR(G272="",G272="Não observado"),"Qualidade E0 ausente",IF(OR(G272="Sensor",G272="Marcação física"),"Válido — E0 observado",IF(G272="Cálculo","Válido — E0 calculado","Válido — E0 estimado"))))))</x:f>
      </x:c>
      <x:c r="AQ272" s="63" t="str">
        <x:f>IF(A272="","",IF(COUNTA(H272:T272)&lt;13,"Incompleta",IF(OR(I272&lt;H272,J272&lt;I272,K272&lt;J272,L272&lt;K272,M272&lt;L272,N272&lt;M272,O272&lt;N272,P272&lt;O272,Q272&lt;P272,R272&lt;Q272,S272&lt;R272,T272&lt;S272),"Revisar","Completa")))</x:f>
      </x:c>
      <x:c r="AR272" s="87" t="str">
        <x:f>IF(OR(V272="",W272="",Y272=""),"",Y272-(V272-W272))</x:f>
      </x:c>
      <x:c r="AS272" s="63" t="str">
        <x:f>IF(A272="","",IF(AND(E272&lt;&gt;"",F272&lt;&gt;"",G272&lt;&gt;"",Z272&lt;&gt;"",AA272&lt;&gt;"",AB272&lt;&gt;"",AC272&lt;&gt;""),"Completa","Incompleta"))</x:f>
      </x:c>
      <x:c r="AT272" s="63" t="str">
        <x:f>IF(A272="","",IF(COUNTIF($A$11:$A$410,A272)&gt;1,"ID duplicado",IF(AND(AR272&lt;&gt;"",ABS(AR272)&gt;0.01),"Revisar balanço",IF(AND(W272&lt;&gt;"",V272&lt;&gt;"",W272&gt;V272),"Retirada &gt; estoque",IF(AND(U272&lt;&gt;"",U272&lt;'Cenário Base'!$D$8*'Cenário Base'!$D$74),"E0 abaixo do gatilho",IF(AND(V272&lt;&gt;"",V272&gt;XLOOKUP(B272,$A$414:$A$418,$B$414:$B$418)),"Excedeu capacidade","Sem alerta"))))))</x:f>
      </x:c>
    </x:row>
    <x:row r="273">
      <x:c r="A273" s="43"/>
      <x:c r="B273" s="43"/>
      <x:c r="C273" s="43"/>
      <x:c r="D273" s="43"/>
      <x:c r="E273" s="43"/>
      <x:c r="F273" s="43"/>
      <x:c r="G273" s="43"/>
      <x:c r="H273" s="120"/>
      <x:c r="I273" s="120"/>
      <x:c r="J273" s="120"/>
      <x:c r="K273" s="120"/>
      <x:c r="L273" s="120"/>
      <x:c r="M273" s="120"/>
      <x:c r="N273" s="120"/>
      <x:c r="O273" s="120"/>
      <x:c r="P273" s="120"/>
      <x:c r="Q273" s="120"/>
      <x:c r="R273" s="120"/>
      <x:c r="S273" s="120"/>
      <x:c r="T273" s="120"/>
      <x:c r="U273" s="48"/>
      <x:c r="V273" s="48"/>
      <x:c r="W273" s="48"/>
      <x:c r="X273" s="48"/>
      <x:c r="Y273" s="48"/>
      <x:c r="Z273" s="49"/>
      <x:c r="AA273" s="43"/>
      <x:c r="AB273" s="43"/>
      <x:c r="AC273" s="43"/>
      <x:c r="AD273" s="43"/>
      <x:c r="AE273" s="43"/>
      <x:c r="AF273" s="87" t="str">
        <x:f>IF(OR(H273="",I273="",I273&lt;H273),"",(I273-H273)*1440)</x:f>
      </x:c>
      <x:c r="AG273" s="87" t="str">
        <x:f>IF(OR(I273="",M273="",M273&lt;I273),"",(M273-I273)*1440)</x:f>
      </x:c>
      <x:c r="AH273" s="87" t="str">
        <x:f>IF(OR(M273="",N273="",N273&lt;M273),"",(N273-M273)*1440)</x:f>
      </x:c>
      <x:c r="AI273" s="87" t="str">
        <x:f>IF(OR(H273="",N273="",N273&lt;H273),"",(N273-H273)*1440)</x:f>
      </x:c>
      <x:c r="AJ273" s="87" t="str">
        <x:f>IF(OR(I273="",N273="",N273&lt;I273),"",(N273-I273)*1440)</x:f>
      </x:c>
      <x:c r="AK273" s="87" t="str">
        <x:f>IF(OR(N273="",O273="",O273&lt;N273),"",(O273-N273)*1440)</x:f>
      </x:c>
      <x:c r="AL273" s="87" t="str">
        <x:f>IF(OR(O273="",P273="",P273&lt;O273),"",(P273-O273)*1440)</x:f>
      </x:c>
      <x:c r="AM273" s="87" t="str">
        <x:f>IF(OR(Q273="",R273="",R273&lt;Q273),"",(R273-Q273)*1440)</x:f>
      </x:c>
      <x:c r="AN273" s="87" t="str">
        <x:f>IF(OR(S273="",T273="",T273&lt;S273),"",(T273-S273)*1440)</x:f>
      </x:c>
      <x:c r="AO273" s="87" t="str">
        <x:f>IF(OR(U273="",V273=""),"",V273-U273)</x:f>
      </x:c>
      <x:c r="AP273" s="63" t="str">
        <x:f>IF(A273="","",IF(OR(B273="",H273="",N273=""),"Incompleto",IF(N273&lt;H273,"Revisar",IF(OR(G273="",G273="Não observado"),"Qualidade E0 ausente",IF(OR(G273="Sensor",G273="Marcação física"),"Válido — E0 observado",IF(G273="Cálculo","Válido — E0 calculado","Válido — E0 estimado"))))))</x:f>
      </x:c>
      <x:c r="AQ273" s="63" t="str">
        <x:f>IF(A273="","",IF(COUNTA(H273:T273)&lt;13,"Incompleta",IF(OR(I273&lt;H273,J273&lt;I273,K273&lt;J273,L273&lt;K273,M273&lt;L273,N273&lt;M273,O273&lt;N273,P273&lt;O273,Q273&lt;P273,R273&lt;Q273,S273&lt;R273,T273&lt;S273),"Revisar","Completa")))</x:f>
      </x:c>
      <x:c r="AR273" s="87" t="str">
        <x:f>IF(OR(V273="",W273="",Y273=""),"",Y273-(V273-W273))</x:f>
      </x:c>
      <x:c r="AS273" s="63" t="str">
        <x:f>IF(A273="","",IF(AND(E273&lt;&gt;"",F273&lt;&gt;"",G273&lt;&gt;"",Z273&lt;&gt;"",AA273&lt;&gt;"",AB273&lt;&gt;"",AC273&lt;&gt;""),"Completa","Incompleta"))</x:f>
      </x:c>
      <x:c r="AT273" s="63" t="str">
        <x:f>IF(A273="","",IF(COUNTIF($A$11:$A$410,A273)&gt;1,"ID duplicado",IF(AND(AR273&lt;&gt;"",ABS(AR273)&gt;0.01),"Revisar balanço",IF(AND(W273&lt;&gt;"",V273&lt;&gt;"",W273&gt;V273),"Retirada &gt; estoque",IF(AND(U273&lt;&gt;"",U273&lt;'Cenário Base'!$D$8*'Cenário Base'!$D$74),"E0 abaixo do gatilho",IF(AND(V273&lt;&gt;"",V273&gt;XLOOKUP(B273,$A$414:$A$418,$B$414:$B$418)),"Excedeu capacidade","Sem alerta"))))))</x:f>
      </x:c>
    </x:row>
    <x:row r="274">
      <x:c r="A274" s="43"/>
      <x:c r="B274" s="43"/>
      <x:c r="C274" s="43"/>
      <x:c r="D274" s="43"/>
      <x:c r="E274" s="43"/>
      <x:c r="F274" s="43"/>
      <x:c r="G274" s="43"/>
      <x:c r="H274" s="120"/>
      <x:c r="I274" s="120"/>
      <x:c r="J274" s="120"/>
      <x:c r="K274" s="120"/>
      <x:c r="L274" s="120"/>
      <x:c r="M274" s="120"/>
      <x:c r="N274" s="120"/>
      <x:c r="O274" s="120"/>
      <x:c r="P274" s="120"/>
      <x:c r="Q274" s="120"/>
      <x:c r="R274" s="120"/>
      <x:c r="S274" s="120"/>
      <x:c r="T274" s="120"/>
      <x:c r="U274" s="48"/>
      <x:c r="V274" s="48"/>
      <x:c r="W274" s="48"/>
      <x:c r="X274" s="48"/>
      <x:c r="Y274" s="48"/>
      <x:c r="Z274" s="49"/>
      <x:c r="AA274" s="43"/>
      <x:c r="AB274" s="43"/>
      <x:c r="AC274" s="43"/>
      <x:c r="AD274" s="43"/>
      <x:c r="AE274" s="43"/>
      <x:c r="AF274" s="87" t="str">
        <x:f>IF(OR(H274="",I274="",I274&lt;H274),"",(I274-H274)*1440)</x:f>
      </x:c>
      <x:c r="AG274" s="87" t="str">
        <x:f>IF(OR(I274="",M274="",M274&lt;I274),"",(M274-I274)*1440)</x:f>
      </x:c>
      <x:c r="AH274" s="87" t="str">
        <x:f>IF(OR(M274="",N274="",N274&lt;M274),"",(N274-M274)*1440)</x:f>
      </x:c>
      <x:c r="AI274" s="87" t="str">
        <x:f>IF(OR(H274="",N274="",N274&lt;H274),"",(N274-H274)*1440)</x:f>
      </x:c>
      <x:c r="AJ274" s="87" t="str">
        <x:f>IF(OR(I274="",N274="",N274&lt;I274),"",(N274-I274)*1440)</x:f>
      </x:c>
      <x:c r="AK274" s="87" t="str">
        <x:f>IF(OR(N274="",O274="",O274&lt;N274),"",(O274-N274)*1440)</x:f>
      </x:c>
      <x:c r="AL274" s="87" t="str">
        <x:f>IF(OR(O274="",P274="",P274&lt;O274),"",(P274-O274)*1440)</x:f>
      </x:c>
      <x:c r="AM274" s="87" t="str">
        <x:f>IF(OR(Q274="",R274="",R274&lt;Q274),"",(R274-Q274)*1440)</x:f>
      </x:c>
      <x:c r="AN274" s="87" t="str">
        <x:f>IF(OR(S274="",T274="",T274&lt;S274),"",(T274-S274)*1440)</x:f>
      </x:c>
      <x:c r="AO274" s="87" t="str">
        <x:f>IF(OR(U274="",V274=""),"",V274-U274)</x:f>
      </x:c>
      <x:c r="AP274" s="63" t="str">
        <x:f>IF(A274="","",IF(OR(B274="",H274="",N274=""),"Incompleto",IF(N274&lt;H274,"Revisar",IF(OR(G274="",G274="Não observado"),"Qualidade E0 ausente",IF(OR(G274="Sensor",G274="Marcação física"),"Válido — E0 observado",IF(G274="Cálculo","Válido — E0 calculado","Válido — E0 estimado"))))))</x:f>
      </x:c>
      <x:c r="AQ274" s="63" t="str">
        <x:f>IF(A274="","",IF(COUNTA(H274:T274)&lt;13,"Incompleta",IF(OR(I274&lt;H274,J274&lt;I274,K274&lt;J274,L274&lt;K274,M274&lt;L274,N274&lt;M274,O274&lt;N274,P274&lt;O274,Q274&lt;P274,R274&lt;Q274,S274&lt;R274,T274&lt;S274),"Revisar","Completa")))</x:f>
      </x:c>
      <x:c r="AR274" s="87" t="str">
        <x:f>IF(OR(V274="",W274="",Y274=""),"",Y274-(V274-W274))</x:f>
      </x:c>
      <x:c r="AS274" s="63" t="str">
        <x:f>IF(A274="","",IF(AND(E274&lt;&gt;"",F274&lt;&gt;"",G274&lt;&gt;"",Z274&lt;&gt;"",AA274&lt;&gt;"",AB274&lt;&gt;"",AC274&lt;&gt;""),"Completa","Incompleta"))</x:f>
      </x:c>
      <x:c r="AT274" s="63" t="str">
        <x:f>IF(A274="","",IF(COUNTIF($A$11:$A$410,A274)&gt;1,"ID duplicado",IF(AND(AR274&lt;&gt;"",ABS(AR274)&gt;0.01),"Revisar balanço",IF(AND(W274&lt;&gt;"",V274&lt;&gt;"",W274&gt;V274),"Retirada &gt; estoque",IF(AND(U274&lt;&gt;"",U274&lt;'Cenário Base'!$D$8*'Cenário Base'!$D$74),"E0 abaixo do gatilho",IF(AND(V274&lt;&gt;"",V274&gt;XLOOKUP(B274,$A$414:$A$418,$B$414:$B$418)),"Excedeu capacidade","Sem alerta"))))))</x:f>
      </x:c>
    </x:row>
    <x:row r="275">
      <x:c r="A275" s="43"/>
      <x:c r="B275" s="43"/>
      <x:c r="C275" s="43"/>
      <x:c r="D275" s="43"/>
      <x:c r="E275" s="43"/>
      <x:c r="F275" s="43"/>
      <x:c r="G275" s="43"/>
      <x:c r="H275" s="120"/>
      <x:c r="I275" s="120"/>
      <x:c r="J275" s="120"/>
      <x:c r="K275" s="120"/>
      <x:c r="L275" s="120"/>
      <x:c r="M275" s="120"/>
      <x:c r="N275" s="120"/>
      <x:c r="O275" s="120"/>
      <x:c r="P275" s="120"/>
      <x:c r="Q275" s="120"/>
      <x:c r="R275" s="120"/>
      <x:c r="S275" s="120"/>
      <x:c r="T275" s="120"/>
      <x:c r="U275" s="48"/>
      <x:c r="V275" s="48"/>
      <x:c r="W275" s="48"/>
      <x:c r="X275" s="48"/>
      <x:c r="Y275" s="48"/>
      <x:c r="Z275" s="49"/>
      <x:c r="AA275" s="43"/>
      <x:c r="AB275" s="43"/>
      <x:c r="AC275" s="43"/>
      <x:c r="AD275" s="43"/>
      <x:c r="AE275" s="43"/>
      <x:c r="AF275" s="87" t="str">
        <x:f>IF(OR(H275="",I275="",I275&lt;H275),"",(I275-H275)*1440)</x:f>
      </x:c>
      <x:c r="AG275" s="87" t="str">
        <x:f>IF(OR(I275="",M275="",M275&lt;I275),"",(M275-I275)*1440)</x:f>
      </x:c>
      <x:c r="AH275" s="87" t="str">
        <x:f>IF(OR(M275="",N275="",N275&lt;M275),"",(N275-M275)*1440)</x:f>
      </x:c>
      <x:c r="AI275" s="87" t="str">
        <x:f>IF(OR(H275="",N275="",N275&lt;H275),"",(N275-H275)*1440)</x:f>
      </x:c>
      <x:c r="AJ275" s="87" t="str">
        <x:f>IF(OR(I275="",N275="",N275&lt;I275),"",(N275-I275)*1440)</x:f>
      </x:c>
      <x:c r="AK275" s="87" t="str">
        <x:f>IF(OR(N275="",O275="",O275&lt;N275),"",(O275-N275)*1440)</x:f>
      </x:c>
      <x:c r="AL275" s="87" t="str">
        <x:f>IF(OR(O275="",P275="",P275&lt;O275),"",(P275-O275)*1440)</x:f>
      </x:c>
      <x:c r="AM275" s="87" t="str">
        <x:f>IF(OR(Q275="",R275="",R275&lt;Q275),"",(R275-Q275)*1440)</x:f>
      </x:c>
      <x:c r="AN275" s="87" t="str">
        <x:f>IF(OR(S275="",T275="",T275&lt;S275),"",(T275-S275)*1440)</x:f>
      </x:c>
      <x:c r="AO275" s="87" t="str">
        <x:f>IF(OR(U275="",V275=""),"",V275-U275)</x:f>
      </x:c>
      <x:c r="AP275" s="63" t="str">
        <x:f>IF(A275="","",IF(OR(B275="",H275="",N275=""),"Incompleto",IF(N275&lt;H275,"Revisar",IF(OR(G275="",G275="Não observado"),"Qualidade E0 ausente",IF(OR(G275="Sensor",G275="Marcação física"),"Válido — E0 observado",IF(G275="Cálculo","Válido — E0 calculado","Válido — E0 estimado"))))))</x:f>
      </x:c>
      <x:c r="AQ275" s="63" t="str">
        <x:f>IF(A275="","",IF(COUNTA(H275:T275)&lt;13,"Incompleta",IF(OR(I275&lt;H275,J275&lt;I275,K275&lt;J275,L275&lt;K275,M275&lt;L275,N275&lt;M275,O275&lt;N275,P275&lt;O275,Q275&lt;P275,R275&lt;Q275,S275&lt;R275,T275&lt;S275),"Revisar","Completa")))</x:f>
      </x:c>
      <x:c r="AR275" s="87" t="str">
        <x:f>IF(OR(V275="",W275="",Y275=""),"",Y275-(V275-W275))</x:f>
      </x:c>
      <x:c r="AS275" s="63" t="str">
        <x:f>IF(A275="","",IF(AND(E275&lt;&gt;"",F275&lt;&gt;"",G275&lt;&gt;"",Z275&lt;&gt;"",AA275&lt;&gt;"",AB275&lt;&gt;"",AC275&lt;&gt;""),"Completa","Incompleta"))</x:f>
      </x:c>
      <x:c r="AT275" s="63" t="str">
        <x:f>IF(A275="","",IF(COUNTIF($A$11:$A$410,A275)&gt;1,"ID duplicado",IF(AND(AR275&lt;&gt;"",ABS(AR275)&gt;0.01),"Revisar balanço",IF(AND(W275&lt;&gt;"",V275&lt;&gt;"",W275&gt;V275),"Retirada &gt; estoque",IF(AND(U275&lt;&gt;"",U275&lt;'Cenário Base'!$D$8*'Cenário Base'!$D$74),"E0 abaixo do gatilho",IF(AND(V275&lt;&gt;"",V275&gt;XLOOKUP(B275,$A$414:$A$418,$B$414:$B$418)),"Excedeu capacidade","Sem alerta"))))))</x:f>
      </x:c>
    </x:row>
    <x:row r="276">
      <x:c r="A276" s="43"/>
      <x:c r="B276" s="43"/>
      <x:c r="C276" s="43"/>
      <x:c r="D276" s="43"/>
      <x:c r="E276" s="43"/>
      <x:c r="F276" s="43"/>
      <x:c r="G276" s="43"/>
      <x:c r="H276" s="120"/>
      <x:c r="I276" s="120"/>
      <x:c r="J276" s="120"/>
      <x:c r="K276" s="120"/>
      <x:c r="L276" s="120"/>
      <x:c r="M276" s="120"/>
      <x:c r="N276" s="120"/>
      <x:c r="O276" s="120"/>
      <x:c r="P276" s="120"/>
      <x:c r="Q276" s="120"/>
      <x:c r="R276" s="120"/>
      <x:c r="S276" s="120"/>
      <x:c r="T276" s="120"/>
      <x:c r="U276" s="48"/>
      <x:c r="V276" s="48"/>
      <x:c r="W276" s="48"/>
      <x:c r="X276" s="48"/>
      <x:c r="Y276" s="48"/>
      <x:c r="Z276" s="49"/>
      <x:c r="AA276" s="43"/>
      <x:c r="AB276" s="43"/>
      <x:c r="AC276" s="43"/>
      <x:c r="AD276" s="43"/>
      <x:c r="AE276" s="43"/>
      <x:c r="AF276" s="87" t="str">
        <x:f>IF(OR(H276="",I276="",I276&lt;H276),"",(I276-H276)*1440)</x:f>
      </x:c>
      <x:c r="AG276" s="87" t="str">
        <x:f>IF(OR(I276="",M276="",M276&lt;I276),"",(M276-I276)*1440)</x:f>
      </x:c>
      <x:c r="AH276" s="87" t="str">
        <x:f>IF(OR(M276="",N276="",N276&lt;M276),"",(N276-M276)*1440)</x:f>
      </x:c>
      <x:c r="AI276" s="87" t="str">
        <x:f>IF(OR(H276="",N276="",N276&lt;H276),"",(N276-H276)*1440)</x:f>
      </x:c>
      <x:c r="AJ276" s="87" t="str">
        <x:f>IF(OR(I276="",N276="",N276&lt;I276),"",(N276-I276)*1440)</x:f>
      </x:c>
      <x:c r="AK276" s="87" t="str">
        <x:f>IF(OR(N276="",O276="",O276&lt;N276),"",(O276-N276)*1440)</x:f>
      </x:c>
      <x:c r="AL276" s="87" t="str">
        <x:f>IF(OR(O276="",P276="",P276&lt;O276),"",(P276-O276)*1440)</x:f>
      </x:c>
      <x:c r="AM276" s="87" t="str">
        <x:f>IF(OR(Q276="",R276="",R276&lt;Q276),"",(R276-Q276)*1440)</x:f>
      </x:c>
      <x:c r="AN276" s="87" t="str">
        <x:f>IF(OR(S276="",T276="",T276&lt;S276),"",(T276-S276)*1440)</x:f>
      </x:c>
      <x:c r="AO276" s="87" t="str">
        <x:f>IF(OR(U276="",V276=""),"",V276-U276)</x:f>
      </x:c>
      <x:c r="AP276" s="63" t="str">
        <x:f>IF(A276="","",IF(OR(B276="",H276="",N276=""),"Incompleto",IF(N276&lt;H276,"Revisar",IF(OR(G276="",G276="Não observado"),"Qualidade E0 ausente",IF(OR(G276="Sensor",G276="Marcação física"),"Válido — E0 observado",IF(G276="Cálculo","Válido — E0 calculado","Válido — E0 estimado"))))))</x:f>
      </x:c>
      <x:c r="AQ276" s="63" t="str">
        <x:f>IF(A276="","",IF(COUNTA(H276:T276)&lt;13,"Incompleta",IF(OR(I276&lt;H276,J276&lt;I276,K276&lt;J276,L276&lt;K276,M276&lt;L276,N276&lt;M276,O276&lt;N276,P276&lt;O276,Q276&lt;P276,R276&lt;Q276,S276&lt;R276,T276&lt;S276),"Revisar","Completa")))</x:f>
      </x:c>
      <x:c r="AR276" s="87" t="str">
        <x:f>IF(OR(V276="",W276="",Y276=""),"",Y276-(V276-W276))</x:f>
      </x:c>
      <x:c r="AS276" s="63" t="str">
        <x:f>IF(A276="","",IF(AND(E276&lt;&gt;"",F276&lt;&gt;"",G276&lt;&gt;"",Z276&lt;&gt;"",AA276&lt;&gt;"",AB276&lt;&gt;"",AC276&lt;&gt;""),"Completa","Incompleta"))</x:f>
      </x:c>
      <x:c r="AT276" s="63" t="str">
        <x:f>IF(A276="","",IF(COUNTIF($A$11:$A$410,A276)&gt;1,"ID duplicado",IF(AND(AR276&lt;&gt;"",ABS(AR276)&gt;0.01),"Revisar balanço",IF(AND(W276&lt;&gt;"",V276&lt;&gt;"",W276&gt;V276),"Retirada &gt; estoque",IF(AND(U276&lt;&gt;"",U276&lt;'Cenário Base'!$D$8*'Cenário Base'!$D$74),"E0 abaixo do gatilho",IF(AND(V276&lt;&gt;"",V276&gt;XLOOKUP(B276,$A$414:$A$418,$B$414:$B$418)),"Excedeu capacidade","Sem alerta"))))))</x:f>
      </x:c>
    </x:row>
    <x:row r="277">
      <x:c r="A277" s="43"/>
      <x:c r="B277" s="43"/>
      <x:c r="C277" s="43"/>
      <x:c r="D277" s="43"/>
      <x:c r="E277" s="43"/>
      <x:c r="F277" s="43"/>
      <x:c r="G277" s="43"/>
      <x:c r="H277" s="120"/>
      <x:c r="I277" s="120"/>
      <x:c r="J277" s="120"/>
      <x:c r="K277" s="120"/>
      <x:c r="L277" s="120"/>
      <x:c r="M277" s="120"/>
      <x:c r="N277" s="120"/>
      <x:c r="O277" s="120"/>
      <x:c r="P277" s="120"/>
      <x:c r="Q277" s="120"/>
      <x:c r="R277" s="120"/>
      <x:c r="S277" s="120"/>
      <x:c r="T277" s="120"/>
      <x:c r="U277" s="48"/>
      <x:c r="V277" s="48"/>
      <x:c r="W277" s="48"/>
      <x:c r="X277" s="48"/>
      <x:c r="Y277" s="48"/>
      <x:c r="Z277" s="49"/>
      <x:c r="AA277" s="43"/>
      <x:c r="AB277" s="43"/>
      <x:c r="AC277" s="43"/>
      <x:c r="AD277" s="43"/>
      <x:c r="AE277" s="43"/>
      <x:c r="AF277" s="87" t="str">
        <x:f>IF(OR(H277="",I277="",I277&lt;H277),"",(I277-H277)*1440)</x:f>
      </x:c>
      <x:c r="AG277" s="87" t="str">
        <x:f>IF(OR(I277="",M277="",M277&lt;I277),"",(M277-I277)*1440)</x:f>
      </x:c>
      <x:c r="AH277" s="87" t="str">
        <x:f>IF(OR(M277="",N277="",N277&lt;M277),"",(N277-M277)*1440)</x:f>
      </x:c>
      <x:c r="AI277" s="87" t="str">
        <x:f>IF(OR(H277="",N277="",N277&lt;H277),"",(N277-H277)*1440)</x:f>
      </x:c>
      <x:c r="AJ277" s="87" t="str">
        <x:f>IF(OR(I277="",N277="",N277&lt;I277),"",(N277-I277)*1440)</x:f>
      </x:c>
      <x:c r="AK277" s="87" t="str">
        <x:f>IF(OR(N277="",O277="",O277&lt;N277),"",(O277-N277)*1440)</x:f>
      </x:c>
      <x:c r="AL277" s="87" t="str">
        <x:f>IF(OR(O277="",P277="",P277&lt;O277),"",(P277-O277)*1440)</x:f>
      </x:c>
      <x:c r="AM277" s="87" t="str">
        <x:f>IF(OR(Q277="",R277="",R277&lt;Q277),"",(R277-Q277)*1440)</x:f>
      </x:c>
      <x:c r="AN277" s="87" t="str">
        <x:f>IF(OR(S277="",T277="",T277&lt;S277),"",(T277-S277)*1440)</x:f>
      </x:c>
      <x:c r="AO277" s="87" t="str">
        <x:f>IF(OR(U277="",V277=""),"",V277-U277)</x:f>
      </x:c>
      <x:c r="AP277" s="63" t="str">
        <x:f>IF(A277="","",IF(OR(B277="",H277="",N277=""),"Incompleto",IF(N277&lt;H277,"Revisar",IF(OR(G277="",G277="Não observado"),"Qualidade E0 ausente",IF(OR(G277="Sensor",G277="Marcação física"),"Válido — E0 observado",IF(G277="Cálculo","Válido — E0 calculado","Válido — E0 estimado"))))))</x:f>
      </x:c>
      <x:c r="AQ277" s="63" t="str">
        <x:f>IF(A277="","",IF(COUNTA(H277:T277)&lt;13,"Incompleta",IF(OR(I277&lt;H277,J277&lt;I277,K277&lt;J277,L277&lt;K277,M277&lt;L277,N277&lt;M277,O277&lt;N277,P277&lt;O277,Q277&lt;P277,R277&lt;Q277,S277&lt;R277,T277&lt;S277),"Revisar","Completa")))</x:f>
      </x:c>
      <x:c r="AR277" s="87" t="str">
        <x:f>IF(OR(V277="",W277="",Y277=""),"",Y277-(V277-W277))</x:f>
      </x:c>
      <x:c r="AS277" s="63" t="str">
        <x:f>IF(A277="","",IF(AND(E277&lt;&gt;"",F277&lt;&gt;"",G277&lt;&gt;"",Z277&lt;&gt;"",AA277&lt;&gt;"",AB277&lt;&gt;"",AC277&lt;&gt;""),"Completa","Incompleta"))</x:f>
      </x:c>
      <x:c r="AT277" s="63" t="str">
        <x:f>IF(A277="","",IF(COUNTIF($A$11:$A$410,A277)&gt;1,"ID duplicado",IF(AND(AR277&lt;&gt;"",ABS(AR277)&gt;0.01),"Revisar balanço",IF(AND(W277&lt;&gt;"",V277&lt;&gt;"",W277&gt;V277),"Retirada &gt; estoque",IF(AND(U277&lt;&gt;"",U277&lt;'Cenário Base'!$D$8*'Cenário Base'!$D$74),"E0 abaixo do gatilho",IF(AND(V277&lt;&gt;"",V277&gt;XLOOKUP(B277,$A$414:$A$418,$B$414:$B$418)),"Excedeu capacidade","Sem alerta"))))))</x:f>
      </x:c>
    </x:row>
    <x:row r="278">
      <x:c r="A278" s="43"/>
      <x:c r="B278" s="43"/>
      <x:c r="C278" s="43"/>
      <x:c r="D278" s="43"/>
      <x:c r="E278" s="43"/>
      <x:c r="F278" s="43"/>
      <x:c r="G278" s="43"/>
      <x:c r="H278" s="120"/>
      <x:c r="I278" s="120"/>
      <x:c r="J278" s="120"/>
      <x:c r="K278" s="120"/>
      <x:c r="L278" s="120"/>
      <x:c r="M278" s="120"/>
      <x:c r="N278" s="120"/>
      <x:c r="O278" s="120"/>
      <x:c r="P278" s="120"/>
      <x:c r="Q278" s="120"/>
      <x:c r="R278" s="120"/>
      <x:c r="S278" s="120"/>
      <x:c r="T278" s="120"/>
      <x:c r="U278" s="48"/>
      <x:c r="V278" s="48"/>
      <x:c r="W278" s="48"/>
      <x:c r="X278" s="48"/>
      <x:c r="Y278" s="48"/>
      <x:c r="Z278" s="49"/>
      <x:c r="AA278" s="43"/>
      <x:c r="AB278" s="43"/>
      <x:c r="AC278" s="43"/>
      <x:c r="AD278" s="43"/>
      <x:c r="AE278" s="43"/>
      <x:c r="AF278" s="87" t="str">
        <x:f>IF(OR(H278="",I278="",I278&lt;H278),"",(I278-H278)*1440)</x:f>
      </x:c>
      <x:c r="AG278" s="87" t="str">
        <x:f>IF(OR(I278="",M278="",M278&lt;I278),"",(M278-I278)*1440)</x:f>
      </x:c>
      <x:c r="AH278" s="87" t="str">
        <x:f>IF(OR(M278="",N278="",N278&lt;M278),"",(N278-M278)*1440)</x:f>
      </x:c>
      <x:c r="AI278" s="87" t="str">
        <x:f>IF(OR(H278="",N278="",N278&lt;H278),"",(N278-H278)*1440)</x:f>
      </x:c>
      <x:c r="AJ278" s="87" t="str">
        <x:f>IF(OR(I278="",N278="",N278&lt;I278),"",(N278-I278)*1440)</x:f>
      </x:c>
      <x:c r="AK278" s="87" t="str">
        <x:f>IF(OR(N278="",O278="",O278&lt;N278),"",(O278-N278)*1440)</x:f>
      </x:c>
      <x:c r="AL278" s="87" t="str">
        <x:f>IF(OR(O278="",P278="",P278&lt;O278),"",(P278-O278)*1440)</x:f>
      </x:c>
      <x:c r="AM278" s="87" t="str">
        <x:f>IF(OR(Q278="",R278="",R278&lt;Q278),"",(R278-Q278)*1440)</x:f>
      </x:c>
      <x:c r="AN278" s="87" t="str">
        <x:f>IF(OR(S278="",T278="",T278&lt;S278),"",(T278-S278)*1440)</x:f>
      </x:c>
      <x:c r="AO278" s="87" t="str">
        <x:f>IF(OR(U278="",V278=""),"",V278-U278)</x:f>
      </x:c>
      <x:c r="AP278" s="63" t="str">
        <x:f>IF(A278="","",IF(OR(B278="",H278="",N278=""),"Incompleto",IF(N278&lt;H278,"Revisar",IF(OR(G278="",G278="Não observado"),"Qualidade E0 ausente",IF(OR(G278="Sensor",G278="Marcação física"),"Válido — E0 observado",IF(G278="Cálculo","Válido — E0 calculado","Válido — E0 estimado"))))))</x:f>
      </x:c>
      <x:c r="AQ278" s="63" t="str">
        <x:f>IF(A278="","",IF(COUNTA(H278:T278)&lt;13,"Incompleta",IF(OR(I278&lt;H278,J278&lt;I278,K278&lt;J278,L278&lt;K278,M278&lt;L278,N278&lt;M278,O278&lt;N278,P278&lt;O278,Q278&lt;P278,R278&lt;Q278,S278&lt;R278,T278&lt;S278),"Revisar","Completa")))</x:f>
      </x:c>
      <x:c r="AR278" s="87" t="str">
        <x:f>IF(OR(V278="",W278="",Y278=""),"",Y278-(V278-W278))</x:f>
      </x:c>
      <x:c r="AS278" s="63" t="str">
        <x:f>IF(A278="","",IF(AND(E278&lt;&gt;"",F278&lt;&gt;"",G278&lt;&gt;"",Z278&lt;&gt;"",AA278&lt;&gt;"",AB278&lt;&gt;"",AC278&lt;&gt;""),"Completa","Incompleta"))</x:f>
      </x:c>
      <x:c r="AT278" s="63" t="str">
        <x:f>IF(A278="","",IF(COUNTIF($A$11:$A$410,A278)&gt;1,"ID duplicado",IF(AND(AR278&lt;&gt;"",ABS(AR278)&gt;0.01),"Revisar balanço",IF(AND(W278&lt;&gt;"",V278&lt;&gt;"",W278&gt;V278),"Retirada &gt; estoque",IF(AND(U278&lt;&gt;"",U278&lt;'Cenário Base'!$D$8*'Cenário Base'!$D$74),"E0 abaixo do gatilho",IF(AND(V278&lt;&gt;"",V278&gt;XLOOKUP(B278,$A$414:$A$418,$B$414:$B$418)),"Excedeu capacidade","Sem alerta"))))))</x:f>
      </x:c>
    </x:row>
    <x:row r="279">
      <x:c r="A279" s="43"/>
      <x:c r="B279" s="43"/>
      <x:c r="C279" s="43"/>
      <x:c r="D279" s="43"/>
      <x:c r="E279" s="43"/>
      <x:c r="F279" s="43"/>
      <x:c r="G279" s="43"/>
      <x:c r="H279" s="120"/>
      <x:c r="I279" s="120"/>
      <x:c r="J279" s="120"/>
      <x:c r="K279" s="120"/>
      <x:c r="L279" s="120"/>
      <x:c r="M279" s="120"/>
      <x:c r="N279" s="120"/>
      <x:c r="O279" s="120"/>
      <x:c r="P279" s="120"/>
      <x:c r="Q279" s="120"/>
      <x:c r="R279" s="120"/>
      <x:c r="S279" s="120"/>
      <x:c r="T279" s="120"/>
      <x:c r="U279" s="48"/>
      <x:c r="V279" s="48"/>
      <x:c r="W279" s="48"/>
      <x:c r="X279" s="48"/>
      <x:c r="Y279" s="48"/>
      <x:c r="Z279" s="49"/>
      <x:c r="AA279" s="43"/>
      <x:c r="AB279" s="43"/>
      <x:c r="AC279" s="43"/>
      <x:c r="AD279" s="43"/>
      <x:c r="AE279" s="43"/>
      <x:c r="AF279" s="87" t="str">
        <x:f>IF(OR(H279="",I279="",I279&lt;H279),"",(I279-H279)*1440)</x:f>
      </x:c>
      <x:c r="AG279" s="87" t="str">
        <x:f>IF(OR(I279="",M279="",M279&lt;I279),"",(M279-I279)*1440)</x:f>
      </x:c>
      <x:c r="AH279" s="87" t="str">
        <x:f>IF(OR(M279="",N279="",N279&lt;M279),"",(N279-M279)*1440)</x:f>
      </x:c>
      <x:c r="AI279" s="87" t="str">
        <x:f>IF(OR(H279="",N279="",N279&lt;H279),"",(N279-H279)*1440)</x:f>
      </x:c>
      <x:c r="AJ279" s="87" t="str">
        <x:f>IF(OR(I279="",N279="",N279&lt;I279),"",(N279-I279)*1440)</x:f>
      </x:c>
      <x:c r="AK279" s="87" t="str">
        <x:f>IF(OR(N279="",O279="",O279&lt;N279),"",(O279-N279)*1440)</x:f>
      </x:c>
      <x:c r="AL279" s="87" t="str">
        <x:f>IF(OR(O279="",P279="",P279&lt;O279),"",(P279-O279)*1440)</x:f>
      </x:c>
      <x:c r="AM279" s="87" t="str">
        <x:f>IF(OR(Q279="",R279="",R279&lt;Q279),"",(R279-Q279)*1440)</x:f>
      </x:c>
      <x:c r="AN279" s="87" t="str">
        <x:f>IF(OR(S279="",T279="",T279&lt;S279),"",(T279-S279)*1440)</x:f>
      </x:c>
      <x:c r="AO279" s="87" t="str">
        <x:f>IF(OR(U279="",V279=""),"",V279-U279)</x:f>
      </x:c>
      <x:c r="AP279" s="63" t="str">
        <x:f>IF(A279="","",IF(OR(B279="",H279="",N279=""),"Incompleto",IF(N279&lt;H279,"Revisar",IF(OR(G279="",G279="Não observado"),"Qualidade E0 ausente",IF(OR(G279="Sensor",G279="Marcação física"),"Válido — E0 observado",IF(G279="Cálculo","Válido — E0 calculado","Válido — E0 estimado"))))))</x:f>
      </x:c>
      <x:c r="AQ279" s="63" t="str">
        <x:f>IF(A279="","",IF(COUNTA(H279:T279)&lt;13,"Incompleta",IF(OR(I279&lt;H279,J279&lt;I279,K279&lt;J279,L279&lt;K279,M279&lt;L279,N279&lt;M279,O279&lt;N279,P279&lt;O279,Q279&lt;P279,R279&lt;Q279,S279&lt;R279,T279&lt;S279),"Revisar","Completa")))</x:f>
      </x:c>
      <x:c r="AR279" s="87" t="str">
        <x:f>IF(OR(V279="",W279="",Y279=""),"",Y279-(V279-W279))</x:f>
      </x:c>
      <x:c r="AS279" s="63" t="str">
        <x:f>IF(A279="","",IF(AND(E279&lt;&gt;"",F279&lt;&gt;"",G279&lt;&gt;"",Z279&lt;&gt;"",AA279&lt;&gt;"",AB279&lt;&gt;"",AC279&lt;&gt;""),"Completa","Incompleta"))</x:f>
      </x:c>
      <x:c r="AT279" s="63" t="str">
        <x:f>IF(A279="","",IF(COUNTIF($A$11:$A$410,A279)&gt;1,"ID duplicado",IF(AND(AR279&lt;&gt;"",ABS(AR279)&gt;0.01),"Revisar balanço",IF(AND(W279&lt;&gt;"",V279&lt;&gt;"",W279&gt;V279),"Retirada &gt; estoque",IF(AND(U279&lt;&gt;"",U279&lt;'Cenário Base'!$D$8*'Cenário Base'!$D$74),"E0 abaixo do gatilho",IF(AND(V279&lt;&gt;"",V279&gt;XLOOKUP(B279,$A$414:$A$418,$B$414:$B$418)),"Excedeu capacidade","Sem alerta"))))))</x:f>
      </x:c>
    </x:row>
    <x:row r="280">
      <x:c r="A280" s="43"/>
      <x:c r="B280" s="43"/>
      <x:c r="C280" s="43"/>
      <x:c r="D280" s="43"/>
      <x:c r="E280" s="43"/>
      <x:c r="F280" s="43"/>
      <x:c r="G280" s="43"/>
      <x:c r="H280" s="120"/>
      <x:c r="I280" s="120"/>
      <x:c r="J280" s="120"/>
      <x:c r="K280" s="120"/>
      <x:c r="L280" s="120"/>
      <x:c r="M280" s="120"/>
      <x:c r="N280" s="120"/>
      <x:c r="O280" s="120"/>
      <x:c r="P280" s="120"/>
      <x:c r="Q280" s="120"/>
      <x:c r="R280" s="120"/>
      <x:c r="S280" s="120"/>
      <x:c r="T280" s="120"/>
      <x:c r="U280" s="48"/>
      <x:c r="V280" s="48"/>
      <x:c r="W280" s="48"/>
      <x:c r="X280" s="48"/>
      <x:c r="Y280" s="48"/>
      <x:c r="Z280" s="49"/>
      <x:c r="AA280" s="43"/>
      <x:c r="AB280" s="43"/>
      <x:c r="AC280" s="43"/>
      <x:c r="AD280" s="43"/>
      <x:c r="AE280" s="43"/>
      <x:c r="AF280" s="87" t="str">
        <x:f>IF(OR(H280="",I280="",I280&lt;H280),"",(I280-H280)*1440)</x:f>
      </x:c>
      <x:c r="AG280" s="87" t="str">
        <x:f>IF(OR(I280="",M280="",M280&lt;I280),"",(M280-I280)*1440)</x:f>
      </x:c>
      <x:c r="AH280" s="87" t="str">
        <x:f>IF(OR(M280="",N280="",N280&lt;M280),"",(N280-M280)*1440)</x:f>
      </x:c>
      <x:c r="AI280" s="87" t="str">
        <x:f>IF(OR(H280="",N280="",N280&lt;H280),"",(N280-H280)*1440)</x:f>
      </x:c>
      <x:c r="AJ280" s="87" t="str">
        <x:f>IF(OR(I280="",N280="",N280&lt;I280),"",(N280-I280)*1440)</x:f>
      </x:c>
      <x:c r="AK280" s="87" t="str">
        <x:f>IF(OR(N280="",O280="",O280&lt;N280),"",(O280-N280)*1440)</x:f>
      </x:c>
      <x:c r="AL280" s="87" t="str">
        <x:f>IF(OR(O280="",P280="",P280&lt;O280),"",(P280-O280)*1440)</x:f>
      </x:c>
      <x:c r="AM280" s="87" t="str">
        <x:f>IF(OR(Q280="",R280="",R280&lt;Q280),"",(R280-Q280)*1440)</x:f>
      </x:c>
      <x:c r="AN280" s="87" t="str">
        <x:f>IF(OR(S280="",T280="",T280&lt;S280),"",(T280-S280)*1440)</x:f>
      </x:c>
      <x:c r="AO280" s="87" t="str">
        <x:f>IF(OR(U280="",V280=""),"",V280-U280)</x:f>
      </x:c>
      <x:c r="AP280" s="63" t="str">
        <x:f>IF(A280="","",IF(OR(B280="",H280="",N280=""),"Incompleto",IF(N280&lt;H280,"Revisar",IF(OR(G280="",G280="Não observado"),"Qualidade E0 ausente",IF(OR(G280="Sensor",G280="Marcação física"),"Válido — E0 observado",IF(G280="Cálculo","Válido — E0 calculado","Válido — E0 estimado"))))))</x:f>
      </x:c>
      <x:c r="AQ280" s="63" t="str">
        <x:f>IF(A280="","",IF(COUNTA(H280:T280)&lt;13,"Incompleta",IF(OR(I280&lt;H280,J280&lt;I280,K280&lt;J280,L280&lt;K280,M280&lt;L280,N280&lt;M280,O280&lt;N280,P280&lt;O280,Q280&lt;P280,R280&lt;Q280,S280&lt;R280,T280&lt;S280),"Revisar","Completa")))</x:f>
      </x:c>
      <x:c r="AR280" s="87" t="str">
        <x:f>IF(OR(V280="",W280="",Y280=""),"",Y280-(V280-W280))</x:f>
      </x:c>
      <x:c r="AS280" s="63" t="str">
        <x:f>IF(A280="","",IF(AND(E280&lt;&gt;"",F280&lt;&gt;"",G280&lt;&gt;"",Z280&lt;&gt;"",AA280&lt;&gt;"",AB280&lt;&gt;"",AC280&lt;&gt;""),"Completa","Incompleta"))</x:f>
      </x:c>
      <x:c r="AT280" s="63" t="str">
        <x:f>IF(A280="","",IF(COUNTIF($A$11:$A$410,A280)&gt;1,"ID duplicado",IF(AND(AR280&lt;&gt;"",ABS(AR280)&gt;0.01),"Revisar balanço",IF(AND(W280&lt;&gt;"",V280&lt;&gt;"",W280&gt;V280),"Retirada &gt; estoque",IF(AND(U280&lt;&gt;"",U280&lt;'Cenário Base'!$D$8*'Cenário Base'!$D$74),"E0 abaixo do gatilho",IF(AND(V280&lt;&gt;"",V280&gt;XLOOKUP(B280,$A$414:$A$418,$B$414:$B$418)),"Excedeu capacidade","Sem alerta"))))))</x:f>
      </x:c>
    </x:row>
    <x:row r="281">
      <x:c r="A281" s="43"/>
      <x:c r="B281" s="43"/>
      <x:c r="C281" s="43"/>
      <x:c r="D281" s="43"/>
      <x:c r="E281" s="43"/>
      <x:c r="F281" s="43"/>
      <x:c r="G281" s="43"/>
      <x:c r="H281" s="120"/>
      <x:c r="I281" s="120"/>
      <x:c r="J281" s="120"/>
      <x:c r="K281" s="120"/>
      <x:c r="L281" s="120"/>
      <x:c r="M281" s="120"/>
      <x:c r="N281" s="120"/>
      <x:c r="O281" s="120"/>
      <x:c r="P281" s="120"/>
      <x:c r="Q281" s="120"/>
      <x:c r="R281" s="120"/>
      <x:c r="S281" s="120"/>
      <x:c r="T281" s="120"/>
      <x:c r="U281" s="48"/>
      <x:c r="V281" s="48"/>
      <x:c r="W281" s="48"/>
      <x:c r="X281" s="48"/>
      <x:c r="Y281" s="48"/>
      <x:c r="Z281" s="49"/>
      <x:c r="AA281" s="43"/>
      <x:c r="AB281" s="43"/>
      <x:c r="AC281" s="43"/>
      <x:c r="AD281" s="43"/>
      <x:c r="AE281" s="43"/>
      <x:c r="AF281" s="87" t="str">
        <x:f>IF(OR(H281="",I281="",I281&lt;H281),"",(I281-H281)*1440)</x:f>
      </x:c>
      <x:c r="AG281" s="87" t="str">
        <x:f>IF(OR(I281="",M281="",M281&lt;I281),"",(M281-I281)*1440)</x:f>
      </x:c>
      <x:c r="AH281" s="87" t="str">
        <x:f>IF(OR(M281="",N281="",N281&lt;M281),"",(N281-M281)*1440)</x:f>
      </x:c>
      <x:c r="AI281" s="87" t="str">
        <x:f>IF(OR(H281="",N281="",N281&lt;H281),"",(N281-H281)*1440)</x:f>
      </x:c>
      <x:c r="AJ281" s="87" t="str">
        <x:f>IF(OR(I281="",N281="",N281&lt;I281),"",(N281-I281)*1440)</x:f>
      </x:c>
      <x:c r="AK281" s="87" t="str">
        <x:f>IF(OR(N281="",O281="",O281&lt;N281),"",(O281-N281)*1440)</x:f>
      </x:c>
      <x:c r="AL281" s="87" t="str">
        <x:f>IF(OR(O281="",P281="",P281&lt;O281),"",(P281-O281)*1440)</x:f>
      </x:c>
      <x:c r="AM281" s="87" t="str">
        <x:f>IF(OR(Q281="",R281="",R281&lt;Q281),"",(R281-Q281)*1440)</x:f>
      </x:c>
      <x:c r="AN281" s="87" t="str">
        <x:f>IF(OR(S281="",T281="",T281&lt;S281),"",(T281-S281)*1440)</x:f>
      </x:c>
      <x:c r="AO281" s="87" t="str">
        <x:f>IF(OR(U281="",V281=""),"",V281-U281)</x:f>
      </x:c>
      <x:c r="AP281" s="63" t="str">
        <x:f>IF(A281="","",IF(OR(B281="",H281="",N281=""),"Incompleto",IF(N281&lt;H281,"Revisar",IF(OR(G281="",G281="Não observado"),"Qualidade E0 ausente",IF(OR(G281="Sensor",G281="Marcação física"),"Válido — E0 observado",IF(G281="Cálculo","Válido — E0 calculado","Válido — E0 estimado"))))))</x:f>
      </x:c>
      <x:c r="AQ281" s="63" t="str">
        <x:f>IF(A281="","",IF(COUNTA(H281:T281)&lt;13,"Incompleta",IF(OR(I281&lt;H281,J281&lt;I281,K281&lt;J281,L281&lt;K281,M281&lt;L281,N281&lt;M281,O281&lt;N281,P281&lt;O281,Q281&lt;P281,R281&lt;Q281,S281&lt;R281,T281&lt;S281),"Revisar","Completa")))</x:f>
      </x:c>
      <x:c r="AR281" s="87" t="str">
        <x:f>IF(OR(V281="",W281="",Y281=""),"",Y281-(V281-W281))</x:f>
      </x:c>
      <x:c r="AS281" s="63" t="str">
        <x:f>IF(A281="","",IF(AND(E281&lt;&gt;"",F281&lt;&gt;"",G281&lt;&gt;"",Z281&lt;&gt;"",AA281&lt;&gt;"",AB281&lt;&gt;"",AC281&lt;&gt;""),"Completa","Incompleta"))</x:f>
      </x:c>
      <x:c r="AT281" s="63" t="str">
        <x:f>IF(A281="","",IF(COUNTIF($A$11:$A$410,A281)&gt;1,"ID duplicado",IF(AND(AR281&lt;&gt;"",ABS(AR281)&gt;0.01),"Revisar balanço",IF(AND(W281&lt;&gt;"",V281&lt;&gt;"",W281&gt;V281),"Retirada &gt; estoque",IF(AND(U281&lt;&gt;"",U281&lt;'Cenário Base'!$D$8*'Cenário Base'!$D$74),"E0 abaixo do gatilho",IF(AND(V281&lt;&gt;"",V281&gt;XLOOKUP(B281,$A$414:$A$418,$B$414:$B$418)),"Excedeu capacidade","Sem alerta"))))))</x:f>
      </x:c>
    </x:row>
    <x:row r="282">
      <x:c r="A282" s="43"/>
      <x:c r="B282" s="43"/>
      <x:c r="C282" s="43"/>
      <x:c r="D282" s="43"/>
      <x:c r="E282" s="43"/>
      <x:c r="F282" s="43"/>
      <x:c r="G282" s="43"/>
      <x:c r="H282" s="120"/>
      <x:c r="I282" s="120"/>
      <x:c r="J282" s="120"/>
      <x:c r="K282" s="120"/>
      <x:c r="L282" s="120"/>
      <x:c r="M282" s="120"/>
      <x:c r="N282" s="120"/>
      <x:c r="O282" s="120"/>
      <x:c r="P282" s="120"/>
      <x:c r="Q282" s="120"/>
      <x:c r="R282" s="120"/>
      <x:c r="S282" s="120"/>
      <x:c r="T282" s="120"/>
      <x:c r="U282" s="48"/>
      <x:c r="V282" s="48"/>
      <x:c r="W282" s="48"/>
      <x:c r="X282" s="48"/>
      <x:c r="Y282" s="48"/>
      <x:c r="Z282" s="49"/>
      <x:c r="AA282" s="43"/>
      <x:c r="AB282" s="43"/>
      <x:c r="AC282" s="43"/>
      <x:c r="AD282" s="43"/>
      <x:c r="AE282" s="43"/>
      <x:c r="AF282" s="87" t="str">
        <x:f>IF(OR(H282="",I282="",I282&lt;H282),"",(I282-H282)*1440)</x:f>
      </x:c>
      <x:c r="AG282" s="87" t="str">
        <x:f>IF(OR(I282="",M282="",M282&lt;I282),"",(M282-I282)*1440)</x:f>
      </x:c>
      <x:c r="AH282" s="87" t="str">
        <x:f>IF(OR(M282="",N282="",N282&lt;M282),"",(N282-M282)*1440)</x:f>
      </x:c>
      <x:c r="AI282" s="87" t="str">
        <x:f>IF(OR(H282="",N282="",N282&lt;H282),"",(N282-H282)*1440)</x:f>
      </x:c>
      <x:c r="AJ282" s="87" t="str">
        <x:f>IF(OR(I282="",N282="",N282&lt;I282),"",(N282-I282)*1440)</x:f>
      </x:c>
      <x:c r="AK282" s="87" t="str">
        <x:f>IF(OR(N282="",O282="",O282&lt;N282),"",(O282-N282)*1440)</x:f>
      </x:c>
      <x:c r="AL282" s="87" t="str">
        <x:f>IF(OR(O282="",P282="",P282&lt;O282),"",(P282-O282)*1440)</x:f>
      </x:c>
      <x:c r="AM282" s="87" t="str">
        <x:f>IF(OR(Q282="",R282="",R282&lt;Q282),"",(R282-Q282)*1440)</x:f>
      </x:c>
      <x:c r="AN282" s="87" t="str">
        <x:f>IF(OR(S282="",T282="",T282&lt;S282),"",(T282-S282)*1440)</x:f>
      </x:c>
      <x:c r="AO282" s="87" t="str">
        <x:f>IF(OR(U282="",V282=""),"",V282-U282)</x:f>
      </x:c>
      <x:c r="AP282" s="63" t="str">
        <x:f>IF(A282="","",IF(OR(B282="",H282="",N282=""),"Incompleto",IF(N282&lt;H282,"Revisar",IF(OR(G282="",G282="Não observado"),"Qualidade E0 ausente",IF(OR(G282="Sensor",G282="Marcação física"),"Válido — E0 observado",IF(G282="Cálculo","Válido — E0 calculado","Válido — E0 estimado"))))))</x:f>
      </x:c>
      <x:c r="AQ282" s="63" t="str">
        <x:f>IF(A282="","",IF(COUNTA(H282:T282)&lt;13,"Incompleta",IF(OR(I282&lt;H282,J282&lt;I282,K282&lt;J282,L282&lt;K282,M282&lt;L282,N282&lt;M282,O282&lt;N282,P282&lt;O282,Q282&lt;P282,R282&lt;Q282,S282&lt;R282,T282&lt;S282),"Revisar","Completa")))</x:f>
      </x:c>
      <x:c r="AR282" s="87" t="str">
        <x:f>IF(OR(V282="",W282="",Y282=""),"",Y282-(V282-W282))</x:f>
      </x:c>
      <x:c r="AS282" s="63" t="str">
        <x:f>IF(A282="","",IF(AND(E282&lt;&gt;"",F282&lt;&gt;"",G282&lt;&gt;"",Z282&lt;&gt;"",AA282&lt;&gt;"",AB282&lt;&gt;"",AC282&lt;&gt;""),"Completa","Incompleta"))</x:f>
      </x:c>
      <x:c r="AT282" s="63" t="str">
        <x:f>IF(A282="","",IF(COUNTIF($A$11:$A$410,A282)&gt;1,"ID duplicado",IF(AND(AR282&lt;&gt;"",ABS(AR282)&gt;0.01),"Revisar balanço",IF(AND(W282&lt;&gt;"",V282&lt;&gt;"",W282&gt;V282),"Retirada &gt; estoque",IF(AND(U282&lt;&gt;"",U282&lt;'Cenário Base'!$D$8*'Cenário Base'!$D$74),"E0 abaixo do gatilho",IF(AND(V282&lt;&gt;"",V282&gt;XLOOKUP(B282,$A$414:$A$418,$B$414:$B$418)),"Excedeu capacidade","Sem alerta"))))))</x:f>
      </x:c>
    </x:row>
    <x:row r="283">
      <x:c r="A283" s="43"/>
      <x:c r="B283" s="43"/>
      <x:c r="C283" s="43"/>
      <x:c r="D283" s="43"/>
      <x:c r="E283" s="43"/>
      <x:c r="F283" s="43"/>
      <x:c r="G283" s="43"/>
      <x:c r="H283" s="120"/>
      <x:c r="I283" s="120"/>
      <x:c r="J283" s="120"/>
      <x:c r="K283" s="120"/>
      <x:c r="L283" s="120"/>
      <x:c r="M283" s="120"/>
      <x:c r="N283" s="120"/>
      <x:c r="O283" s="120"/>
      <x:c r="P283" s="120"/>
      <x:c r="Q283" s="120"/>
      <x:c r="R283" s="120"/>
      <x:c r="S283" s="120"/>
      <x:c r="T283" s="120"/>
      <x:c r="U283" s="48"/>
      <x:c r="V283" s="48"/>
      <x:c r="W283" s="48"/>
      <x:c r="X283" s="48"/>
      <x:c r="Y283" s="48"/>
      <x:c r="Z283" s="49"/>
      <x:c r="AA283" s="43"/>
      <x:c r="AB283" s="43"/>
      <x:c r="AC283" s="43"/>
      <x:c r="AD283" s="43"/>
      <x:c r="AE283" s="43"/>
      <x:c r="AF283" s="87" t="str">
        <x:f>IF(OR(H283="",I283="",I283&lt;H283),"",(I283-H283)*1440)</x:f>
      </x:c>
      <x:c r="AG283" s="87" t="str">
        <x:f>IF(OR(I283="",M283="",M283&lt;I283),"",(M283-I283)*1440)</x:f>
      </x:c>
      <x:c r="AH283" s="87" t="str">
        <x:f>IF(OR(M283="",N283="",N283&lt;M283),"",(N283-M283)*1440)</x:f>
      </x:c>
      <x:c r="AI283" s="87" t="str">
        <x:f>IF(OR(H283="",N283="",N283&lt;H283),"",(N283-H283)*1440)</x:f>
      </x:c>
      <x:c r="AJ283" s="87" t="str">
        <x:f>IF(OR(I283="",N283="",N283&lt;I283),"",(N283-I283)*1440)</x:f>
      </x:c>
      <x:c r="AK283" s="87" t="str">
        <x:f>IF(OR(N283="",O283="",O283&lt;N283),"",(O283-N283)*1440)</x:f>
      </x:c>
      <x:c r="AL283" s="87" t="str">
        <x:f>IF(OR(O283="",P283="",P283&lt;O283),"",(P283-O283)*1440)</x:f>
      </x:c>
      <x:c r="AM283" s="87" t="str">
        <x:f>IF(OR(Q283="",R283="",R283&lt;Q283),"",(R283-Q283)*1440)</x:f>
      </x:c>
      <x:c r="AN283" s="87" t="str">
        <x:f>IF(OR(S283="",T283="",T283&lt;S283),"",(T283-S283)*1440)</x:f>
      </x:c>
      <x:c r="AO283" s="87" t="str">
        <x:f>IF(OR(U283="",V283=""),"",V283-U283)</x:f>
      </x:c>
      <x:c r="AP283" s="63" t="str">
        <x:f>IF(A283="","",IF(OR(B283="",H283="",N283=""),"Incompleto",IF(N283&lt;H283,"Revisar",IF(OR(G283="",G283="Não observado"),"Qualidade E0 ausente",IF(OR(G283="Sensor",G283="Marcação física"),"Válido — E0 observado",IF(G283="Cálculo","Válido — E0 calculado","Válido — E0 estimado"))))))</x:f>
      </x:c>
      <x:c r="AQ283" s="63" t="str">
        <x:f>IF(A283="","",IF(COUNTA(H283:T283)&lt;13,"Incompleta",IF(OR(I283&lt;H283,J283&lt;I283,K283&lt;J283,L283&lt;K283,M283&lt;L283,N283&lt;M283,O283&lt;N283,P283&lt;O283,Q283&lt;P283,R283&lt;Q283,S283&lt;R283,T283&lt;S283),"Revisar","Completa")))</x:f>
      </x:c>
      <x:c r="AR283" s="87" t="str">
        <x:f>IF(OR(V283="",W283="",Y283=""),"",Y283-(V283-W283))</x:f>
      </x:c>
      <x:c r="AS283" s="63" t="str">
        <x:f>IF(A283="","",IF(AND(E283&lt;&gt;"",F283&lt;&gt;"",G283&lt;&gt;"",Z283&lt;&gt;"",AA283&lt;&gt;"",AB283&lt;&gt;"",AC283&lt;&gt;""),"Completa","Incompleta"))</x:f>
      </x:c>
      <x:c r="AT283" s="63" t="str">
        <x:f>IF(A283="","",IF(COUNTIF($A$11:$A$410,A283)&gt;1,"ID duplicado",IF(AND(AR283&lt;&gt;"",ABS(AR283)&gt;0.01),"Revisar balanço",IF(AND(W283&lt;&gt;"",V283&lt;&gt;"",W283&gt;V283),"Retirada &gt; estoque",IF(AND(U283&lt;&gt;"",U283&lt;'Cenário Base'!$D$8*'Cenário Base'!$D$74),"E0 abaixo do gatilho",IF(AND(V283&lt;&gt;"",V283&gt;XLOOKUP(B283,$A$414:$A$418,$B$414:$B$418)),"Excedeu capacidade","Sem alerta"))))))</x:f>
      </x:c>
    </x:row>
    <x:row r="284">
      <x:c r="A284" s="43"/>
      <x:c r="B284" s="43"/>
      <x:c r="C284" s="43"/>
      <x:c r="D284" s="43"/>
      <x:c r="E284" s="43"/>
      <x:c r="F284" s="43"/>
      <x:c r="G284" s="43"/>
      <x:c r="H284" s="120"/>
      <x:c r="I284" s="120"/>
      <x:c r="J284" s="120"/>
      <x:c r="K284" s="120"/>
      <x:c r="L284" s="120"/>
      <x:c r="M284" s="120"/>
      <x:c r="N284" s="120"/>
      <x:c r="O284" s="120"/>
      <x:c r="P284" s="120"/>
      <x:c r="Q284" s="120"/>
      <x:c r="R284" s="120"/>
      <x:c r="S284" s="120"/>
      <x:c r="T284" s="120"/>
      <x:c r="U284" s="48"/>
      <x:c r="V284" s="48"/>
      <x:c r="W284" s="48"/>
      <x:c r="X284" s="48"/>
      <x:c r="Y284" s="48"/>
      <x:c r="Z284" s="49"/>
      <x:c r="AA284" s="43"/>
      <x:c r="AB284" s="43"/>
      <x:c r="AC284" s="43"/>
      <x:c r="AD284" s="43"/>
      <x:c r="AE284" s="43"/>
      <x:c r="AF284" s="87" t="str">
        <x:f>IF(OR(H284="",I284="",I284&lt;H284),"",(I284-H284)*1440)</x:f>
      </x:c>
      <x:c r="AG284" s="87" t="str">
        <x:f>IF(OR(I284="",M284="",M284&lt;I284),"",(M284-I284)*1440)</x:f>
      </x:c>
      <x:c r="AH284" s="87" t="str">
        <x:f>IF(OR(M284="",N284="",N284&lt;M284),"",(N284-M284)*1440)</x:f>
      </x:c>
      <x:c r="AI284" s="87" t="str">
        <x:f>IF(OR(H284="",N284="",N284&lt;H284),"",(N284-H284)*1440)</x:f>
      </x:c>
      <x:c r="AJ284" s="87" t="str">
        <x:f>IF(OR(I284="",N284="",N284&lt;I284),"",(N284-I284)*1440)</x:f>
      </x:c>
      <x:c r="AK284" s="87" t="str">
        <x:f>IF(OR(N284="",O284="",O284&lt;N284),"",(O284-N284)*1440)</x:f>
      </x:c>
      <x:c r="AL284" s="87" t="str">
        <x:f>IF(OR(O284="",P284="",P284&lt;O284),"",(P284-O284)*1440)</x:f>
      </x:c>
      <x:c r="AM284" s="87" t="str">
        <x:f>IF(OR(Q284="",R284="",R284&lt;Q284),"",(R284-Q284)*1440)</x:f>
      </x:c>
      <x:c r="AN284" s="87" t="str">
        <x:f>IF(OR(S284="",T284="",T284&lt;S284),"",(T284-S284)*1440)</x:f>
      </x:c>
      <x:c r="AO284" s="87" t="str">
        <x:f>IF(OR(U284="",V284=""),"",V284-U284)</x:f>
      </x:c>
      <x:c r="AP284" s="63" t="str">
        <x:f>IF(A284="","",IF(OR(B284="",H284="",N284=""),"Incompleto",IF(N284&lt;H284,"Revisar",IF(OR(G284="",G284="Não observado"),"Qualidade E0 ausente",IF(OR(G284="Sensor",G284="Marcação física"),"Válido — E0 observado",IF(G284="Cálculo","Válido — E0 calculado","Válido — E0 estimado"))))))</x:f>
      </x:c>
      <x:c r="AQ284" s="63" t="str">
        <x:f>IF(A284="","",IF(COUNTA(H284:T284)&lt;13,"Incompleta",IF(OR(I284&lt;H284,J284&lt;I284,K284&lt;J284,L284&lt;K284,M284&lt;L284,N284&lt;M284,O284&lt;N284,P284&lt;O284,Q284&lt;P284,R284&lt;Q284,S284&lt;R284,T284&lt;S284),"Revisar","Completa")))</x:f>
      </x:c>
      <x:c r="AR284" s="87" t="str">
        <x:f>IF(OR(V284="",W284="",Y284=""),"",Y284-(V284-W284))</x:f>
      </x:c>
      <x:c r="AS284" s="63" t="str">
        <x:f>IF(A284="","",IF(AND(E284&lt;&gt;"",F284&lt;&gt;"",G284&lt;&gt;"",Z284&lt;&gt;"",AA284&lt;&gt;"",AB284&lt;&gt;"",AC284&lt;&gt;""),"Completa","Incompleta"))</x:f>
      </x:c>
      <x:c r="AT284" s="63" t="str">
        <x:f>IF(A284="","",IF(COUNTIF($A$11:$A$410,A284)&gt;1,"ID duplicado",IF(AND(AR284&lt;&gt;"",ABS(AR284)&gt;0.01),"Revisar balanço",IF(AND(W284&lt;&gt;"",V284&lt;&gt;"",W284&gt;V284),"Retirada &gt; estoque",IF(AND(U284&lt;&gt;"",U284&lt;'Cenário Base'!$D$8*'Cenário Base'!$D$74),"E0 abaixo do gatilho",IF(AND(V284&lt;&gt;"",V284&gt;XLOOKUP(B284,$A$414:$A$418,$B$414:$B$418)),"Excedeu capacidade","Sem alerta"))))))</x:f>
      </x:c>
    </x:row>
    <x:row r="285">
      <x:c r="A285" s="43"/>
      <x:c r="B285" s="43"/>
      <x:c r="C285" s="43"/>
      <x:c r="D285" s="43"/>
      <x:c r="E285" s="43"/>
      <x:c r="F285" s="43"/>
      <x:c r="G285" s="43"/>
      <x:c r="H285" s="120"/>
      <x:c r="I285" s="120"/>
      <x:c r="J285" s="120"/>
      <x:c r="K285" s="120"/>
      <x:c r="L285" s="120"/>
      <x:c r="M285" s="120"/>
      <x:c r="N285" s="120"/>
      <x:c r="O285" s="120"/>
      <x:c r="P285" s="120"/>
      <x:c r="Q285" s="120"/>
      <x:c r="R285" s="120"/>
      <x:c r="S285" s="120"/>
      <x:c r="T285" s="120"/>
      <x:c r="U285" s="48"/>
      <x:c r="V285" s="48"/>
      <x:c r="W285" s="48"/>
      <x:c r="X285" s="48"/>
      <x:c r="Y285" s="48"/>
      <x:c r="Z285" s="49"/>
      <x:c r="AA285" s="43"/>
      <x:c r="AB285" s="43"/>
      <x:c r="AC285" s="43"/>
      <x:c r="AD285" s="43"/>
      <x:c r="AE285" s="43"/>
      <x:c r="AF285" s="87" t="str">
        <x:f>IF(OR(H285="",I285="",I285&lt;H285),"",(I285-H285)*1440)</x:f>
      </x:c>
      <x:c r="AG285" s="87" t="str">
        <x:f>IF(OR(I285="",M285="",M285&lt;I285),"",(M285-I285)*1440)</x:f>
      </x:c>
      <x:c r="AH285" s="87" t="str">
        <x:f>IF(OR(M285="",N285="",N285&lt;M285),"",(N285-M285)*1440)</x:f>
      </x:c>
      <x:c r="AI285" s="87" t="str">
        <x:f>IF(OR(H285="",N285="",N285&lt;H285),"",(N285-H285)*1440)</x:f>
      </x:c>
      <x:c r="AJ285" s="87" t="str">
        <x:f>IF(OR(I285="",N285="",N285&lt;I285),"",(N285-I285)*1440)</x:f>
      </x:c>
      <x:c r="AK285" s="87" t="str">
        <x:f>IF(OR(N285="",O285="",O285&lt;N285),"",(O285-N285)*1440)</x:f>
      </x:c>
      <x:c r="AL285" s="87" t="str">
        <x:f>IF(OR(O285="",P285="",P285&lt;O285),"",(P285-O285)*1440)</x:f>
      </x:c>
      <x:c r="AM285" s="87" t="str">
        <x:f>IF(OR(Q285="",R285="",R285&lt;Q285),"",(R285-Q285)*1440)</x:f>
      </x:c>
      <x:c r="AN285" s="87" t="str">
        <x:f>IF(OR(S285="",T285="",T285&lt;S285),"",(T285-S285)*1440)</x:f>
      </x:c>
      <x:c r="AO285" s="87" t="str">
        <x:f>IF(OR(U285="",V285=""),"",V285-U285)</x:f>
      </x:c>
      <x:c r="AP285" s="63" t="str">
        <x:f>IF(A285="","",IF(OR(B285="",H285="",N285=""),"Incompleto",IF(N285&lt;H285,"Revisar",IF(OR(G285="",G285="Não observado"),"Qualidade E0 ausente",IF(OR(G285="Sensor",G285="Marcação física"),"Válido — E0 observado",IF(G285="Cálculo","Válido — E0 calculado","Válido — E0 estimado"))))))</x:f>
      </x:c>
      <x:c r="AQ285" s="63" t="str">
        <x:f>IF(A285="","",IF(COUNTA(H285:T285)&lt;13,"Incompleta",IF(OR(I285&lt;H285,J285&lt;I285,K285&lt;J285,L285&lt;K285,M285&lt;L285,N285&lt;M285,O285&lt;N285,P285&lt;O285,Q285&lt;P285,R285&lt;Q285,S285&lt;R285,T285&lt;S285),"Revisar","Completa")))</x:f>
      </x:c>
      <x:c r="AR285" s="87" t="str">
        <x:f>IF(OR(V285="",W285="",Y285=""),"",Y285-(V285-W285))</x:f>
      </x:c>
      <x:c r="AS285" s="63" t="str">
        <x:f>IF(A285="","",IF(AND(E285&lt;&gt;"",F285&lt;&gt;"",G285&lt;&gt;"",Z285&lt;&gt;"",AA285&lt;&gt;"",AB285&lt;&gt;"",AC285&lt;&gt;""),"Completa","Incompleta"))</x:f>
      </x:c>
      <x:c r="AT285" s="63" t="str">
        <x:f>IF(A285="","",IF(COUNTIF($A$11:$A$410,A285)&gt;1,"ID duplicado",IF(AND(AR285&lt;&gt;"",ABS(AR285)&gt;0.01),"Revisar balanço",IF(AND(W285&lt;&gt;"",V285&lt;&gt;"",W285&gt;V285),"Retirada &gt; estoque",IF(AND(U285&lt;&gt;"",U285&lt;'Cenário Base'!$D$8*'Cenário Base'!$D$74),"E0 abaixo do gatilho",IF(AND(V285&lt;&gt;"",V285&gt;XLOOKUP(B285,$A$414:$A$418,$B$414:$B$418)),"Excedeu capacidade","Sem alerta"))))))</x:f>
      </x:c>
    </x:row>
    <x:row r="286">
      <x:c r="A286" s="43"/>
      <x:c r="B286" s="43"/>
      <x:c r="C286" s="43"/>
      <x:c r="D286" s="43"/>
      <x:c r="E286" s="43"/>
      <x:c r="F286" s="43"/>
      <x:c r="G286" s="43"/>
      <x:c r="H286" s="120"/>
      <x:c r="I286" s="120"/>
      <x:c r="J286" s="120"/>
      <x:c r="K286" s="120"/>
      <x:c r="L286" s="120"/>
      <x:c r="M286" s="120"/>
      <x:c r="N286" s="120"/>
      <x:c r="O286" s="120"/>
      <x:c r="P286" s="120"/>
      <x:c r="Q286" s="120"/>
      <x:c r="R286" s="120"/>
      <x:c r="S286" s="120"/>
      <x:c r="T286" s="120"/>
      <x:c r="U286" s="48"/>
      <x:c r="V286" s="48"/>
      <x:c r="W286" s="48"/>
      <x:c r="X286" s="48"/>
      <x:c r="Y286" s="48"/>
      <x:c r="Z286" s="49"/>
      <x:c r="AA286" s="43"/>
      <x:c r="AB286" s="43"/>
      <x:c r="AC286" s="43"/>
      <x:c r="AD286" s="43"/>
      <x:c r="AE286" s="43"/>
      <x:c r="AF286" s="87" t="str">
        <x:f>IF(OR(H286="",I286="",I286&lt;H286),"",(I286-H286)*1440)</x:f>
      </x:c>
      <x:c r="AG286" s="87" t="str">
        <x:f>IF(OR(I286="",M286="",M286&lt;I286),"",(M286-I286)*1440)</x:f>
      </x:c>
      <x:c r="AH286" s="87" t="str">
        <x:f>IF(OR(M286="",N286="",N286&lt;M286),"",(N286-M286)*1440)</x:f>
      </x:c>
      <x:c r="AI286" s="87" t="str">
        <x:f>IF(OR(H286="",N286="",N286&lt;H286),"",(N286-H286)*1440)</x:f>
      </x:c>
      <x:c r="AJ286" s="87" t="str">
        <x:f>IF(OR(I286="",N286="",N286&lt;I286),"",(N286-I286)*1440)</x:f>
      </x:c>
      <x:c r="AK286" s="87" t="str">
        <x:f>IF(OR(N286="",O286="",O286&lt;N286),"",(O286-N286)*1440)</x:f>
      </x:c>
      <x:c r="AL286" s="87" t="str">
        <x:f>IF(OR(O286="",P286="",P286&lt;O286),"",(P286-O286)*1440)</x:f>
      </x:c>
      <x:c r="AM286" s="87" t="str">
        <x:f>IF(OR(Q286="",R286="",R286&lt;Q286),"",(R286-Q286)*1440)</x:f>
      </x:c>
      <x:c r="AN286" s="87" t="str">
        <x:f>IF(OR(S286="",T286="",T286&lt;S286),"",(T286-S286)*1440)</x:f>
      </x:c>
      <x:c r="AO286" s="87" t="str">
        <x:f>IF(OR(U286="",V286=""),"",V286-U286)</x:f>
      </x:c>
      <x:c r="AP286" s="63" t="str">
        <x:f>IF(A286="","",IF(OR(B286="",H286="",N286=""),"Incompleto",IF(N286&lt;H286,"Revisar",IF(OR(G286="",G286="Não observado"),"Qualidade E0 ausente",IF(OR(G286="Sensor",G286="Marcação física"),"Válido — E0 observado",IF(G286="Cálculo","Válido — E0 calculado","Válido — E0 estimado"))))))</x:f>
      </x:c>
      <x:c r="AQ286" s="63" t="str">
        <x:f>IF(A286="","",IF(COUNTA(H286:T286)&lt;13,"Incompleta",IF(OR(I286&lt;H286,J286&lt;I286,K286&lt;J286,L286&lt;K286,M286&lt;L286,N286&lt;M286,O286&lt;N286,P286&lt;O286,Q286&lt;P286,R286&lt;Q286,S286&lt;R286,T286&lt;S286),"Revisar","Completa")))</x:f>
      </x:c>
      <x:c r="AR286" s="87" t="str">
        <x:f>IF(OR(V286="",W286="",Y286=""),"",Y286-(V286-W286))</x:f>
      </x:c>
      <x:c r="AS286" s="63" t="str">
        <x:f>IF(A286="","",IF(AND(E286&lt;&gt;"",F286&lt;&gt;"",G286&lt;&gt;"",Z286&lt;&gt;"",AA286&lt;&gt;"",AB286&lt;&gt;"",AC286&lt;&gt;""),"Completa","Incompleta"))</x:f>
      </x:c>
      <x:c r="AT286" s="63" t="str">
        <x:f>IF(A286="","",IF(COUNTIF($A$11:$A$410,A286)&gt;1,"ID duplicado",IF(AND(AR286&lt;&gt;"",ABS(AR286)&gt;0.01),"Revisar balanço",IF(AND(W286&lt;&gt;"",V286&lt;&gt;"",W286&gt;V286),"Retirada &gt; estoque",IF(AND(U286&lt;&gt;"",U286&lt;'Cenário Base'!$D$8*'Cenário Base'!$D$74),"E0 abaixo do gatilho",IF(AND(V286&lt;&gt;"",V286&gt;XLOOKUP(B286,$A$414:$A$418,$B$414:$B$418)),"Excedeu capacidade","Sem alerta"))))))</x:f>
      </x:c>
    </x:row>
    <x:row r="287">
      <x:c r="A287" s="43"/>
      <x:c r="B287" s="43"/>
      <x:c r="C287" s="43"/>
      <x:c r="D287" s="43"/>
      <x:c r="E287" s="43"/>
      <x:c r="F287" s="43"/>
      <x:c r="G287" s="43"/>
      <x:c r="H287" s="120"/>
      <x:c r="I287" s="120"/>
      <x:c r="J287" s="120"/>
      <x:c r="K287" s="120"/>
      <x:c r="L287" s="120"/>
      <x:c r="M287" s="120"/>
      <x:c r="N287" s="120"/>
      <x:c r="O287" s="120"/>
      <x:c r="P287" s="120"/>
      <x:c r="Q287" s="120"/>
      <x:c r="R287" s="120"/>
      <x:c r="S287" s="120"/>
      <x:c r="T287" s="120"/>
      <x:c r="U287" s="48"/>
      <x:c r="V287" s="48"/>
      <x:c r="W287" s="48"/>
      <x:c r="X287" s="48"/>
      <x:c r="Y287" s="48"/>
      <x:c r="Z287" s="49"/>
      <x:c r="AA287" s="43"/>
      <x:c r="AB287" s="43"/>
      <x:c r="AC287" s="43"/>
      <x:c r="AD287" s="43"/>
      <x:c r="AE287" s="43"/>
      <x:c r="AF287" s="87" t="str">
        <x:f>IF(OR(H287="",I287="",I287&lt;H287),"",(I287-H287)*1440)</x:f>
      </x:c>
      <x:c r="AG287" s="87" t="str">
        <x:f>IF(OR(I287="",M287="",M287&lt;I287),"",(M287-I287)*1440)</x:f>
      </x:c>
      <x:c r="AH287" s="87" t="str">
        <x:f>IF(OR(M287="",N287="",N287&lt;M287),"",(N287-M287)*1440)</x:f>
      </x:c>
      <x:c r="AI287" s="87" t="str">
        <x:f>IF(OR(H287="",N287="",N287&lt;H287),"",(N287-H287)*1440)</x:f>
      </x:c>
      <x:c r="AJ287" s="87" t="str">
        <x:f>IF(OR(I287="",N287="",N287&lt;I287),"",(N287-I287)*1440)</x:f>
      </x:c>
      <x:c r="AK287" s="87" t="str">
        <x:f>IF(OR(N287="",O287="",O287&lt;N287),"",(O287-N287)*1440)</x:f>
      </x:c>
      <x:c r="AL287" s="87" t="str">
        <x:f>IF(OR(O287="",P287="",P287&lt;O287),"",(P287-O287)*1440)</x:f>
      </x:c>
      <x:c r="AM287" s="87" t="str">
        <x:f>IF(OR(Q287="",R287="",R287&lt;Q287),"",(R287-Q287)*1440)</x:f>
      </x:c>
      <x:c r="AN287" s="87" t="str">
        <x:f>IF(OR(S287="",T287="",T287&lt;S287),"",(T287-S287)*1440)</x:f>
      </x:c>
      <x:c r="AO287" s="87" t="str">
        <x:f>IF(OR(U287="",V287=""),"",V287-U287)</x:f>
      </x:c>
      <x:c r="AP287" s="63" t="str">
        <x:f>IF(A287="","",IF(OR(B287="",H287="",N287=""),"Incompleto",IF(N287&lt;H287,"Revisar",IF(OR(G287="",G287="Não observado"),"Qualidade E0 ausente",IF(OR(G287="Sensor",G287="Marcação física"),"Válido — E0 observado",IF(G287="Cálculo","Válido — E0 calculado","Válido — E0 estimado"))))))</x:f>
      </x:c>
      <x:c r="AQ287" s="63" t="str">
        <x:f>IF(A287="","",IF(COUNTA(H287:T287)&lt;13,"Incompleta",IF(OR(I287&lt;H287,J287&lt;I287,K287&lt;J287,L287&lt;K287,M287&lt;L287,N287&lt;M287,O287&lt;N287,P287&lt;O287,Q287&lt;P287,R287&lt;Q287,S287&lt;R287,T287&lt;S287),"Revisar","Completa")))</x:f>
      </x:c>
      <x:c r="AR287" s="87" t="str">
        <x:f>IF(OR(V287="",W287="",Y287=""),"",Y287-(V287-W287))</x:f>
      </x:c>
      <x:c r="AS287" s="63" t="str">
        <x:f>IF(A287="","",IF(AND(E287&lt;&gt;"",F287&lt;&gt;"",G287&lt;&gt;"",Z287&lt;&gt;"",AA287&lt;&gt;"",AB287&lt;&gt;"",AC287&lt;&gt;""),"Completa","Incompleta"))</x:f>
      </x:c>
      <x:c r="AT287" s="63" t="str">
        <x:f>IF(A287="","",IF(COUNTIF($A$11:$A$410,A287)&gt;1,"ID duplicado",IF(AND(AR287&lt;&gt;"",ABS(AR287)&gt;0.01),"Revisar balanço",IF(AND(W287&lt;&gt;"",V287&lt;&gt;"",W287&gt;V287),"Retirada &gt; estoque",IF(AND(U287&lt;&gt;"",U287&lt;'Cenário Base'!$D$8*'Cenário Base'!$D$74),"E0 abaixo do gatilho",IF(AND(V287&lt;&gt;"",V287&gt;XLOOKUP(B287,$A$414:$A$418,$B$414:$B$418)),"Excedeu capacidade","Sem alerta"))))))</x:f>
      </x:c>
    </x:row>
    <x:row r="288">
      <x:c r="A288" s="43"/>
      <x:c r="B288" s="43"/>
      <x:c r="C288" s="43"/>
      <x:c r="D288" s="43"/>
      <x:c r="E288" s="43"/>
      <x:c r="F288" s="43"/>
      <x:c r="G288" s="43"/>
      <x:c r="H288" s="120"/>
      <x:c r="I288" s="120"/>
      <x:c r="J288" s="120"/>
      <x:c r="K288" s="120"/>
      <x:c r="L288" s="120"/>
      <x:c r="M288" s="120"/>
      <x:c r="N288" s="120"/>
      <x:c r="O288" s="120"/>
      <x:c r="P288" s="120"/>
      <x:c r="Q288" s="120"/>
      <x:c r="R288" s="120"/>
      <x:c r="S288" s="120"/>
      <x:c r="T288" s="120"/>
      <x:c r="U288" s="48"/>
      <x:c r="V288" s="48"/>
      <x:c r="W288" s="48"/>
      <x:c r="X288" s="48"/>
      <x:c r="Y288" s="48"/>
      <x:c r="Z288" s="49"/>
      <x:c r="AA288" s="43"/>
      <x:c r="AB288" s="43"/>
      <x:c r="AC288" s="43"/>
      <x:c r="AD288" s="43"/>
      <x:c r="AE288" s="43"/>
      <x:c r="AF288" s="87" t="str">
        <x:f>IF(OR(H288="",I288="",I288&lt;H288),"",(I288-H288)*1440)</x:f>
      </x:c>
      <x:c r="AG288" s="87" t="str">
        <x:f>IF(OR(I288="",M288="",M288&lt;I288),"",(M288-I288)*1440)</x:f>
      </x:c>
      <x:c r="AH288" s="87" t="str">
        <x:f>IF(OR(M288="",N288="",N288&lt;M288),"",(N288-M288)*1440)</x:f>
      </x:c>
      <x:c r="AI288" s="87" t="str">
        <x:f>IF(OR(H288="",N288="",N288&lt;H288),"",(N288-H288)*1440)</x:f>
      </x:c>
      <x:c r="AJ288" s="87" t="str">
        <x:f>IF(OR(I288="",N288="",N288&lt;I288),"",(N288-I288)*1440)</x:f>
      </x:c>
      <x:c r="AK288" s="87" t="str">
        <x:f>IF(OR(N288="",O288="",O288&lt;N288),"",(O288-N288)*1440)</x:f>
      </x:c>
      <x:c r="AL288" s="87" t="str">
        <x:f>IF(OR(O288="",P288="",P288&lt;O288),"",(P288-O288)*1440)</x:f>
      </x:c>
      <x:c r="AM288" s="87" t="str">
        <x:f>IF(OR(Q288="",R288="",R288&lt;Q288),"",(R288-Q288)*1440)</x:f>
      </x:c>
      <x:c r="AN288" s="87" t="str">
        <x:f>IF(OR(S288="",T288="",T288&lt;S288),"",(T288-S288)*1440)</x:f>
      </x:c>
      <x:c r="AO288" s="87" t="str">
        <x:f>IF(OR(U288="",V288=""),"",V288-U288)</x:f>
      </x:c>
      <x:c r="AP288" s="63" t="str">
        <x:f>IF(A288="","",IF(OR(B288="",H288="",N288=""),"Incompleto",IF(N288&lt;H288,"Revisar",IF(OR(G288="",G288="Não observado"),"Qualidade E0 ausente",IF(OR(G288="Sensor",G288="Marcação física"),"Válido — E0 observado",IF(G288="Cálculo","Válido — E0 calculado","Válido — E0 estimado"))))))</x:f>
      </x:c>
      <x:c r="AQ288" s="63" t="str">
        <x:f>IF(A288="","",IF(COUNTA(H288:T288)&lt;13,"Incompleta",IF(OR(I288&lt;H288,J288&lt;I288,K288&lt;J288,L288&lt;K288,M288&lt;L288,N288&lt;M288,O288&lt;N288,P288&lt;O288,Q288&lt;P288,R288&lt;Q288,S288&lt;R288,T288&lt;S288),"Revisar","Completa")))</x:f>
      </x:c>
      <x:c r="AR288" s="87" t="str">
        <x:f>IF(OR(V288="",W288="",Y288=""),"",Y288-(V288-W288))</x:f>
      </x:c>
      <x:c r="AS288" s="63" t="str">
        <x:f>IF(A288="","",IF(AND(E288&lt;&gt;"",F288&lt;&gt;"",G288&lt;&gt;"",Z288&lt;&gt;"",AA288&lt;&gt;"",AB288&lt;&gt;"",AC288&lt;&gt;""),"Completa","Incompleta"))</x:f>
      </x:c>
      <x:c r="AT288" s="63" t="str">
        <x:f>IF(A288="","",IF(COUNTIF($A$11:$A$410,A288)&gt;1,"ID duplicado",IF(AND(AR288&lt;&gt;"",ABS(AR288)&gt;0.01),"Revisar balanço",IF(AND(W288&lt;&gt;"",V288&lt;&gt;"",W288&gt;V288),"Retirada &gt; estoque",IF(AND(U288&lt;&gt;"",U288&lt;'Cenário Base'!$D$8*'Cenário Base'!$D$74),"E0 abaixo do gatilho",IF(AND(V288&lt;&gt;"",V288&gt;XLOOKUP(B288,$A$414:$A$418,$B$414:$B$418)),"Excedeu capacidade","Sem alerta"))))))</x:f>
      </x:c>
    </x:row>
    <x:row r="289">
      <x:c r="A289" s="43"/>
      <x:c r="B289" s="43"/>
      <x:c r="C289" s="43"/>
      <x:c r="D289" s="43"/>
      <x:c r="E289" s="43"/>
      <x:c r="F289" s="43"/>
      <x:c r="G289" s="43"/>
      <x:c r="H289" s="120"/>
      <x:c r="I289" s="120"/>
      <x:c r="J289" s="120"/>
      <x:c r="K289" s="120"/>
      <x:c r="L289" s="120"/>
      <x:c r="M289" s="120"/>
      <x:c r="N289" s="120"/>
      <x:c r="O289" s="120"/>
      <x:c r="P289" s="120"/>
      <x:c r="Q289" s="120"/>
      <x:c r="R289" s="120"/>
      <x:c r="S289" s="120"/>
      <x:c r="T289" s="120"/>
      <x:c r="U289" s="48"/>
      <x:c r="V289" s="48"/>
      <x:c r="W289" s="48"/>
      <x:c r="X289" s="48"/>
      <x:c r="Y289" s="48"/>
      <x:c r="Z289" s="49"/>
      <x:c r="AA289" s="43"/>
      <x:c r="AB289" s="43"/>
      <x:c r="AC289" s="43"/>
      <x:c r="AD289" s="43"/>
      <x:c r="AE289" s="43"/>
      <x:c r="AF289" s="87" t="str">
        <x:f>IF(OR(H289="",I289="",I289&lt;H289),"",(I289-H289)*1440)</x:f>
      </x:c>
      <x:c r="AG289" s="87" t="str">
        <x:f>IF(OR(I289="",M289="",M289&lt;I289),"",(M289-I289)*1440)</x:f>
      </x:c>
      <x:c r="AH289" s="87" t="str">
        <x:f>IF(OR(M289="",N289="",N289&lt;M289),"",(N289-M289)*1440)</x:f>
      </x:c>
      <x:c r="AI289" s="87" t="str">
        <x:f>IF(OR(H289="",N289="",N289&lt;H289),"",(N289-H289)*1440)</x:f>
      </x:c>
      <x:c r="AJ289" s="87" t="str">
        <x:f>IF(OR(I289="",N289="",N289&lt;I289),"",(N289-I289)*1440)</x:f>
      </x:c>
      <x:c r="AK289" s="87" t="str">
        <x:f>IF(OR(N289="",O289="",O289&lt;N289),"",(O289-N289)*1440)</x:f>
      </x:c>
      <x:c r="AL289" s="87" t="str">
        <x:f>IF(OR(O289="",P289="",P289&lt;O289),"",(P289-O289)*1440)</x:f>
      </x:c>
      <x:c r="AM289" s="87" t="str">
        <x:f>IF(OR(Q289="",R289="",R289&lt;Q289),"",(R289-Q289)*1440)</x:f>
      </x:c>
      <x:c r="AN289" s="87" t="str">
        <x:f>IF(OR(S289="",T289="",T289&lt;S289),"",(T289-S289)*1440)</x:f>
      </x:c>
      <x:c r="AO289" s="87" t="str">
        <x:f>IF(OR(U289="",V289=""),"",V289-U289)</x:f>
      </x:c>
      <x:c r="AP289" s="63" t="str">
        <x:f>IF(A289="","",IF(OR(B289="",H289="",N289=""),"Incompleto",IF(N289&lt;H289,"Revisar",IF(OR(G289="",G289="Não observado"),"Qualidade E0 ausente",IF(OR(G289="Sensor",G289="Marcação física"),"Válido — E0 observado",IF(G289="Cálculo","Válido — E0 calculado","Válido — E0 estimado"))))))</x:f>
      </x:c>
      <x:c r="AQ289" s="63" t="str">
        <x:f>IF(A289="","",IF(COUNTA(H289:T289)&lt;13,"Incompleta",IF(OR(I289&lt;H289,J289&lt;I289,K289&lt;J289,L289&lt;K289,M289&lt;L289,N289&lt;M289,O289&lt;N289,P289&lt;O289,Q289&lt;P289,R289&lt;Q289,S289&lt;R289,T289&lt;S289),"Revisar","Completa")))</x:f>
      </x:c>
      <x:c r="AR289" s="87" t="str">
        <x:f>IF(OR(V289="",W289="",Y289=""),"",Y289-(V289-W289))</x:f>
      </x:c>
      <x:c r="AS289" s="63" t="str">
        <x:f>IF(A289="","",IF(AND(E289&lt;&gt;"",F289&lt;&gt;"",G289&lt;&gt;"",Z289&lt;&gt;"",AA289&lt;&gt;"",AB289&lt;&gt;"",AC289&lt;&gt;""),"Completa","Incompleta"))</x:f>
      </x:c>
      <x:c r="AT289" s="63" t="str">
        <x:f>IF(A289="","",IF(COUNTIF($A$11:$A$410,A289)&gt;1,"ID duplicado",IF(AND(AR289&lt;&gt;"",ABS(AR289)&gt;0.01),"Revisar balanço",IF(AND(W289&lt;&gt;"",V289&lt;&gt;"",W289&gt;V289),"Retirada &gt; estoque",IF(AND(U289&lt;&gt;"",U289&lt;'Cenário Base'!$D$8*'Cenário Base'!$D$74),"E0 abaixo do gatilho",IF(AND(V289&lt;&gt;"",V289&gt;XLOOKUP(B289,$A$414:$A$418,$B$414:$B$418)),"Excedeu capacidade","Sem alerta"))))))</x:f>
      </x:c>
    </x:row>
    <x:row r="290">
      <x:c r="A290" s="43"/>
      <x:c r="B290" s="43"/>
      <x:c r="C290" s="43"/>
      <x:c r="D290" s="43"/>
      <x:c r="E290" s="43"/>
      <x:c r="F290" s="43"/>
      <x:c r="G290" s="43"/>
      <x:c r="H290" s="120"/>
      <x:c r="I290" s="120"/>
      <x:c r="J290" s="120"/>
      <x:c r="K290" s="120"/>
      <x:c r="L290" s="120"/>
      <x:c r="M290" s="120"/>
      <x:c r="N290" s="120"/>
      <x:c r="O290" s="120"/>
      <x:c r="P290" s="120"/>
      <x:c r="Q290" s="120"/>
      <x:c r="R290" s="120"/>
      <x:c r="S290" s="120"/>
      <x:c r="T290" s="120"/>
      <x:c r="U290" s="48"/>
      <x:c r="V290" s="48"/>
      <x:c r="W290" s="48"/>
      <x:c r="X290" s="48"/>
      <x:c r="Y290" s="48"/>
      <x:c r="Z290" s="49"/>
      <x:c r="AA290" s="43"/>
      <x:c r="AB290" s="43"/>
      <x:c r="AC290" s="43"/>
      <x:c r="AD290" s="43"/>
      <x:c r="AE290" s="43"/>
      <x:c r="AF290" s="87" t="str">
        <x:f>IF(OR(H290="",I290="",I290&lt;H290),"",(I290-H290)*1440)</x:f>
      </x:c>
      <x:c r="AG290" s="87" t="str">
        <x:f>IF(OR(I290="",M290="",M290&lt;I290),"",(M290-I290)*1440)</x:f>
      </x:c>
      <x:c r="AH290" s="87" t="str">
        <x:f>IF(OR(M290="",N290="",N290&lt;M290),"",(N290-M290)*1440)</x:f>
      </x:c>
      <x:c r="AI290" s="87" t="str">
        <x:f>IF(OR(H290="",N290="",N290&lt;H290),"",(N290-H290)*1440)</x:f>
      </x:c>
      <x:c r="AJ290" s="87" t="str">
        <x:f>IF(OR(I290="",N290="",N290&lt;I290),"",(N290-I290)*1440)</x:f>
      </x:c>
      <x:c r="AK290" s="87" t="str">
        <x:f>IF(OR(N290="",O290="",O290&lt;N290),"",(O290-N290)*1440)</x:f>
      </x:c>
      <x:c r="AL290" s="87" t="str">
        <x:f>IF(OR(O290="",P290="",P290&lt;O290),"",(P290-O290)*1440)</x:f>
      </x:c>
      <x:c r="AM290" s="87" t="str">
        <x:f>IF(OR(Q290="",R290="",R290&lt;Q290),"",(R290-Q290)*1440)</x:f>
      </x:c>
      <x:c r="AN290" s="87" t="str">
        <x:f>IF(OR(S290="",T290="",T290&lt;S290),"",(T290-S290)*1440)</x:f>
      </x:c>
      <x:c r="AO290" s="87" t="str">
        <x:f>IF(OR(U290="",V290=""),"",V290-U290)</x:f>
      </x:c>
      <x:c r="AP290" s="63" t="str">
        <x:f>IF(A290="","",IF(OR(B290="",H290="",N290=""),"Incompleto",IF(N290&lt;H290,"Revisar",IF(OR(G290="",G290="Não observado"),"Qualidade E0 ausente",IF(OR(G290="Sensor",G290="Marcação física"),"Válido — E0 observado",IF(G290="Cálculo","Válido — E0 calculado","Válido — E0 estimado"))))))</x:f>
      </x:c>
      <x:c r="AQ290" s="63" t="str">
        <x:f>IF(A290="","",IF(COUNTA(H290:T290)&lt;13,"Incompleta",IF(OR(I290&lt;H290,J290&lt;I290,K290&lt;J290,L290&lt;K290,M290&lt;L290,N290&lt;M290,O290&lt;N290,P290&lt;O290,Q290&lt;P290,R290&lt;Q290,S290&lt;R290,T290&lt;S290),"Revisar","Completa")))</x:f>
      </x:c>
      <x:c r="AR290" s="87" t="str">
        <x:f>IF(OR(V290="",W290="",Y290=""),"",Y290-(V290-W290))</x:f>
      </x:c>
      <x:c r="AS290" s="63" t="str">
        <x:f>IF(A290="","",IF(AND(E290&lt;&gt;"",F290&lt;&gt;"",G290&lt;&gt;"",Z290&lt;&gt;"",AA290&lt;&gt;"",AB290&lt;&gt;"",AC290&lt;&gt;""),"Completa","Incompleta"))</x:f>
      </x:c>
      <x:c r="AT290" s="63" t="str">
        <x:f>IF(A290="","",IF(COUNTIF($A$11:$A$410,A290)&gt;1,"ID duplicado",IF(AND(AR290&lt;&gt;"",ABS(AR290)&gt;0.01),"Revisar balanço",IF(AND(W290&lt;&gt;"",V290&lt;&gt;"",W290&gt;V290),"Retirada &gt; estoque",IF(AND(U290&lt;&gt;"",U290&lt;'Cenário Base'!$D$8*'Cenário Base'!$D$74),"E0 abaixo do gatilho",IF(AND(V290&lt;&gt;"",V290&gt;XLOOKUP(B290,$A$414:$A$418,$B$414:$B$418)),"Excedeu capacidade","Sem alerta"))))))</x:f>
      </x:c>
    </x:row>
    <x:row r="291">
      <x:c r="A291" s="43"/>
      <x:c r="B291" s="43"/>
      <x:c r="C291" s="43"/>
      <x:c r="D291" s="43"/>
      <x:c r="E291" s="43"/>
      <x:c r="F291" s="43"/>
      <x:c r="G291" s="43"/>
      <x:c r="H291" s="120"/>
      <x:c r="I291" s="120"/>
      <x:c r="J291" s="120"/>
      <x:c r="K291" s="120"/>
      <x:c r="L291" s="120"/>
      <x:c r="M291" s="120"/>
      <x:c r="N291" s="120"/>
      <x:c r="O291" s="120"/>
      <x:c r="P291" s="120"/>
      <x:c r="Q291" s="120"/>
      <x:c r="R291" s="120"/>
      <x:c r="S291" s="120"/>
      <x:c r="T291" s="120"/>
      <x:c r="U291" s="48"/>
      <x:c r="V291" s="48"/>
      <x:c r="W291" s="48"/>
      <x:c r="X291" s="48"/>
      <x:c r="Y291" s="48"/>
      <x:c r="Z291" s="49"/>
      <x:c r="AA291" s="43"/>
      <x:c r="AB291" s="43"/>
      <x:c r="AC291" s="43"/>
      <x:c r="AD291" s="43"/>
      <x:c r="AE291" s="43"/>
      <x:c r="AF291" s="87" t="str">
        <x:f>IF(OR(H291="",I291="",I291&lt;H291),"",(I291-H291)*1440)</x:f>
      </x:c>
      <x:c r="AG291" s="87" t="str">
        <x:f>IF(OR(I291="",M291="",M291&lt;I291),"",(M291-I291)*1440)</x:f>
      </x:c>
      <x:c r="AH291" s="87" t="str">
        <x:f>IF(OR(M291="",N291="",N291&lt;M291),"",(N291-M291)*1440)</x:f>
      </x:c>
      <x:c r="AI291" s="87" t="str">
        <x:f>IF(OR(H291="",N291="",N291&lt;H291),"",(N291-H291)*1440)</x:f>
      </x:c>
      <x:c r="AJ291" s="87" t="str">
        <x:f>IF(OR(I291="",N291="",N291&lt;I291),"",(N291-I291)*1440)</x:f>
      </x:c>
      <x:c r="AK291" s="87" t="str">
        <x:f>IF(OR(N291="",O291="",O291&lt;N291),"",(O291-N291)*1440)</x:f>
      </x:c>
      <x:c r="AL291" s="87" t="str">
        <x:f>IF(OR(O291="",P291="",P291&lt;O291),"",(P291-O291)*1440)</x:f>
      </x:c>
      <x:c r="AM291" s="87" t="str">
        <x:f>IF(OR(Q291="",R291="",R291&lt;Q291),"",(R291-Q291)*1440)</x:f>
      </x:c>
      <x:c r="AN291" s="87" t="str">
        <x:f>IF(OR(S291="",T291="",T291&lt;S291),"",(T291-S291)*1440)</x:f>
      </x:c>
      <x:c r="AO291" s="87" t="str">
        <x:f>IF(OR(U291="",V291=""),"",V291-U291)</x:f>
      </x:c>
      <x:c r="AP291" s="63" t="str">
        <x:f>IF(A291="","",IF(OR(B291="",H291="",N291=""),"Incompleto",IF(N291&lt;H291,"Revisar",IF(OR(G291="",G291="Não observado"),"Qualidade E0 ausente",IF(OR(G291="Sensor",G291="Marcação física"),"Válido — E0 observado",IF(G291="Cálculo","Válido — E0 calculado","Válido — E0 estimado"))))))</x:f>
      </x:c>
      <x:c r="AQ291" s="63" t="str">
        <x:f>IF(A291="","",IF(COUNTA(H291:T291)&lt;13,"Incompleta",IF(OR(I291&lt;H291,J291&lt;I291,K291&lt;J291,L291&lt;K291,M291&lt;L291,N291&lt;M291,O291&lt;N291,P291&lt;O291,Q291&lt;P291,R291&lt;Q291,S291&lt;R291,T291&lt;S291),"Revisar","Completa")))</x:f>
      </x:c>
      <x:c r="AR291" s="87" t="str">
        <x:f>IF(OR(V291="",W291="",Y291=""),"",Y291-(V291-W291))</x:f>
      </x:c>
      <x:c r="AS291" s="63" t="str">
        <x:f>IF(A291="","",IF(AND(E291&lt;&gt;"",F291&lt;&gt;"",G291&lt;&gt;"",Z291&lt;&gt;"",AA291&lt;&gt;"",AB291&lt;&gt;"",AC291&lt;&gt;""),"Completa","Incompleta"))</x:f>
      </x:c>
      <x:c r="AT291" s="63" t="str">
        <x:f>IF(A291="","",IF(COUNTIF($A$11:$A$410,A291)&gt;1,"ID duplicado",IF(AND(AR291&lt;&gt;"",ABS(AR291)&gt;0.01),"Revisar balanço",IF(AND(W291&lt;&gt;"",V291&lt;&gt;"",W291&gt;V291),"Retirada &gt; estoque",IF(AND(U291&lt;&gt;"",U291&lt;'Cenário Base'!$D$8*'Cenário Base'!$D$74),"E0 abaixo do gatilho",IF(AND(V291&lt;&gt;"",V291&gt;XLOOKUP(B291,$A$414:$A$418,$B$414:$B$418)),"Excedeu capacidade","Sem alerta"))))))</x:f>
      </x:c>
    </x:row>
    <x:row r="292">
      <x:c r="A292" s="43"/>
      <x:c r="B292" s="43"/>
      <x:c r="C292" s="43"/>
      <x:c r="D292" s="43"/>
      <x:c r="E292" s="43"/>
      <x:c r="F292" s="43"/>
      <x:c r="G292" s="43"/>
      <x:c r="H292" s="120"/>
      <x:c r="I292" s="120"/>
      <x:c r="J292" s="120"/>
      <x:c r="K292" s="120"/>
      <x:c r="L292" s="120"/>
      <x:c r="M292" s="120"/>
      <x:c r="N292" s="120"/>
      <x:c r="O292" s="120"/>
      <x:c r="P292" s="120"/>
      <x:c r="Q292" s="120"/>
      <x:c r="R292" s="120"/>
      <x:c r="S292" s="120"/>
      <x:c r="T292" s="120"/>
      <x:c r="U292" s="48"/>
      <x:c r="V292" s="48"/>
      <x:c r="W292" s="48"/>
      <x:c r="X292" s="48"/>
      <x:c r="Y292" s="48"/>
      <x:c r="Z292" s="49"/>
      <x:c r="AA292" s="43"/>
      <x:c r="AB292" s="43"/>
      <x:c r="AC292" s="43"/>
      <x:c r="AD292" s="43"/>
      <x:c r="AE292" s="43"/>
      <x:c r="AF292" s="87" t="str">
        <x:f>IF(OR(H292="",I292="",I292&lt;H292),"",(I292-H292)*1440)</x:f>
      </x:c>
      <x:c r="AG292" s="87" t="str">
        <x:f>IF(OR(I292="",M292="",M292&lt;I292),"",(M292-I292)*1440)</x:f>
      </x:c>
      <x:c r="AH292" s="87" t="str">
        <x:f>IF(OR(M292="",N292="",N292&lt;M292),"",(N292-M292)*1440)</x:f>
      </x:c>
      <x:c r="AI292" s="87" t="str">
        <x:f>IF(OR(H292="",N292="",N292&lt;H292),"",(N292-H292)*1440)</x:f>
      </x:c>
      <x:c r="AJ292" s="87" t="str">
        <x:f>IF(OR(I292="",N292="",N292&lt;I292),"",(N292-I292)*1440)</x:f>
      </x:c>
      <x:c r="AK292" s="87" t="str">
        <x:f>IF(OR(N292="",O292="",O292&lt;N292),"",(O292-N292)*1440)</x:f>
      </x:c>
      <x:c r="AL292" s="87" t="str">
        <x:f>IF(OR(O292="",P292="",P292&lt;O292),"",(P292-O292)*1440)</x:f>
      </x:c>
      <x:c r="AM292" s="87" t="str">
        <x:f>IF(OR(Q292="",R292="",R292&lt;Q292),"",(R292-Q292)*1440)</x:f>
      </x:c>
      <x:c r="AN292" s="87" t="str">
        <x:f>IF(OR(S292="",T292="",T292&lt;S292),"",(T292-S292)*1440)</x:f>
      </x:c>
      <x:c r="AO292" s="87" t="str">
        <x:f>IF(OR(U292="",V292=""),"",V292-U292)</x:f>
      </x:c>
      <x:c r="AP292" s="63" t="str">
        <x:f>IF(A292="","",IF(OR(B292="",H292="",N292=""),"Incompleto",IF(N292&lt;H292,"Revisar",IF(OR(G292="",G292="Não observado"),"Qualidade E0 ausente",IF(OR(G292="Sensor",G292="Marcação física"),"Válido — E0 observado",IF(G292="Cálculo","Válido — E0 calculado","Válido — E0 estimado"))))))</x:f>
      </x:c>
      <x:c r="AQ292" s="63" t="str">
        <x:f>IF(A292="","",IF(COUNTA(H292:T292)&lt;13,"Incompleta",IF(OR(I292&lt;H292,J292&lt;I292,K292&lt;J292,L292&lt;K292,M292&lt;L292,N292&lt;M292,O292&lt;N292,P292&lt;O292,Q292&lt;P292,R292&lt;Q292,S292&lt;R292,T292&lt;S292),"Revisar","Completa")))</x:f>
      </x:c>
      <x:c r="AR292" s="87" t="str">
        <x:f>IF(OR(V292="",W292="",Y292=""),"",Y292-(V292-W292))</x:f>
      </x:c>
      <x:c r="AS292" s="63" t="str">
        <x:f>IF(A292="","",IF(AND(E292&lt;&gt;"",F292&lt;&gt;"",G292&lt;&gt;"",Z292&lt;&gt;"",AA292&lt;&gt;"",AB292&lt;&gt;"",AC292&lt;&gt;""),"Completa","Incompleta"))</x:f>
      </x:c>
      <x:c r="AT292" s="63" t="str">
        <x:f>IF(A292="","",IF(COUNTIF($A$11:$A$410,A292)&gt;1,"ID duplicado",IF(AND(AR292&lt;&gt;"",ABS(AR292)&gt;0.01),"Revisar balanço",IF(AND(W292&lt;&gt;"",V292&lt;&gt;"",W292&gt;V292),"Retirada &gt; estoque",IF(AND(U292&lt;&gt;"",U292&lt;'Cenário Base'!$D$8*'Cenário Base'!$D$74),"E0 abaixo do gatilho",IF(AND(V292&lt;&gt;"",V292&gt;XLOOKUP(B292,$A$414:$A$418,$B$414:$B$418)),"Excedeu capacidade","Sem alerta"))))))</x:f>
      </x:c>
    </x:row>
    <x:row r="293">
      <x:c r="A293" s="43"/>
      <x:c r="B293" s="43"/>
      <x:c r="C293" s="43"/>
      <x:c r="D293" s="43"/>
      <x:c r="E293" s="43"/>
      <x:c r="F293" s="43"/>
      <x:c r="G293" s="43"/>
      <x:c r="H293" s="120"/>
      <x:c r="I293" s="120"/>
      <x:c r="J293" s="120"/>
      <x:c r="K293" s="120"/>
      <x:c r="L293" s="120"/>
      <x:c r="M293" s="120"/>
      <x:c r="N293" s="120"/>
      <x:c r="O293" s="120"/>
      <x:c r="P293" s="120"/>
      <x:c r="Q293" s="120"/>
      <x:c r="R293" s="120"/>
      <x:c r="S293" s="120"/>
      <x:c r="T293" s="120"/>
      <x:c r="U293" s="48"/>
      <x:c r="V293" s="48"/>
      <x:c r="W293" s="48"/>
      <x:c r="X293" s="48"/>
      <x:c r="Y293" s="48"/>
      <x:c r="Z293" s="49"/>
      <x:c r="AA293" s="43"/>
      <x:c r="AB293" s="43"/>
      <x:c r="AC293" s="43"/>
      <x:c r="AD293" s="43"/>
      <x:c r="AE293" s="43"/>
      <x:c r="AF293" s="87" t="str">
        <x:f>IF(OR(H293="",I293="",I293&lt;H293),"",(I293-H293)*1440)</x:f>
      </x:c>
      <x:c r="AG293" s="87" t="str">
        <x:f>IF(OR(I293="",M293="",M293&lt;I293),"",(M293-I293)*1440)</x:f>
      </x:c>
      <x:c r="AH293" s="87" t="str">
        <x:f>IF(OR(M293="",N293="",N293&lt;M293),"",(N293-M293)*1440)</x:f>
      </x:c>
      <x:c r="AI293" s="87" t="str">
        <x:f>IF(OR(H293="",N293="",N293&lt;H293),"",(N293-H293)*1440)</x:f>
      </x:c>
      <x:c r="AJ293" s="87" t="str">
        <x:f>IF(OR(I293="",N293="",N293&lt;I293),"",(N293-I293)*1440)</x:f>
      </x:c>
      <x:c r="AK293" s="87" t="str">
        <x:f>IF(OR(N293="",O293="",O293&lt;N293),"",(O293-N293)*1440)</x:f>
      </x:c>
      <x:c r="AL293" s="87" t="str">
        <x:f>IF(OR(O293="",P293="",P293&lt;O293),"",(P293-O293)*1440)</x:f>
      </x:c>
      <x:c r="AM293" s="87" t="str">
        <x:f>IF(OR(Q293="",R293="",R293&lt;Q293),"",(R293-Q293)*1440)</x:f>
      </x:c>
      <x:c r="AN293" s="87" t="str">
        <x:f>IF(OR(S293="",T293="",T293&lt;S293),"",(T293-S293)*1440)</x:f>
      </x:c>
      <x:c r="AO293" s="87" t="str">
        <x:f>IF(OR(U293="",V293=""),"",V293-U293)</x:f>
      </x:c>
      <x:c r="AP293" s="63" t="str">
        <x:f>IF(A293="","",IF(OR(B293="",H293="",N293=""),"Incompleto",IF(N293&lt;H293,"Revisar",IF(OR(G293="",G293="Não observado"),"Qualidade E0 ausente",IF(OR(G293="Sensor",G293="Marcação física"),"Válido — E0 observado",IF(G293="Cálculo","Válido — E0 calculado","Válido — E0 estimado"))))))</x:f>
      </x:c>
      <x:c r="AQ293" s="63" t="str">
        <x:f>IF(A293="","",IF(COUNTA(H293:T293)&lt;13,"Incompleta",IF(OR(I293&lt;H293,J293&lt;I293,K293&lt;J293,L293&lt;K293,M293&lt;L293,N293&lt;M293,O293&lt;N293,P293&lt;O293,Q293&lt;P293,R293&lt;Q293,S293&lt;R293,T293&lt;S293),"Revisar","Completa")))</x:f>
      </x:c>
      <x:c r="AR293" s="87" t="str">
        <x:f>IF(OR(V293="",W293="",Y293=""),"",Y293-(V293-W293))</x:f>
      </x:c>
      <x:c r="AS293" s="63" t="str">
        <x:f>IF(A293="","",IF(AND(E293&lt;&gt;"",F293&lt;&gt;"",G293&lt;&gt;"",Z293&lt;&gt;"",AA293&lt;&gt;"",AB293&lt;&gt;"",AC293&lt;&gt;""),"Completa","Incompleta"))</x:f>
      </x:c>
      <x:c r="AT293" s="63" t="str">
        <x:f>IF(A293="","",IF(COUNTIF($A$11:$A$410,A293)&gt;1,"ID duplicado",IF(AND(AR293&lt;&gt;"",ABS(AR293)&gt;0.01),"Revisar balanço",IF(AND(W293&lt;&gt;"",V293&lt;&gt;"",W293&gt;V293),"Retirada &gt; estoque",IF(AND(U293&lt;&gt;"",U293&lt;'Cenário Base'!$D$8*'Cenário Base'!$D$74),"E0 abaixo do gatilho",IF(AND(V293&lt;&gt;"",V293&gt;XLOOKUP(B293,$A$414:$A$418,$B$414:$B$418)),"Excedeu capacidade","Sem alerta"))))))</x:f>
      </x:c>
    </x:row>
    <x:row r="294">
      <x:c r="A294" s="43"/>
      <x:c r="B294" s="43"/>
      <x:c r="C294" s="43"/>
      <x:c r="D294" s="43"/>
      <x:c r="E294" s="43"/>
      <x:c r="F294" s="43"/>
      <x:c r="G294" s="43"/>
      <x:c r="H294" s="120"/>
      <x:c r="I294" s="120"/>
      <x:c r="J294" s="120"/>
      <x:c r="K294" s="120"/>
      <x:c r="L294" s="120"/>
      <x:c r="M294" s="120"/>
      <x:c r="N294" s="120"/>
      <x:c r="O294" s="120"/>
      <x:c r="P294" s="120"/>
      <x:c r="Q294" s="120"/>
      <x:c r="R294" s="120"/>
      <x:c r="S294" s="120"/>
      <x:c r="T294" s="120"/>
      <x:c r="U294" s="48"/>
      <x:c r="V294" s="48"/>
      <x:c r="W294" s="48"/>
      <x:c r="X294" s="48"/>
      <x:c r="Y294" s="48"/>
      <x:c r="Z294" s="49"/>
      <x:c r="AA294" s="43"/>
      <x:c r="AB294" s="43"/>
      <x:c r="AC294" s="43"/>
      <x:c r="AD294" s="43"/>
      <x:c r="AE294" s="43"/>
      <x:c r="AF294" s="87" t="str">
        <x:f>IF(OR(H294="",I294="",I294&lt;H294),"",(I294-H294)*1440)</x:f>
      </x:c>
      <x:c r="AG294" s="87" t="str">
        <x:f>IF(OR(I294="",M294="",M294&lt;I294),"",(M294-I294)*1440)</x:f>
      </x:c>
      <x:c r="AH294" s="87" t="str">
        <x:f>IF(OR(M294="",N294="",N294&lt;M294),"",(N294-M294)*1440)</x:f>
      </x:c>
      <x:c r="AI294" s="87" t="str">
        <x:f>IF(OR(H294="",N294="",N294&lt;H294),"",(N294-H294)*1440)</x:f>
      </x:c>
      <x:c r="AJ294" s="87" t="str">
        <x:f>IF(OR(I294="",N294="",N294&lt;I294),"",(N294-I294)*1440)</x:f>
      </x:c>
      <x:c r="AK294" s="87" t="str">
        <x:f>IF(OR(N294="",O294="",O294&lt;N294),"",(O294-N294)*1440)</x:f>
      </x:c>
      <x:c r="AL294" s="87" t="str">
        <x:f>IF(OR(O294="",P294="",P294&lt;O294),"",(P294-O294)*1440)</x:f>
      </x:c>
      <x:c r="AM294" s="87" t="str">
        <x:f>IF(OR(Q294="",R294="",R294&lt;Q294),"",(R294-Q294)*1440)</x:f>
      </x:c>
      <x:c r="AN294" s="87" t="str">
        <x:f>IF(OR(S294="",T294="",T294&lt;S294),"",(T294-S294)*1440)</x:f>
      </x:c>
      <x:c r="AO294" s="87" t="str">
        <x:f>IF(OR(U294="",V294=""),"",V294-U294)</x:f>
      </x:c>
      <x:c r="AP294" s="63" t="str">
        <x:f>IF(A294="","",IF(OR(B294="",H294="",N294=""),"Incompleto",IF(N294&lt;H294,"Revisar",IF(OR(G294="",G294="Não observado"),"Qualidade E0 ausente",IF(OR(G294="Sensor",G294="Marcação física"),"Válido — E0 observado",IF(G294="Cálculo","Válido — E0 calculado","Válido — E0 estimado"))))))</x:f>
      </x:c>
      <x:c r="AQ294" s="63" t="str">
        <x:f>IF(A294="","",IF(COUNTA(H294:T294)&lt;13,"Incompleta",IF(OR(I294&lt;H294,J294&lt;I294,K294&lt;J294,L294&lt;K294,M294&lt;L294,N294&lt;M294,O294&lt;N294,P294&lt;O294,Q294&lt;P294,R294&lt;Q294,S294&lt;R294,T294&lt;S294),"Revisar","Completa")))</x:f>
      </x:c>
      <x:c r="AR294" s="87" t="str">
        <x:f>IF(OR(V294="",W294="",Y294=""),"",Y294-(V294-W294))</x:f>
      </x:c>
      <x:c r="AS294" s="63" t="str">
        <x:f>IF(A294="","",IF(AND(E294&lt;&gt;"",F294&lt;&gt;"",G294&lt;&gt;"",Z294&lt;&gt;"",AA294&lt;&gt;"",AB294&lt;&gt;"",AC294&lt;&gt;""),"Completa","Incompleta"))</x:f>
      </x:c>
      <x:c r="AT294" s="63" t="str">
        <x:f>IF(A294="","",IF(COUNTIF($A$11:$A$410,A294)&gt;1,"ID duplicado",IF(AND(AR294&lt;&gt;"",ABS(AR294)&gt;0.01),"Revisar balanço",IF(AND(W294&lt;&gt;"",V294&lt;&gt;"",W294&gt;V294),"Retirada &gt; estoque",IF(AND(U294&lt;&gt;"",U294&lt;'Cenário Base'!$D$8*'Cenário Base'!$D$74),"E0 abaixo do gatilho",IF(AND(V294&lt;&gt;"",V294&gt;XLOOKUP(B294,$A$414:$A$418,$B$414:$B$418)),"Excedeu capacidade","Sem alerta"))))))</x:f>
      </x:c>
    </x:row>
    <x:row r="295">
      <x:c r="A295" s="43"/>
      <x:c r="B295" s="43"/>
      <x:c r="C295" s="43"/>
      <x:c r="D295" s="43"/>
      <x:c r="E295" s="43"/>
      <x:c r="F295" s="43"/>
      <x:c r="G295" s="43"/>
      <x:c r="H295" s="120"/>
      <x:c r="I295" s="120"/>
      <x:c r="J295" s="120"/>
      <x:c r="K295" s="120"/>
      <x:c r="L295" s="120"/>
      <x:c r="M295" s="120"/>
      <x:c r="N295" s="120"/>
      <x:c r="O295" s="120"/>
      <x:c r="P295" s="120"/>
      <x:c r="Q295" s="120"/>
      <x:c r="R295" s="120"/>
      <x:c r="S295" s="120"/>
      <x:c r="T295" s="120"/>
      <x:c r="U295" s="48"/>
      <x:c r="V295" s="48"/>
      <x:c r="W295" s="48"/>
      <x:c r="X295" s="48"/>
      <x:c r="Y295" s="48"/>
      <x:c r="Z295" s="49"/>
      <x:c r="AA295" s="43"/>
      <x:c r="AB295" s="43"/>
      <x:c r="AC295" s="43"/>
      <x:c r="AD295" s="43"/>
      <x:c r="AE295" s="43"/>
      <x:c r="AF295" s="87" t="str">
        <x:f>IF(OR(H295="",I295="",I295&lt;H295),"",(I295-H295)*1440)</x:f>
      </x:c>
      <x:c r="AG295" s="87" t="str">
        <x:f>IF(OR(I295="",M295="",M295&lt;I295),"",(M295-I295)*1440)</x:f>
      </x:c>
      <x:c r="AH295" s="87" t="str">
        <x:f>IF(OR(M295="",N295="",N295&lt;M295),"",(N295-M295)*1440)</x:f>
      </x:c>
      <x:c r="AI295" s="87" t="str">
        <x:f>IF(OR(H295="",N295="",N295&lt;H295),"",(N295-H295)*1440)</x:f>
      </x:c>
      <x:c r="AJ295" s="87" t="str">
        <x:f>IF(OR(I295="",N295="",N295&lt;I295),"",(N295-I295)*1440)</x:f>
      </x:c>
      <x:c r="AK295" s="87" t="str">
        <x:f>IF(OR(N295="",O295="",O295&lt;N295),"",(O295-N295)*1440)</x:f>
      </x:c>
      <x:c r="AL295" s="87" t="str">
        <x:f>IF(OR(O295="",P295="",P295&lt;O295),"",(P295-O295)*1440)</x:f>
      </x:c>
      <x:c r="AM295" s="87" t="str">
        <x:f>IF(OR(Q295="",R295="",R295&lt;Q295),"",(R295-Q295)*1440)</x:f>
      </x:c>
      <x:c r="AN295" s="87" t="str">
        <x:f>IF(OR(S295="",T295="",T295&lt;S295),"",(T295-S295)*1440)</x:f>
      </x:c>
      <x:c r="AO295" s="87" t="str">
        <x:f>IF(OR(U295="",V295=""),"",V295-U295)</x:f>
      </x:c>
      <x:c r="AP295" s="63" t="str">
        <x:f>IF(A295="","",IF(OR(B295="",H295="",N295=""),"Incompleto",IF(N295&lt;H295,"Revisar",IF(OR(G295="",G295="Não observado"),"Qualidade E0 ausente",IF(OR(G295="Sensor",G295="Marcação física"),"Válido — E0 observado",IF(G295="Cálculo","Válido — E0 calculado","Válido — E0 estimado"))))))</x:f>
      </x:c>
      <x:c r="AQ295" s="63" t="str">
        <x:f>IF(A295="","",IF(COUNTA(H295:T295)&lt;13,"Incompleta",IF(OR(I295&lt;H295,J295&lt;I295,K295&lt;J295,L295&lt;K295,M295&lt;L295,N295&lt;M295,O295&lt;N295,P295&lt;O295,Q295&lt;P295,R295&lt;Q295,S295&lt;R295,T295&lt;S295),"Revisar","Completa")))</x:f>
      </x:c>
      <x:c r="AR295" s="87" t="str">
        <x:f>IF(OR(V295="",W295="",Y295=""),"",Y295-(V295-W295))</x:f>
      </x:c>
      <x:c r="AS295" s="63" t="str">
        <x:f>IF(A295="","",IF(AND(E295&lt;&gt;"",F295&lt;&gt;"",G295&lt;&gt;"",Z295&lt;&gt;"",AA295&lt;&gt;"",AB295&lt;&gt;"",AC295&lt;&gt;""),"Completa","Incompleta"))</x:f>
      </x:c>
      <x:c r="AT295" s="63" t="str">
        <x:f>IF(A295="","",IF(COUNTIF($A$11:$A$410,A295)&gt;1,"ID duplicado",IF(AND(AR295&lt;&gt;"",ABS(AR295)&gt;0.01),"Revisar balanço",IF(AND(W295&lt;&gt;"",V295&lt;&gt;"",W295&gt;V295),"Retirada &gt; estoque",IF(AND(U295&lt;&gt;"",U295&lt;'Cenário Base'!$D$8*'Cenário Base'!$D$74),"E0 abaixo do gatilho",IF(AND(V295&lt;&gt;"",V295&gt;XLOOKUP(B295,$A$414:$A$418,$B$414:$B$418)),"Excedeu capacidade","Sem alerta"))))))</x:f>
      </x:c>
    </x:row>
    <x:row r="296">
      <x:c r="A296" s="43"/>
      <x:c r="B296" s="43"/>
      <x:c r="C296" s="43"/>
      <x:c r="D296" s="43"/>
      <x:c r="E296" s="43"/>
      <x:c r="F296" s="43"/>
      <x:c r="G296" s="43"/>
      <x:c r="H296" s="120"/>
      <x:c r="I296" s="120"/>
      <x:c r="J296" s="120"/>
      <x:c r="K296" s="120"/>
      <x:c r="L296" s="120"/>
      <x:c r="M296" s="120"/>
      <x:c r="N296" s="120"/>
      <x:c r="O296" s="120"/>
      <x:c r="P296" s="120"/>
      <x:c r="Q296" s="120"/>
      <x:c r="R296" s="120"/>
      <x:c r="S296" s="120"/>
      <x:c r="T296" s="120"/>
      <x:c r="U296" s="48"/>
      <x:c r="V296" s="48"/>
      <x:c r="W296" s="48"/>
      <x:c r="X296" s="48"/>
      <x:c r="Y296" s="48"/>
      <x:c r="Z296" s="49"/>
      <x:c r="AA296" s="43"/>
      <x:c r="AB296" s="43"/>
      <x:c r="AC296" s="43"/>
      <x:c r="AD296" s="43"/>
      <x:c r="AE296" s="43"/>
      <x:c r="AF296" s="87" t="str">
        <x:f>IF(OR(H296="",I296="",I296&lt;H296),"",(I296-H296)*1440)</x:f>
      </x:c>
      <x:c r="AG296" s="87" t="str">
        <x:f>IF(OR(I296="",M296="",M296&lt;I296),"",(M296-I296)*1440)</x:f>
      </x:c>
      <x:c r="AH296" s="87" t="str">
        <x:f>IF(OR(M296="",N296="",N296&lt;M296),"",(N296-M296)*1440)</x:f>
      </x:c>
      <x:c r="AI296" s="87" t="str">
        <x:f>IF(OR(H296="",N296="",N296&lt;H296),"",(N296-H296)*1440)</x:f>
      </x:c>
      <x:c r="AJ296" s="87" t="str">
        <x:f>IF(OR(I296="",N296="",N296&lt;I296),"",(N296-I296)*1440)</x:f>
      </x:c>
      <x:c r="AK296" s="87" t="str">
        <x:f>IF(OR(N296="",O296="",O296&lt;N296),"",(O296-N296)*1440)</x:f>
      </x:c>
      <x:c r="AL296" s="87" t="str">
        <x:f>IF(OR(O296="",P296="",P296&lt;O296),"",(P296-O296)*1440)</x:f>
      </x:c>
      <x:c r="AM296" s="87" t="str">
        <x:f>IF(OR(Q296="",R296="",R296&lt;Q296),"",(R296-Q296)*1440)</x:f>
      </x:c>
      <x:c r="AN296" s="87" t="str">
        <x:f>IF(OR(S296="",T296="",T296&lt;S296),"",(T296-S296)*1440)</x:f>
      </x:c>
      <x:c r="AO296" s="87" t="str">
        <x:f>IF(OR(U296="",V296=""),"",V296-U296)</x:f>
      </x:c>
      <x:c r="AP296" s="63" t="str">
        <x:f>IF(A296="","",IF(OR(B296="",H296="",N296=""),"Incompleto",IF(N296&lt;H296,"Revisar",IF(OR(G296="",G296="Não observado"),"Qualidade E0 ausente",IF(OR(G296="Sensor",G296="Marcação física"),"Válido — E0 observado",IF(G296="Cálculo","Válido — E0 calculado","Válido — E0 estimado"))))))</x:f>
      </x:c>
      <x:c r="AQ296" s="63" t="str">
        <x:f>IF(A296="","",IF(COUNTA(H296:T296)&lt;13,"Incompleta",IF(OR(I296&lt;H296,J296&lt;I296,K296&lt;J296,L296&lt;K296,M296&lt;L296,N296&lt;M296,O296&lt;N296,P296&lt;O296,Q296&lt;P296,R296&lt;Q296,S296&lt;R296,T296&lt;S296),"Revisar","Completa")))</x:f>
      </x:c>
      <x:c r="AR296" s="87" t="str">
        <x:f>IF(OR(V296="",W296="",Y296=""),"",Y296-(V296-W296))</x:f>
      </x:c>
      <x:c r="AS296" s="63" t="str">
        <x:f>IF(A296="","",IF(AND(E296&lt;&gt;"",F296&lt;&gt;"",G296&lt;&gt;"",Z296&lt;&gt;"",AA296&lt;&gt;"",AB296&lt;&gt;"",AC296&lt;&gt;""),"Completa","Incompleta"))</x:f>
      </x:c>
      <x:c r="AT296" s="63" t="str">
        <x:f>IF(A296="","",IF(COUNTIF($A$11:$A$410,A296)&gt;1,"ID duplicado",IF(AND(AR296&lt;&gt;"",ABS(AR296)&gt;0.01),"Revisar balanço",IF(AND(W296&lt;&gt;"",V296&lt;&gt;"",W296&gt;V296),"Retirada &gt; estoque",IF(AND(U296&lt;&gt;"",U296&lt;'Cenário Base'!$D$8*'Cenário Base'!$D$74),"E0 abaixo do gatilho",IF(AND(V296&lt;&gt;"",V296&gt;XLOOKUP(B296,$A$414:$A$418,$B$414:$B$418)),"Excedeu capacidade","Sem alerta"))))))</x:f>
      </x:c>
    </x:row>
    <x:row r="297">
      <x:c r="A297" s="43"/>
      <x:c r="B297" s="43"/>
      <x:c r="C297" s="43"/>
      <x:c r="D297" s="43"/>
      <x:c r="E297" s="43"/>
      <x:c r="F297" s="43"/>
      <x:c r="G297" s="43"/>
      <x:c r="H297" s="120"/>
      <x:c r="I297" s="120"/>
      <x:c r="J297" s="120"/>
      <x:c r="K297" s="120"/>
      <x:c r="L297" s="120"/>
      <x:c r="M297" s="120"/>
      <x:c r="N297" s="120"/>
      <x:c r="O297" s="120"/>
      <x:c r="P297" s="120"/>
      <x:c r="Q297" s="120"/>
      <x:c r="R297" s="120"/>
      <x:c r="S297" s="120"/>
      <x:c r="T297" s="120"/>
      <x:c r="U297" s="48"/>
      <x:c r="V297" s="48"/>
      <x:c r="W297" s="48"/>
      <x:c r="X297" s="48"/>
      <x:c r="Y297" s="48"/>
      <x:c r="Z297" s="49"/>
      <x:c r="AA297" s="43"/>
      <x:c r="AB297" s="43"/>
      <x:c r="AC297" s="43"/>
      <x:c r="AD297" s="43"/>
      <x:c r="AE297" s="43"/>
      <x:c r="AF297" s="87" t="str">
        <x:f>IF(OR(H297="",I297="",I297&lt;H297),"",(I297-H297)*1440)</x:f>
      </x:c>
      <x:c r="AG297" s="87" t="str">
        <x:f>IF(OR(I297="",M297="",M297&lt;I297),"",(M297-I297)*1440)</x:f>
      </x:c>
      <x:c r="AH297" s="87" t="str">
        <x:f>IF(OR(M297="",N297="",N297&lt;M297),"",(N297-M297)*1440)</x:f>
      </x:c>
      <x:c r="AI297" s="87" t="str">
        <x:f>IF(OR(H297="",N297="",N297&lt;H297),"",(N297-H297)*1440)</x:f>
      </x:c>
      <x:c r="AJ297" s="87" t="str">
        <x:f>IF(OR(I297="",N297="",N297&lt;I297),"",(N297-I297)*1440)</x:f>
      </x:c>
      <x:c r="AK297" s="87" t="str">
        <x:f>IF(OR(N297="",O297="",O297&lt;N297),"",(O297-N297)*1440)</x:f>
      </x:c>
      <x:c r="AL297" s="87" t="str">
        <x:f>IF(OR(O297="",P297="",P297&lt;O297),"",(P297-O297)*1440)</x:f>
      </x:c>
      <x:c r="AM297" s="87" t="str">
        <x:f>IF(OR(Q297="",R297="",R297&lt;Q297),"",(R297-Q297)*1440)</x:f>
      </x:c>
      <x:c r="AN297" s="87" t="str">
        <x:f>IF(OR(S297="",T297="",T297&lt;S297),"",(T297-S297)*1440)</x:f>
      </x:c>
      <x:c r="AO297" s="87" t="str">
        <x:f>IF(OR(U297="",V297=""),"",V297-U297)</x:f>
      </x:c>
      <x:c r="AP297" s="63" t="str">
        <x:f>IF(A297="","",IF(OR(B297="",H297="",N297=""),"Incompleto",IF(N297&lt;H297,"Revisar",IF(OR(G297="",G297="Não observado"),"Qualidade E0 ausente",IF(OR(G297="Sensor",G297="Marcação física"),"Válido — E0 observado",IF(G297="Cálculo","Válido — E0 calculado","Válido — E0 estimado"))))))</x:f>
      </x:c>
      <x:c r="AQ297" s="63" t="str">
        <x:f>IF(A297="","",IF(COUNTA(H297:T297)&lt;13,"Incompleta",IF(OR(I297&lt;H297,J297&lt;I297,K297&lt;J297,L297&lt;K297,M297&lt;L297,N297&lt;M297,O297&lt;N297,P297&lt;O297,Q297&lt;P297,R297&lt;Q297,S297&lt;R297,T297&lt;S297),"Revisar","Completa")))</x:f>
      </x:c>
      <x:c r="AR297" s="87" t="str">
        <x:f>IF(OR(V297="",W297="",Y297=""),"",Y297-(V297-W297))</x:f>
      </x:c>
      <x:c r="AS297" s="63" t="str">
        <x:f>IF(A297="","",IF(AND(E297&lt;&gt;"",F297&lt;&gt;"",G297&lt;&gt;"",Z297&lt;&gt;"",AA297&lt;&gt;"",AB297&lt;&gt;"",AC297&lt;&gt;""),"Completa","Incompleta"))</x:f>
      </x:c>
      <x:c r="AT297" s="63" t="str">
        <x:f>IF(A297="","",IF(COUNTIF($A$11:$A$410,A297)&gt;1,"ID duplicado",IF(AND(AR297&lt;&gt;"",ABS(AR297)&gt;0.01),"Revisar balanço",IF(AND(W297&lt;&gt;"",V297&lt;&gt;"",W297&gt;V297),"Retirada &gt; estoque",IF(AND(U297&lt;&gt;"",U297&lt;'Cenário Base'!$D$8*'Cenário Base'!$D$74),"E0 abaixo do gatilho",IF(AND(V297&lt;&gt;"",V297&gt;XLOOKUP(B297,$A$414:$A$418,$B$414:$B$418)),"Excedeu capacidade","Sem alerta"))))))</x:f>
      </x:c>
    </x:row>
    <x:row r="298">
      <x:c r="A298" s="43"/>
      <x:c r="B298" s="43"/>
      <x:c r="C298" s="43"/>
      <x:c r="D298" s="43"/>
      <x:c r="E298" s="43"/>
      <x:c r="F298" s="43"/>
      <x:c r="G298" s="43"/>
      <x:c r="H298" s="120"/>
      <x:c r="I298" s="120"/>
      <x:c r="J298" s="120"/>
      <x:c r="K298" s="120"/>
      <x:c r="L298" s="120"/>
      <x:c r="M298" s="120"/>
      <x:c r="N298" s="120"/>
      <x:c r="O298" s="120"/>
      <x:c r="P298" s="120"/>
      <x:c r="Q298" s="120"/>
      <x:c r="R298" s="120"/>
      <x:c r="S298" s="120"/>
      <x:c r="T298" s="120"/>
      <x:c r="U298" s="48"/>
      <x:c r="V298" s="48"/>
      <x:c r="W298" s="48"/>
      <x:c r="X298" s="48"/>
      <x:c r="Y298" s="48"/>
      <x:c r="Z298" s="49"/>
      <x:c r="AA298" s="43"/>
      <x:c r="AB298" s="43"/>
      <x:c r="AC298" s="43"/>
      <x:c r="AD298" s="43"/>
      <x:c r="AE298" s="43"/>
      <x:c r="AF298" s="87" t="str">
        <x:f>IF(OR(H298="",I298="",I298&lt;H298),"",(I298-H298)*1440)</x:f>
      </x:c>
      <x:c r="AG298" s="87" t="str">
        <x:f>IF(OR(I298="",M298="",M298&lt;I298),"",(M298-I298)*1440)</x:f>
      </x:c>
      <x:c r="AH298" s="87" t="str">
        <x:f>IF(OR(M298="",N298="",N298&lt;M298),"",(N298-M298)*1440)</x:f>
      </x:c>
      <x:c r="AI298" s="87" t="str">
        <x:f>IF(OR(H298="",N298="",N298&lt;H298),"",(N298-H298)*1440)</x:f>
      </x:c>
      <x:c r="AJ298" s="87" t="str">
        <x:f>IF(OR(I298="",N298="",N298&lt;I298),"",(N298-I298)*1440)</x:f>
      </x:c>
      <x:c r="AK298" s="87" t="str">
        <x:f>IF(OR(N298="",O298="",O298&lt;N298),"",(O298-N298)*1440)</x:f>
      </x:c>
      <x:c r="AL298" s="87" t="str">
        <x:f>IF(OR(O298="",P298="",P298&lt;O298),"",(P298-O298)*1440)</x:f>
      </x:c>
      <x:c r="AM298" s="87" t="str">
        <x:f>IF(OR(Q298="",R298="",R298&lt;Q298),"",(R298-Q298)*1440)</x:f>
      </x:c>
      <x:c r="AN298" s="87" t="str">
        <x:f>IF(OR(S298="",T298="",T298&lt;S298),"",(T298-S298)*1440)</x:f>
      </x:c>
      <x:c r="AO298" s="87" t="str">
        <x:f>IF(OR(U298="",V298=""),"",V298-U298)</x:f>
      </x:c>
      <x:c r="AP298" s="63" t="str">
        <x:f>IF(A298="","",IF(OR(B298="",H298="",N298=""),"Incompleto",IF(N298&lt;H298,"Revisar",IF(OR(G298="",G298="Não observado"),"Qualidade E0 ausente",IF(OR(G298="Sensor",G298="Marcação física"),"Válido — E0 observado",IF(G298="Cálculo","Válido — E0 calculado","Válido — E0 estimado"))))))</x:f>
      </x:c>
      <x:c r="AQ298" s="63" t="str">
        <x:f>IF(A298="","",IF(COUNTA(H298:T298)&lt;13,"Incompleta",IF(OR(I298&lt;H298,J298&lt;I298,K298&lt;J298,L298&lt;K298,M298&lt;L298,N298&lt;M298,O298&lt;N298,P298&lt;O298,Q298&lt;P298,R298&lt;Q298,S298&lt;R298,T298&lt;S298),"Revisar","Completa")))</x:f>
      </x:c>
      <x:c r="AR298" s="87" t="str">
        <x:f>IF(OR(V298="",W298="",Y298=""),"",Y298-(V298-W298))</x:f>
      </x:c>
      <x:c r="AS298" s="63" t="str">
        <x:f>IF(A298="","",IF(AND(E298&lt;&gt;"",F298&lt;&gt;"",G298&lt;&gt;"",Z298&lt;&gt;"",AA298&lt;&gt;"",AB298&lt;&gt;"",AC298&lt;&gt;""),"Completa","Incompleta"))</x:f>
      </x:c>
      <x:c r="AT298" s="63" t="str">
        <x:f>IF(A298="","",IF(COUNTIF($A$11:$A$410,A298)&gt;1,"ID duplicado",IF(AND(AR298&lt;&gt;"",ABS(AR298)&gt;0.01),"Revisar balanço",IF(AND(W298&lt;&gt;"",V298&lt;&gt;"",W298&gt;V298),"Retirada &gt; estoque",IF(AND(U298&lt;&gt;"",U298&lt;'Cenário Base'!$D$8*'Cenário Base'!$D$74),"E0 abaixo do gatilho",IF(AND(V298&lt;&gt;"",V298&gt;XLOOKUP(B298,$A$414:$A$418,$B$414:$B$418)),"Excedeu capacidade","Sem alerta"))))))</x:f>
      </x:c>
    </x:row>
    <x:row r="299">
      <x:c r="A299" s="43"/>
      <x:c r="B299" s="43"/>
      <x:c r="C299" s="43"/>
      <x:c r="D299" s="43"/>
      <x:c r="E299" s="43"/>
      <x:c r="F299" s="43"/>
      <x:c r="G299" s="43"/>
      <x:c r="H299" s="120"/>
      <x:c r="I299" s="120"/>
      <x:c r="J299" s="120"/>
      <x:c r="K299" s="120"/>
      <x:c r="L299" s="120"/>
      <x:c r="M299" s="120"/>
      <x:c r="N299" s="120"/>
      <x:c r="O299" s="120"/>
      <x:c r="P299" s="120"/>
      <x:c r="Q299" s="120"/>
      <x:c r="R299" s="120"/>
      <x:c r="S299" s="120"/>
      <x:c r="T299" s="120"/>
      <x:c r="U299" s="48"/>
      <x:c r="V299" s="48"/>
      <x:c r="W299" s="48"/>
      <x:c r="X299" s="48"/>
      <x:c r="Y299" s="48"/>
      <x:c r="Z299" s="49"/>
      <x:c r="AA299" s="43"/>
      <x:c r="AB299" s="43"/>
      <x:c r="AC299" s="43"/>
      <x:c r="AD299" s="43"/>
      <x:c r="AE299" s="43"/>
      <x:c r="AF299" s="87" t="str">
        <x:f>IF(OR(H299="",I299="",I299&lt;H299),"",(I299-H299)*1440)</x:f>
      </x:c>
      <x:c r="AG299" s="87" t="str">
        <x:f>IF(OR(I299="",M299="",M299&lt;I299),"",(M299-I299)*1440)</x:f>
      </x:c>
      <x:c r="AH299" s="87" t="str">
        <x:f>IF(OR(M299="",N299="",N299&lt;M299),"",(N299-M299)*1440)</x:f>
      </x:c>
      <x:c r="AI299" s="87" t="str">
        <x:f>IF(OR(H299="",N299="",N299&lt;H299),"",(N299-H299)*1440)</x:f>
      </x:c>
      <x:c r="AJ299" s="87" t="str">
        <x:f>IF(OR(I299="",N299="",N299&lt;I299),"",(N299-I299)*1440)</x:f>
      </x:c>
      <x:c r="AK299" s="87" t="str">
        <x:f>IF(OR(N299="",O299="",O299&lt;N299),"",(O299-N299)*1440)</x:f>
      </x:c>
      <x:c r="AL299" s="87" t="str">
        <x:f>IF(OR(O299="",P299="",P299&lt;O299),"",(P299-O299)*1440)</x:f>
      </x:c>
      <x:c r="AM299" s="87" t="str">
        <x:f>IF(OR(Q299="",R299="",R299&lt;Q299),"",(R299-Q299)*1440)</x:f>
      </x:c>
      <x:c r="AN299" s="87" t="str">
        <x:f>IF(OR(S299="",T299="",T299&lt;S299),"",(T299-S299)*1440)</x:f>
      </x:c>
      <x:c r="AO299" s="87" t="str">
        <x:f>IF(OR(U299="",V299=""),"",V299-U299)</x:f>
      </x:c>
      <x:c r="AP299" s="63" t="str">
        <x:f>IF(A299="","",IF(OR(B299="",H299="",N299=""),"Incompleto",IF(N299&lt;H299,"Revisar",IF(OR(G299="",G299="Não observado"),"Qualidade E0 ausente",IF(OR(G299="Sensor",G299="Marcação física"),"Válido — E0 observado",IF(G299="Cálculo","Válido — E0 calculado","Válido — E0 estimado"))))))</x:f>
      </x:c>
      <x:c r="AQ299" s="63" t="str">
        <x:f>IF(A299="","",IF(COUNTA(H299:T299)&lt;13,"Incompleta",IF(OR(I299&lt;H299,J299&lt;I299,K299&lt;J299,L299&lt;K299,M299&lt;L299,N299&lt;M299,O299&lt;N299,P299&lt;O299,Q299&lt;P299,R299&lt;Q299,S299&lt;R299,T299&lt;S299),"Revisar","Completa")))</x:f>
      </x:c>
      <x:c r="AR299" s="87" t="str">
        <x:f>IF(OR(V299="",W299="",Y299=""),"",Y299-(V299-W299))</x:f>
      </x:c>
      <x:c r="AS299" s="63" t="str">
        <x:f>IF(A299="","",IF(AND(E299&lt;&gt;"",F299&lt;&gt;"",G299&lt;&gt;"",Z299&lt;&gt;"",AA299&lt;&gt;"",AB299&lt;&gt;"",AC299&lt;&gt;""),"Completa","Incompleta"))</x:f>
      </x:c>
      <x:c r="AT299" s="63" t="str">
        <x:f>IF(A299="","",IF(COUNTIF($A$11:$A$410,A299)&gt;1,"ID duplicado",IF(AND(AR299&lt;&gt;"",ABS(AR299)&gt;0.01),"Revisar balanço",IF(AND(W299&lt;&gt;"",V299&lt;&gt;"",W299&gt;V299),"Retirada &gt; estoque",IF(AND(U299&lt;&gt;"",U299&lt;'Cenário Base'!$D$8*'Cenário Base'!$D$74),"E0 abaixo do gatilho",IF(AND(V299&lt;&gt;"",V299&gt;XLOOKUP(B299,$A$414:$A$418,$B$414:$B$418)),"Excedeu capacidade","Sem alerta"))))))</x:f>
      </x:c>
    </x:row>
    <x:row r="300">
      <x:c r="A300" s="43"/>
      <x:c r="B300" s="43"/>
      <x:c r="C300" s="43"/>
      <x:c r="D300" s="43"/>
      <x:c r="E300" s="43"/>
      <x:c r="F300" s="43"/>
      <x:c r="G300" s="43"/>
      <x:c r="H300" s="120"/>
      <x:c r="I300" s="120"/>
      <x:c r="J300" s="120"/>
      <x:c r="K300" s="120"/>
      <x:c r="L300" s="120"/>
      <x:c r="M300" s="120"/>
      <x:c r="N300" s="120"/>
      <x:c r="O300" s="120"/>
      <x:c r="P300" s="120"/>
      <x:c r="Q300" s="120"/>
      <x:c r="R300" s="120"/>
      <x:c r="S300" s="120"/>
      <x:c r="T300" s="120"/>
      <x:c r="U300" s="48"/>
      <x:c r="V300" s="48"/>
      <x:c r="W300" s="48"/>
      <x:c r="X300" s="48"/>
      <x:c r="Y300" s="48"/>
      <x:c r="Z300" s="49"/>
      <x:c r="AA300" s="43"/>
      <x:c r="AB300" s="43"/>
      <x:c r="AC300" s="43"/>
      <x:c r="AD300" s="43"/>
      <x:c r="AE300" s="43"/>
      <x:c r="AF300" s="87" t="str">
        <x:f>IF(OR(H300="",I300="",I300&lt;H300),"",(I300-H300)*1440)</x:f>
      </x:c>
      <x:c r="AG300" s="87" t="str">
        <x:f>IF(OR(I300="",M300="",M300&lt;I300),"",(M300-I300)*1440)</x:f>
      </x:c>
      <x:c r="AH300" s="87" t="str">
        <x:f>IF(OR(M300="",N300="",N300&lt;M300),"",(N300-M300)*1440)</x:f>
      </x:c>
      <x:c r="AI300" s="87" t="str">
        <x:f>IF(OR(H300="",N300="",N300&lt;H300),"",(N300-H300)*1440)</x:f>
      </x:c>
      <x:c r="AJ300" s="87" t="str">
        <x:f>IF(OR(I300="",N300="",N300&lt;I300),"",(N300-I300)*1440)</x:f>
      </x:c>
      <x:c r="AK300" s="87" t="str">
        <x:f>IF(OR(N300="",O300="",O300&lt;N300),"",(O300-N300)*1440)</x:f>
      </x:c>
      <x:c r="AL300" s="87" t="str">
        <x:f>IF(OR(O300="",P300="",P300&lt;O300),"",(P300-O300)*1440)</x:f>
      </x:c>
      <x:c r="AM300" s="87" t="str">
        <x:f>IF(OR(Q300="",R300="",R300&lt;Q300),"",(R300-Q300)*1440)</x:f>
      </x:c>
      <x:c r="AN300" s="87" t="str">
        <x:f>IF(OR(S300="",T300="",T300&lt;S300),"",(T300-S300)*1440)</x:f>
      </x:c>
      <x:c r="AO300" s="87" t="str">
        <x:f>IF(OR(U300="",V300=""),"",V300-U300)</x:f>
      </x:c>
      <x:c r="AP300" s="63" t="str">
        <x:f>IF(A300="","",IF(OR(B300="",H300="",N300=""),"Incompleto",IF(N300&lt;H300,"Revisar",IF(OR(G300="",G300="Não observado"),"Qualidade E0 ausente",IF(OR(G300="Sensor",G300="Marcação física"),"Válido — E0 observado",IF(G300="Cálculo","Válido — E0 calculado","Válido — E0 estimado"))))))</x:f>
      </x:c>
      <x:c r="AQ300" s="63" t="str">
        <x:f>IF(A300="","",IF(COUNTA(H300:T300)&lt;13,"Incompleta",IF(OR(I300&lt;H300,J300&lt;I300,K300&lt;J300,L300&lt;K300,M300&lt;L300,N300&lt;M300,O300&lt;N300,P300&lt;O300,Q300&lt;P300,R300&lt;Q300,S300&lt;R300,T300&lt;S300),"Revisar","Completa")))</x:f>
      </x:c>
      <x:c r="AR300" s="87" t="str">
        <x:f>IF(OR(V300="",W300="",Y300=""),"",Y300-(V300-W300))</x:f>
      </x:c>
      <x:c r="AS300" s="63" t="str">
        <x:f>IF(A300="","",IF(AND(E300&lt;&gt;"",F300&lt;&gt;"",G300&lt;&gt;"",Z300&lt;&gt;"",AA300&lt;&gt;"",AB300&lt;&gt;"",AC300&lt;&gt;""),"Completa","Incompleta"))</x:f>
      </x:c>
      <x:c r="AT300" s="63" t="str">
        <x:f>IF(A300="","",IF(COUNTIF($A$11:$A$410,A300)&gt;1,"ID duplicado",IF(AND(AR300&lt;&gt;"",ABS(AR300)&gt;0.01),"Revisar balanço",IF(AND(W300&lt;&gt;"",V300&lt;&gt;"",W300&gt;V300),"Retirada &gt; estoque",IF(AND(U300&lt;&gt;"",U300&lt;'Cenário Base'!$D$8*'Cenário Base'!$D$74),"E0 abaixo do gatilho",IF(AND(V300&lt;&gt;"",V300&gt;XLOOKUP(B300,$A$414:$A$418,$B$414:$B$418)),"Excedeu capacidade","Sem alerta"))))))</x:f>
      </x:c>
    </x:row>
    <x:row r="301">
      <x:c r="A301" s="43"/>
      <x:c r="B301" s="43"/>
      <x:c r="C301" s="43"/>
      <x:c r="D301" s="43"/>
      <x:c r="E301" s="43"/>
      <x:c r="F301" s="43"/>
      <x:c r="G301" s="43"/>
      <x:c r="H301" s="120"/>
      <x:c r="I301" s="120"/>
      <x:c r="J301" s="120"/>
      <x:c r="K301" s="120"/>
      <x:c r="L301" s="120"/>
      <x:c r="M301" s="120"/>
      <x:c r="N301" s="120"/>
      <x:c r="O301" s="120"/>
      <x:c r="P301" s="120"/>
      <x:c r="Q301" s="120"/>
      <x:c r="R301" s="120"/>
      <x:c r="S301" s="120"/>
      <x:c r="T301" s="120"/>
      <x:c r="U301" s="48"/>
      <x:c r="V301" s="48"/>
      <x:c r="W301" s="48"/>
      <x:c r="X301" s="48"/>
      <x:c r="Y301" s="48"/>
      <x:c r="Z301" s="49"/>
      <x:c r="AA301" s="43"/>
      <x:c r="AB301" s="43"/>
      <x:c r="AC301" s="43"/>
      <x:c r="AD301" s="43"/>
      <x:c r="AE301" s="43"/>
      <x:c r="AF301" s="87" t="str">
        <x:f>IF(OR(H301="",I301="",I301&lt;H301),"",(I301-H301)*1440)</x:f>
      </x:c>
      <x:c r="AG301" s="87" t="str">
        <x:f>IF(OR(I301="",M301="",M301&lt;I301),"",(M301-I301)*1440)</x:f>
      </x:c>
      <x:c r="AH301" s="87" t="str">
        <x:f>IF(OR(M301="",N301="",N301&lt;M301),"",(N301-M301)*1440)</x:f>
      </x:c>
      <x:c r="AI301" s="87" t="str">
        <x:f>IF(OR(H301="",N301="",N301&lt;H301),"",(N301-H301)*1440)</x:f>
      </x:c>
      <x:c r="AJ301" s="87" t="str">
        <x:f>IF(OR(I301="",N301="",N301&lt;I301),"",(N301-I301)*1440)</x:f>
      </x:c>
      <x:c r="AK301" s="87" t="str">
        <x:f>IF(OR(N301="",O301="",O301&lt;N301),"",(O301-N301)*1440)</x:f>
      </x:c>
      <x:c r="AL301" s="87" t="str">
        <x:f>IF(OR(O301="",P301="",P301&lt;O301),"",(P301-O301)*1440)</x:f>
      </x:c>
      <x:c r="AM301" s="87" t="str">
        <x:f>IF(OR(Q301="",R301="",R301&lt;Q301),"",(R301-Q301)*1440)</x:f>
      </x:c>
      <x:c r="AN301" s="87" t="str">
        <x:f>IF(OR(S301="",T301="",T301&lt;S301),"",(T301-S301)*1440)</x:f>
      </x:c>
      <x:c r="AO301" s="87" t="str">
        <x:f>IF(OR(U301="",V301=""),"",V301-U301)</x:f>
      </x:c>
      <x:c r="AP301" s="63" t="str">
        <x:f>IF(A301="","",IF(OR(B301="",H301="",N301=""),"Incompleto",IF(N301&lt;H301,"Revisar",IF(OR(G301="",G301="Não observado"),"Qualidade E0 ausente",IF(OR(G301="Sensor",G301="Marcação física"),"Válido — E0 observado",IF(G301="Cálculo","Válido — E0 calculado","Válido — E0 estimado"))))))</x:f>
      </x:c>
      <x:c r="AQ301" s="63" t="str">
        <x:f>IF(A301="","",IF(COUNTA(H301:T301)&lt;13,"Incompleta",IF(OR(I301&lt;H301,J301&lt;I301,K301&lt;J301,L301&lt;K301,M301&lt;L301,N301&lt;M301,O301&lt;N301,P301&lt;O301,Q301&lt;P301,R301&lt;Q301,S301&lt;R301,T301&lt;S301),"Revisar","Completa")))</x:f>
      </x:c>
      <x:c r="AR301" s="87" t="str">
        <x:f>IF(OR(V301="",W301="",Y301=""),"",Y301-(V301-W301))</x:f>
      </x:c>
      <x:c r="AS301" s="63" t="str">
        <x:f>IF(A301="","",IF(AND(E301&lt;&gt;"",F301&lt;&gt;"",G301&lt;&gt;"",Z301&lt;&gt;"",AA301&lt;&gt;"",AB301&lt;&gt;"",AC301&lt;&gt;""),"Completa","Incompleta"))</x:f>
      </x:c>
      <x:c r="AT301" s="63" t="str">
        <x:f>IF(A301="","",IF(COUNTIF($A$11:$A$410,A301)&gt;1,"ID duplicado",IF(AND(AR301&lt;&gt;"",ABS(AR301)&gt;0.01),"Revisar balanço",IF(AND(W301&lt;&gt;"",V301&lt;&gt;"",W301&gt;V301),"Retirada &gt; estoque",IF(AND(U301&lt;&gt;"",U301&lt;'Cenário Base'!$D$8*'Cenário Base'!$D$74),"E0 abaixo do gatilho",IF(AND(V301&lt;&gt;"",V301&gt;XLOOKUP(B301,$A$414:$A$418,$B$414:$B$418)),"Excedeu capacidade","Sem alerta"))))))</x:f>
      </x:c>
    </x:row>
    <x:row r="302">
      <x:c r="A302" s="43"/>
      <x:c r="B302" s="43"/>
      <x:c r="C302" s="43"/>
      <x:c r="D302" s="43"/>
      <x:c r="E302" s="43"/>
      <x:c r="F302" s="43"/>
      <x:c r="G302" s="43"/>
      <x:c r="H302" s="120"/>
      <x:c r="I302" s="120"/>
      <x:c r="J302" s="120"/>
      <x:c r="K302" s="120"/>
      <x:c r="L302" s="120"/>
      <x:c r="M302" s="120"/>
      <x:c r="N302" s="120"/>
      <x:c r="O302" s="120"/>
      <x:c r="P302" s="120"/>
      <x:c r="Q302" s="120"/>
      <x:c r="R302" s="120"/>
      <x:c r="S302" s="120"/>
      <x:c r="T302" s="120"/>
      <x:c r="U302" s="48"/>
      <x:c r="V302" s="48"/>
      <x:c r="W302" s="48"/>
      <x:c r="X302" s="48"/>
      <x:c r="Y302" s="48"/>
      <x:c r="Z302" s="49"/>
      <x:c r="AA302" s="43"/>
      <x:c r="AB302" s="43"/>
      <x:c r="AC302" s="43"/>
      <x:c r="AD302" s="43"/>
      <x:c r="AE302" s="43"/>
      <x:c r="AF302" s="87" t="str">
        <x:f>IF(OR(H302="",I302="",I302&lt;H302),"",(I302-H302)*1440)</x:f>
      </x:c>
      <x:c r="AG302" s="87" t="str">
        <x:f>IF(OR(I302="",M302="",M302&lt;I302),"",(M302-I302)*1440)</x:f>
      </x:c>
      <x:c r="AH302" s="87" t="str">
        <x:f>IF(OR(M302="",N302="",N302&lt;M302),"",(N302-M302)*1440)</x:f>
      </x:c>
      <x:c r="AI302" s="87" t="str">
        <x:f>IF(OR(H302="",N302="",N302&lt;H302),"",(N302-H302)*1440)</x:f>
      </x:c>
      <x:c r="AJ302" s="87" t="str">
        <x:f>IF(OR(I302="",N302="",N302&lt;I302),"",(N302-I302)*1440)</x:f>
      </x:c>
      <x:c r="AK302" s="87" t="str">
        <x:f>IF(OR(N302="",O302="",O302&lt;N302),"",(O302-N302)*1440)</x:f>
      </x:c>
      <x:c r="AL302" s="87" t="str">
        <x:f>IF(OR(O302="",P302="",P302&lt;O302),"",(P302-O302)*1440)</x:f>
      </x:c>
      <x:c r="AM302" s="87" t="str">
        <x:f>IF(OR(Q302="",R302="",R302&lt;Q302),"",(R302-Q302)*1440)</x:f>
      </x:c>
      <x:c r="AN302" s="87" t="str">
        <x:f>IF(OR(S302="",T302="",T302&lt;S302),"",(T302-S302)*1440)</x:f>
      </x:c>
      <x:c r="AO302" s="87" t="str">
        <x:f>IF(OR(U302="",V302=""),"",V302-U302)</x:f>
      </x:c>
      <x:c r="AP302" s="63" t="str">
        <x:f>IF(A302="","",IF(OR(B302="",H302="",N302=""),"Incompleto",IF(N302&lt;H302,"Revisar",IF(OR(G302="",G302="Não observado"),"Qualidade E0 ausente",IF(OR(G302="Sensor",G302="Marcação física"),"Válido — E0 observado",IF(G302="Cálculo","Válido — E0 calculado","Válido — E0 estimado"))))))</x:f>
      </x:c>
      <x:c r="AQ302" s="63" t="str">
        <x:f>IF(A302="","",IF(COUNTA(H302:T302)&lt;13,"Incompleta",IF(OR(I302&lt;H302,J302&lt;I302,K302&lt;J302,L302&lt;K302,M302&lt;L302,N302&lt;M302,O302&lt;N302,P302&lt;O302,Q302&lt;P302,R302&lt;Q302,S302&lt;R302,T302&lt;S302),"Revisar","Completa")))</x:f>
      </x:c>
      <x:c r="AR302" s="87" t="str">
        <x:f>IF(OR(V302="",W302="",Y302=""),"",Y302-(V302-W302))</x:f>
      </x:c>
      <x:c r="AS302" s="63" t="str">
        <x:f>IF(A302="","",IF(AND(E302&lt;&gt;"",F302&lt;&gt;"",G302&lt;&gt;"",Z302&lt;&gt;"",AA302&lt;&gt;"",AB302&lt;&gt;"",AC302&lt;&gt;""),"Completa","Incompleta"))</x:f>
      </x:c>
      <x:c r="AT302" s="63" t="str">
        <x:f>IF(A302="","",IF(COUNTIF($A$11:$A$410,A302)&gt;1,"ID duplicado",IF(AND(AR302&lt;&gt;"",ABS(AR302)&gt;0.01),"Revisar balanço",IF(AND(W302&lt;&gt;"",V302&lt;&gt;"",W302&gt;V302),"Retirada &gt; estoque",IF(AND(U302&lt;&gt;"",U302&lt;'Cenário Base'!$D$8*'Cenário Base'!$D$74),"E0 abaixo do gatilho",IF(AND(V302&lt;&gt;"",V302&gt;XLOOKUP(B302,$A$414:$A$418,$B$414:$B$418)),"Excedeu capacidade","Sem alerta"))))))</x:f>
      </x:c>
    </x:row>
    <x:row r="303">
      <x:c r="A303" s="43"/>
      <x:c r="B303" s="43"/>
      <x:c r="C303" s="43"/>
      <x:c r="D303" s="43"/>
      <x:c r="E303" s="43"/>
      <x:c r="F303" s="43"/>
      <x:c r="G303" s="43"/>
      <x:c r="H303" s="120"/>
      <x:c r="I303" s="120"/>
      <x:c r="J303" s="120"/>
      <x:c r="K303" s="120"/>
      <x:c r="L303" s="120"/>
      <x:c r="M303" s="120"/>
      <x:c r="N303" s="120"/>
      <x:c r="O303" s="120"/>
      <x:c r="P303" s="120"/>
      <x:c r="Q303" s="120"/>
      <x:c r="R303" s="120"/>
      <x:c r="S303" s="120"/>
      <x:c r="T303" s="120"/>
      <x:c r="U303" s="48"/>
      <x:c r="V303" s="48"/>
      <x:c r="W303" s="48"/>
      <x:c r="X303" s="48"/>
      <x:c r="Y303" s="48"/>
      <x:c r="Z303" s="49"/>
      <x:c r="AA303" s="43"/>
      <x:c r="AB303" s="43"/>
      <x:c r="AC303" s="43"/>
      <x:c r="AD303" s="43"/>
      <x:c r="AE303" s="43"/>
      <x:c r="AF303" s="87" t="str">
        <x:f>IF(OR(H303="",I303="",I303&lt;H303),"",(I303-H303)*1440)</x:f>
      </x:c>
      <x:c r="AG303" s="87" t="str">
        <x:f>IF(OR(I303="",M303="",M303&lt;I303),"",(M303-I303)*1440)</x:f>
      </x:c>
      <x:c r="AH303" s="87" t="str">
        <x:f>IF(OR(M303="",N303="",N303&lt;M303),"",(N303-M303)*1440)</x:f>
      </x:c>
      <x:c r="AI303" s="87" t="str">
        <x:f>IF(OR(H303="",N303="",N303&lt;H303),"",(N303-H303)*1440)</x:f>
      </x:c>
      <x:c r="AJ303" s="87" t="str">
        <x:f>IF(OR(I303="",N303="",N303&lt;I303),"",(N303-I303)*1440)</x:f>
      </x:c>
      <x:c r="AK303" s="87" t="str">
        <x:f>IF(OR(N303="",O303="",O303&lt;N303),"",(O303-N303)*1440)</x:f>
      </x:c>
      <x:c r="AL303" s="87" t="str">
        <x:f>IF(OR(O303="",P303="",P303&lt;O303),"",(P303-O303)*1440)</x:f>
      </x:c>
      <x:c r="AM303" s="87" t="str">
        <x:f>IF(OR(Q303="",R303="",R303&lt;Q303),"",(R303-Q303)*1440)</x:f>
      </x:c>
      <x:c r="AN303" s="87" t="str">
        <x:f>IF(OR(S303="",T303="",T303&lt;S303),"",(T303-S303)*1440)</x:f>
      </x:c>
      <x:c r="AO303" s="87" t="str">
        <x:f>IF(OR(U303="",V303=""),"",V303-U303)</x:f>
      </x:c>
      <x:c r="AP303" s="63" t="str">
        <x:f>IF(A303="","",IF(OR(B303="",H303="",N303=""),"Incompleto",IF(N303&lt;H303,"Revisar",IF(OR(G303="",G303="Não observado"),"Qualidade E0 ausente",IF(OR(G303="Sensor",G303="Marcação física"),"Válido — E0 observado",IF(G303="Cálculo","Válido — E0 calculado","Válido — E0 estimado"))))))</x:f>
      </x:c>
      <x:c r="AQ303" s="63" t="str">
        <x:f>IF(A303="","",IF(COUNTA(H303:T303)&lt;13,"Incompleta",IF(OR(I303&lt;H303,J303&lt;I303,K303&lt;J303,L303&lt;K303,M303&lt;L303,N303&lt;M303,O303&lt;N303,P303&lt;O303,Q303&lt;P303,R303&lt;Q303,S303&lt;R303,T303&lt;S303),"Revisar","Completa")))</x:f>
      </x:c>
      <x:c r="AR303" s="87" t="str">
        <x:f>IF(OR(V303="",W303="",Y303=""),"",Y303-(V303-W303))</x:f>
      </x:c>
      <x:c r="AS303" s="63" t="str">
        <x:f>IF(A303="","",IF(AND(E303&lt;&gt;"",F303&lt;&gt;"",G303&lt;&gt;"",Z303&lt;&gt;"",AA303&lt;&gt;"",AB303&lt;&gt;"",AC303&lt;&gt;""),"Completa","Incompleta"))</x:f>
      </x:c>
      <x:c r="AT303" s="63" t="str">
        <x:f>IF(A303="","",IF(COUNTIF($A$11:$A$410,A303)&gt;1,"ID duplicado",IF(AND(AR303&lt;&gt;"",ABS(AR303)&gt;0.01),"Revisar balanço",IF(AND(W303&lt;&gt;"",V303&lt;&gt;"",W303&gt;V303),"Retirada &gt; estoque",IF(AND(U303&lt;&gt;"",U303&lt;'Cenário Base'!$D$8*'Cenário Base'!$D$74),"E0 abaixo do gatilho",IF(AND(V303&lt;&gt;"",V303&gt;XLOOKUP(B303,$A$414:$A$418,$B$414:$B$418)),"Excedeu capacidade","Sem alerta"))))))</x:f>
      </x:c>
    </x:row>
    <x:row r="304">
      <x:c r="A304" s="43"/>
      <x:c r="B304" s="43"/>
      <x:c r="C304" s="43"/>
      <x:c r="D304" s="43"/>
      <x:c r="E304" s="43"/>
      <x:c r="F304" s="43"/>
      <x:c r="G304" s="43"/>
      <x:c r="H304" s="120"/>
      <x:c r="I304" s="120"/>
      <x:c r="J304" s="120"/>
      <x:c r="K304" s="120"/>
      <x:c r="L304" s="120"/>
      <x:c r="M304" s="120"/>
      <x:c r="N304" s="120"/>
      <x:c r="O304" s="120"/>
      <x:c r="P304" s="120"/>
      <x:c r="Q304" s="120"/>
      <x:c r="R304" s="120"/>
      <x:c r="S304" s="120"/>
      <x:c r="T304" s="120"/>
      <x:c r="U304" s="48"/>
      <x:c r="V304" s="48"/>
      <x:c r="W304" s="48"/>
      <x:c r="X304" s="48"/>
      <x:c r="Y304" s="48"/>
      <x:c r="Z304" s="49"/>
      <x:c r="AA304" s="43"/>
      <x:c r="AB304" s="43"/>
      <x:c r="AC304" s="43"/>
      <x:c r="AD304" s="43"/>
      <x:c r="AE304" s="43"/>
      <x:c r="AF304" s="87" t="str">
        <x:f>IF(OR(H304="",I304="",I304&lt;H304),"",(I304-H304)*1440)</x:f>
      </x:c>
      <x:c r="AG304" s="87" t="str">
        <x:f>IF(OR(I304="",M304="",M304&lt;I304),"",(M304-I304)*1440)</x:f>
      </x:c>
      <x:c r="AH304" s="87" t="str">
        <x:f>IF(OR(M304="",N304="",N304&lt;M304),"",(N304-M304)*1440)</x:f>
      </x:c>
      <x:c r="AI304" s="87" t="str">
        <x:f>IF(OR(H304="",N304="",N304&lt;H304),"",(N304-H304)*1440)</x:f>
      </x:c>
      <x:c r="AJ304" s="87" t="str">
        <x:f>IF(OR(I304="",N304="",N304&lt;I304),"",(N304-I304)*1440)</x:f>
      </x:c>
      <x:c r="AK304" s="87" t="str">
        <x:f>IF(OR(N304="",O304="",O304&lt;N304),"",(O304-N304)*1440)</x:f>
      </x:c>
      <x:c r="AL304" s="87" t="str">
        <x:f>IF(OR(O304="",P304="",P304&lt;O304),"",(P304-O304)*1440)</x:f>
      </x:c>
      <x:c r="AM304" s="87" t="str">
        <x:f>IF(OR(Q304="",R304="",R304&lt;Q304),"",(R304-Q304)*1440)</x:f>
      </x:c>
      <x:c r="AN304" s="87" t="str">
        <x:f>IF(OR(S304="",T304="",T304&lt;S304),"",(T304-S304)*1440)</x:f>
      </x:c>
      <x:c r="AO304" s="87" t="str">
        <x:f>IF(OR(U304="",V304=""),"",V304-U304)</x:f>
      </x:c>
      <x:c r="AP304" s="63" t="str">
        <x:f>IF(A304="","",IF(OR(B304="",H304="",N304=""),"Incompleto",IF(N304&lt;H304,"Revisar",IF(OR(G304="",G304="Não observado"),"Qualidade E0 ausente",IF(OR(G304="Sensor",G304="Marcação física"),"Válido — E0 observado",IF(G304="Cálculo","Válido — E0 calculado","Válido — E0 estimado"))))))</x:f>
      </x:c>
      <x:c r="AQ304" s="63" t="str">
        <x:f>IF(A304="","",IF(COUNTA(H304:T304)&lt;13,"Incompleta",IF(OR(I304&lt;H304,J304&lt;I304,K304&lt;J304,L304&lt;K304,M304&lt;L304,N304&lt;M304,O304&lt;N304,P304&lt;O304,Q304&lt;P304,R304&lt;Q304,S304&lt;R304,T304&lt;S304),"Revisar","Completa")))</x:f>
      </x:c>
      <x:c r="AR304" s="87" t="str">
        <x:f>IF(OR(V304="",W304="",Y304=""),"",Y304-(V304-W304))</x:f>
      </x:c>
      <x:c r="AS304" s="63" t="str">
        <x:f>IF(A304="","",IF(AND(E304&lt;&gt;"",F304&lt;&gt;"",G304&lt;&gt;"",Z304&lt;&gt;"",AA304&lt;&gt;"",AB304&lt;&gt;"",AC304&lt;&gt;""),"Completa","Incompleta"))</x:f>
      </x:c>
      <x:c r="AT304" s="63" t="str">
        <x:f>IF(A304="","",IF(COUNTIF($A$11:$A$410,A304)&gt;1,"ID duplicado",IF(AND(AR304&lt;&gt;"",ABS(AR304)&gt;0.01),"Revisar balanço",IF(AND(W304&lt;&gt;"",V304&lt;&gt;"",W304&gt;V304),"Retirada &gt; estoque",IF(AND(U304&lt;&gt;"",U304&lt;'Cenário Base'!$D$8*'Cenário Base'!$D$74),"E0 abaixo do gatilho",IF(AND(V304&lt;&gt;"",V304&gt;XLOOKUP(B304,$A$414:$A$418,$B$414:$B$418)),"Excedeu capacidade","Sem alerta"))))))</x:f>
      </x:c>
    </x:row>
    <x:row r="305">
      <x:c r="A305" s="43"/>
      <x:c r="B305" s="43"/>
      <x:c r="C305" s="43"/>
      <x:c r="D305" s="43"/>
      <x:c r="E305" s="43"/>
      <x:c r="F305" s="43"/>
      <x:c r="G305" s="43"/>
      <x:c r="H305" s="120"/>
      <x:c r="I305" s="120"/>
      <x:c r="J305" s="120"/>
      <x:c r="K305" s="120"/>
      <x:c r="L305" s="120"/>
      <x:c r="M305" s="120"/>
      <x:c r="N305" s="120"/>
      <x:c r="O305" s="120"/>
      <x:c r="P305" s="120"/>
      <x:c r="Q305" s="120"/>
      <x:c r="R305" s="120"/>
      <x:c r="S305" s="120"/>
      <x:c r="T305" s="120"/>
      <x:c r="U305" s="48"/>
      <x:c r="V305" s="48"/>
      <x:c r="W305" s="48"/>
      <x:c r="X305" s="48"/>
      <x:c r="Y305" s="48"/>
      <x:c r="Z305" s="49"/>
      <x:c r="AA305" s="43"/>
      <x:c r="AB305" s="43"/>
      <x:c r="AC305" s="43"/>
      <x:c r="AD305" s="43"/>
      <x:c r="AE305" s="43"/>
      <x:c r="AF305" s="87" t="str">
        <x:f>IF(OR(H305="",I305="",I305&lt;H305),"",(I305-H305)*1440)</x:f>
      </x:c>
      <x:c r="AG305" s="87" t="str">
        <x:f>IF(OR(I305="",M305="",M305&lt;I305),"",(M305-I305)*1440)</x:f>
      </x:c>
      <x:c r="AH305" s="87" t="str">
        <x:f>IF(OR(M305="",N305="",N305&lt;M305),"",(N305-M305)*1440)</x:f>
      </x:c>
      <x:c r="AI305" s="87" t="str">
        <x:f>IF(OR(H305="",N305="",N305&lt;H305),"",(N305-H305)*1440)</x:f>
      </x:c>
      <x:c r="AJ305" s="87" t="str">
        <x:f>IF(OR(I305="",N305="",N305&lt;I305),"",(N305-I305)*1440)</x:f>
      </x:c>
      <x:c r="AK305" s="87" t="str">
        <x:f>IF(OR(N305="",O305="",O305&lt;N305),"",(O305-N305)*1440)</x:f>
      </x:c>
      <x:c r="AL305" s="87" t="str">
        <x:f>IF(OR(O305="",P305="",P305&lt;O305),"",(P305-O305)*1440)</x:f>
      </x:c>
      <x:c r="AM305" s="87" t="str">
        <x:f>IF(OR(Q305="",R305="",R305&lt;Q305),"",(R305-Q305)*1440)</x:f>
      </x:c>
      <x:c r="AN305" s="87" t="str">
        <x:f>IF(OR(S305="",T305="",T305&lt;S305),"",(T305-S305)*1440)</x:f>
      </x:c>
      <x:c r="AO305" s="87" t="str">
        <x:f>IF(OR(U305="",V305=""),"",V305-U305)</x:f>
      </x:c>
      <x:c r="AP305" s="63" t="str">
        <x:f>IF(A305="","",IF(OR(B305="",H305="",N305=""),"Incompleto",IF(N305&lt;H305,"Revisar",IF(OR(G305="",G305="Não observado"),"Qualidade E0 ausente",IF(OR(G305="Sensor",G305="Marcação física"),"Válido — E0 observado",IF(G305="Cálculo","Válido — E0 calculado","Válido — E0 estimado"))))))</x:f>
      </x:c>
      <x:c r="AQ305" s="63" t="str">
        <x:f>IF(A305="","",IF(COUNTA(H305:T305)&lt;13,"Incompleta",IF(OR(I305&lt;H305,J305&lt;I305,K305&lt;J305,L305&lt;K305,M305&lt;L305,N305&lt;M305,O305&lt;N305,P305&lt;O305,Q305&lt;P305,R305&lt;Q305,S305&lt;R305,T305&lt;S305),"Revisar","Completa")))</x:f>
      </x:c>
      <x:c r="AR305" s="87" t="str">
        <x:f>IF(OR(V305="",W305="",Y305=""),"",Y305-(V305-W305))</x:f>
      </x:c>
      <x:c r="AS305" s="63" t="str">
        <x:f>IF(A305="","",IF(AND(E305&lt;&gt;"",F305&lt;&gt;"",G305&lt;&gt;"",Z305&lt;&gt;"",AA305&lt;&gt;"",AB305&lt;&gt;"",AC305&lt;&gt;""),"Completa","Incompleta"))</x:f>
      </x:c>
      <x:c r="AT305" s="63" t="str">
        <x:f>IF(A305="","",IF(COUNTIF($A$11:$A$410,A305)&gt;1,"ID duplicado",IF(AND(AR305&lt;&gt;"",ABS(AR305)&gt;0.01),"Revisar balanço",IF(AND(W305&lt;&gt;"",V305&lt;&gt;"",W305&gt;V305),"Retirada &gt; estoque",IF(AND(U305&lt;&gt;"",U305&lt;'Cenário Base'!$D$8*'Cenário Base'!$D$74),"E0 abaixo do gatilho",IF(AND(V305&lt;&gt;"",V305&gt;XLOOKUP(B305,$A$414:$A$418,$B$414:$B$418)),"Excedeu capacidade","Sem alerta"))))))</x:f>
      </x:c>
    </x:row>
    <x:row r="306">
      <x:c r="A306" s="43"/>
      <x:c r="B306" s="43"/>
      <x:c r="C306" s="43"/>
      <x:c r="D306" s="43"/>
      <x:c r="E306" s="43"/>
      <x:c r="F306" s="43"/>
      <x:c r="G306" s="43"/>
      <x:c r="H306" s="120"/>
      <x:c r="I306" s="120"/>
      <x:c r="J306" s="120"/>
      <x:c r="K306" s="120"/>
      <x:c r="L306" s="120"/>
      <x:c r="M306" s="120"/>
      <x:c r="N306" s="120"/>
      <x:c r="O306" s="120"/>
      <x:c r="P306" s="120"/>
      <x:c r="Q306" s="120"/>
      <x:c r="R306" s="120"/>
      <x:c r="S306" s="120"/>
      <x:c r="T306" s="120"/>
      <x:c r="U306" s="48"/>
      <x:c r="V306" s="48"/>
      <x:c r="W306" s="48"/>
      <x:c r="X306" s="48"/>
      <x:c r="Y306" s="48"/>
      <x:c r="Z306" s="49"/>
      <x:c r="AA306" s="43"/>
      <x:c r="AB306" s="43"/>
      <x:c r="AC306" s="43"/>
      <x:c r="AD306" s="43"/>
      <x:c r="AE306" s="43"/>
      <x:c r="AF306" s="87" t="str">
        <x:f>IF(OR(H306="",I306="",I306&lt;H306),"",(I306-H306)*1440)</x:f>
      </x:c>
      <x:c r="AG306" s="87" t="str">
        <x:f>IF(OR(I306="",M306="",M306&lt;I306),"",(M306-I306)*1440)</x:f>
      </x:c>
      <x:c r="AH306" s="87" t="str">
        <x:f>IF(OR(M306="",N306="",N306&lt;M306),"",(N306-M306)*1440)</x:f>
      </x:c>
      <x:c r="AI306" s="87" t="str">
        <x:f>IF(OR(H306="",N306="",N306&lt;H306),"",(N306-H306)*1440)</x:f>
      </x:c>
      <x:c r="AJ306" s="87" t="str">
        <x:f>IF(OR(I306="",N306="",N306&lt;I306),"",(N306-I306)*1440)</x:f>
      </x:c>
      <x:c r="AK306" s="87" t="str">
        <x:f>IF(OR(N306="",O306="",O306&lt;N306),"",(O306-N306)*1440)</x:f>
      </x:c>
      <x:c r="AL306" s="87" t="str">
        <x:f>IF(OR(O306="",P306="",P306&lt;O306),"",(P306-O306)*1440)</x:f>
      </x:c>
      <x:c r="AM306" s="87" t="str">
        <x:f>IF(OR(Q306="",R306="",R306&lt;Q306),"",(R306-Q306)*1440)</x:f>
      </x:c>
      <x:c r="AN306" s="87" t="str">
        <x:f>IF(OR(S306="",T306="",T306&lt;S306),"",(T306-S306)*1440)</x:f>
      </x:c>
      <x:c r="AO306" s="87" t="str">
        <x:f>IF(OR(U306="",V306=""),"",V306-U306)</x:f>
      </x:c>
      <x:c r="AP306" s="63" t="str">
        <x:f>IF(A306="","",IF(OR(B306="",H306="",N306=""),"Incompleto",IF(N306&lt;H306,"Revisar",IF(OR(G306="",G306="Não observado"),"Qualidade E0 ausente",IF(OR(G306="Sensor",G306="Marcação física"),"Válido — E0 observado",IF(G306="Cálculo","Válido — E0 calculado","Válido — E0 estimado"))))))</x:f>
      </x:c>
      <x:c r="AQ306" s="63" t="str">
        <x:f>IF(A306="","",IF(COUNTA(H306:T306)&lt;13,"Incompleta",IF(OR(I306&lt;H306,J306&lt;I306,K306&lt;J306,L306&lt;K306,M306&lt;L306,N306&lt;M306,O306&lt;N306,P306&lt;O306,Q306&lt;P306,R306&lt;Q306,S306&lt;R306,T306&lt;S306),"Revisar","Completa")))</x:f>
      </x:c>
      <x:c r="AR306" s="87" t="str">
        <x:f>IF(OR(V306="",W306="",Y306=""),"",Y306-(V306-W306))</x:f>
      </x:c>
      <x:c r="AS306" s="63" t="str">
        <x:f>IF(A306="","",IF(AND(E306&lt;&gt;"",F306&lt;&gt;"",G306&lt;&gt;"",Z306&lt;&gt;"",AA306&lt;&gt;"",AB306&lt;&gt;"",AC306&lt;&gt;""),"Completa","Incompleta"))</x:f>
      </x:c>
      <x:c r="AT306" s="63" t="str">
        <x:f>IF(A306="","",IF(COUNTIF($A$11:$A$410,A306)&gt;1,"ID duplicado",IF(AND(AR306&lt;&gt;"",ABS(AR306)&gt;0.01),"Revisar balanço",IF(AND(W306&lt;&gt;"",V306&lt;&gt;"",W306&gt;V306),"Retirada &gt; estoque",IF(AND(U306&lt;&gt;"",U306&lt;'Cenário Base'!$D$8*'Cenário Base'!$D$74),"E0 abaixo do gatilho",IF(AND(V306&lt;&gt;"",V306&gt;XLOOKUP(B306,$A$414:$A$418,$B$414:$B$418)),"Excedeu capacidade","Sem alerta"))))))</x:f>
      </x:c>
    </x:row>
    <x:row r="307">
      <x:c r="A307" s="43"/>
      <x:c r="B307" s="43"/>
      <x:c r="C307" s="43"/>
      <x:c r="D307" s="43"/>
      <x:c r="E307" s="43"/>
      <x:c r="F307" s="43"/>
      <x:c r="G307" s="43"/>
      <x:c r="H307" s="120"/>
      <x:c r="I307" s="120"/>
      <x:c r="J307" s="120"/>
      <x:c r="K307" s="120"/>
      <x:c r="L307" s="120"/>
      <x:c r="M307" s="120"/>
      <x:c r="N307" s="120"/>
      <x:c r="O307" s="120"/>
      <x:c r="P307" s="120"/>
      <x:c r="Q307" s="120"/>
      <x:c r="R307" s="120"/>
      <x:c r="S307" s="120"/>
      <x:c r="T307" s="120"/>
      <x:c r="U307" s="48"/>
      <x:c r="V307" s="48"/>
      <x:c r="W307" s="48"/>
      <x:c r="X307" s="48"/>
      <x:c r="Y307" s="48"/>
      <x:c r="Z307" s="49"/>
      <x:c r="AA307" s="43"/>
      <x:c r="AB307" s="43"/>
      <x:c r="AC307" s="43"/>
      <x:c r="AD307" s="43"/>
      <x:c r="AE307" s="43"/>
      <x:c r="AF307" s="87" t="str">
        <x:f>IF(OR(H307="",I307="",I307&lt;H307),"",(I307-H307)*1440)</x:f>
      </x:c>
      <x:c r="AG307" s="87" t="str">
        <x:f>IF(OR(I307="",M307="",M307&lt;I307),"",(M307-I307)*1440)</x:f>
      </x:c>
      <x:c r="AH307" s="87" t="str">
        <x:f>IF(OR(M307="",N307="",N307&lt;M307),"",(N307-M307)*1440)</x:f>
      </x:c>
      <x:c r="AI307" s="87" t="str">
        <x:f>IF(OR(H307="",N307="",N307&lt;H307),"",(N307-H307)*1440)</x:f>
      </x:c>
      <x:c r="AJ307" s="87" t="str">
        <x:f>IF(OR(I307="",N307="",N307&lt;I307),"",(N307-I307)*1440)</x:f>
      </x:c>
      <x:c r="AK307" s="87" t="str">
        <x:f>IF(OR(N307="",O307="",O307&lt;N307),"",(O307-N307)*1440)</x:f>
      </x:c>
      <x:c r="AL307" s="87" t="str">
        <x:f>IF(OR(O307="",P307="",P307&lt;O307),"",(P307-O307)*1440)</x:f>
      </x:c>
      <x:c r="AM307" s="87" t="str">
        <x:f>IF(OR(Q307="",R307="",R307&lt;Q307),"",(R307-Q307)*1440)</x:f>
      </x:c>
      <x:c r="AN307" s="87" t="str">
        <x:f>IF(OR(S307="",T307="",T307&lt;S307),"",(T307-S307)*1440)</x:f>
      </x:c>
      <x:c r="AO307" s="87" t="str">
        <x:f>IF(OR(U307="",V307=""),"",V307-U307)</x:f>
      </x:c>
      <x:c r="AP307" s="63" t="str">
        <x:f>IF(A307="","",IF(OR(B307="",H307="",N307=""),"Incompleto",IF(N307&lt;H307,"Revisar",IF(OR(G307="",G307="Não observado"),"Qualidade E0 ausente",IF(OR(G307="Sensor",G307="Marcação física"),"Válido — E0 observado",IF(G307="Cálculo","Válido — E0 calculado","Válido — E0 estimado"))))))</x:f>
      </x:c>
      <x:c r="AQ307" s="63" t="str">
        <x:f>IF(A307="","",IF(COUNTA(H307:T307)&lt;13,"Incompleta",IF(OR(I307&lt;H307,J307&lt;I307,K307&lt;J307,L307&lt;K307,M307&lt;L307,N307&lt;M307,O307&lt;N307,P307&lt;O307,Q307&lt;P307,R307&lt;Q307,S307&lt;R307,T307&lt;S307),"Revisar","Completa")))</x:f>
      </x:c>
      <x:c r="AR307" s="87" t="str">
        <x:f>IF(OR(V307="",W307="",Y307=""),"",Y307-(V307-W307))</x:f>
      </x:c>
      <x:c r="AS307" s="63" t="str">
        <x:f>IF(A307="","",IF(AND(E307&lt;&gt;"",F307&lt;&gt;"",G307&lt;&gt;"",Z307&lt;&gt;"",AA307&lt;&gt;"",AB307&lt;&gt;"",AC307&lt;&gt;""),"Completa","Incompleta"))</x:f>
      </x:c>
      <x:c r="AT307" s="63" t="str">
        <x:f>IF(A307="","",IF(COUNTIF($A$11:$A$410,A307)&gt;1,"ID duplicado",IF(AND(AR307&lt;&gt;"",ABS(AR307)&gt;0.01),"Revisar balanço",IF(AND(W307&lt;&gt;"",V307&lt;&gt;"",W307&gt;V307),"Retirada &gt; estoque",IF(AND(U307&lt;&gt;"",U307&lt;'Cenário Base'!$D$8*'Cenário Base'!$D$74),"E0 abaixo do gatilho",IF(AND(V307&lt;&gt;"",V307&gt;XLOOKUP(B307,$A$414:$A$418,$B$414:$B$418)),"Excedeu capacidade","Sem alerta"))))))</x:f>
      </x:c>
    </x:row>
    <x:row r="308">
      <x:c r="A308" s="43"/>
      <x:c r="B308" s="43"/>
      <x:c r="C308" s="43"/>
      <x:c r="D308" s="43"/>
      <x:c r="E308" s="43"/>
      <x:c r="F308" s="43"/>
      <x:c r="G308" s="43"/>
      <x:c r="H308" s="120"/>
      <x:c r="I308" s="120"/>
      <x:c r="J308" s="120"/>
      <x:c r="K308" s="120"/>
      <x:c r="L308" s="120"/>
      <x:c r="M308" s="120"/>
      <x:c r="N308" s="120"/>
      <x:c r="O308" s="120"/>
      <x:c r="P308" s="120"/>
      <x:c r="Q308" s="120"/>
      <x:c r="R308" s="120"/>
      <x:c r="S308" s="120"/>
      <x:c r="T308" s="120"/>
      <x:c r="U308" s="48"/>
      <x:c r="V308" s="48"/>
      <x:c r="W308" s="48"/>
      <x:c r="X308" s="48"/>
      <x:c r="Y308" s="48"/>
      <x:c r="Z308" s="49"/>
      <x:c r="AA308" s="43"/>
      <x:c r="AB308" s="43"/>
      <x:c r="AC308" s="43"/>
      <x:c r="AD308" s="43"/>
      <x:c r="AE308" s="43"/>
      <x:c r="AF308" s="87" t="str">
        <x:f>IF(OR(H308="",I308="",I308&lt;H308),"",(I308-H308)*1440)</x:f>
      </x:c>
      <x:c r="AG308" s="87" t="str">
        <x:f>IF(OR(I308="",M308="",M308&lt;I308),"",(M308-I308)*1440)</x:f>
      </x:c>
      <x:c r="AH308" s="87" t="str">
        <x:f>IF(OR(M308="",N308="",N308&lt;M308),"",(N308-M308)*1440)</x:f>
      </x:c>
      <x:c r="AI308" s="87" t="str">
        <x:f>IF(OR(H308="",N308="",N308&lt;H308),"",(N308-H308)*1440)</x:f>
      </x:c>
      <x:c r="AJ308" s="87" t="str">
        <x:f>IF(OR(I308="",N308="",N308&lt;I308),"",(N308-I308)*1440)</x:f>
      </x:c>
      <x:c r="AK308" s="87" t="str">
        <x:f>IF(OR(N308="",O308="",O308&lt;N308),"",(O308-N308)*1440)</x:f>
      </x:c>
      <x:c r="AL308" s="87" t="str">
        <x:f>IF(OR(O308="",P308="",P308&lt;O308),"",(P308-O308)*1440)</x:f>
      </x:c>
      <x:c r="AM308" s="87" t="str">
        <x:f>IF(OR(Q308="",R308="",R308&lt;Q308),"",(R308-Q308)*1440)</x:f>
      </x:c>
      <x:c r="AN308" s="87" t="str">
        <x:f>IF(OR(S308="",T308="",T308&lt;S308),"",(T308-S308)*1440)</x:f>
      </x:c>
      <x:c r="AO308" s="87" t="str">
        <x:f>IF(OR(U308="",V308=""),"",V308-U308)</x:f>
      </x:c>
      <x:c r="AP308" s="63" t="str">
        <x:f>IF(A308="","",IF(OR(B308="",H308="",N308=""),"Incompleto",IF(N308&lt;H308,"Revisar",IF(OR(G308="",G308="Não observado"),"Qualidade E0 ausente",IF(OR(G308="Sensor",G308="Marcação física"),"Válido — E0 observado",IF(G308="Cálculo","Válido — E0 calculado","Válido — E0 estimado"))))))</x:f>
      </x:c>
      <x:c r="AQ308" s="63" t="str">
        <x:f>IF(A308="","",IF(COUNTA(H308:T308)&lt;13,"Incompleta",IF(OR(I308&lt;H308,J308&lt;I308,K308&lt;J308,L308&lt;K308,M308&lt;L308,N308&lt;M308,O308&lt;N308,P308&lt;O308,Q308&lt;P308,R308&lt;Q308,S308&lt;R308,T308&lt;S308),"Revisar","Completa")))</x:f>
      </x:c>
      <x:c r="AR308" s="87" t="str">
        <x:f>IF(OR(V308="",W308="",Y308=""),"",Y308-(V308-W308))</x:f>
      </x:c>
      <x:c r="AS308" s="63" t="str">
        <x:f>IF(A308="","",IF(AND(E308&lt;&gt;"",F308&lt;&gt;"",G308&lt;&gt;"",Z308&lt;&gt;"",AA308&lt;&gt;"",AB308&lt;&gt;"",AC308&lt;&gt;""),"Completa","Incompleta"))</x:f>
      </x:c>
      <x:c r="AT308" s="63" t="str">
        <x:f>IF(A308="","",IF(COUNTIF($A$11:$A$410,A308)&gt;1,"ID duplicado",IF(AND(AR308&lt;&gt;"",ABS(AR308)&gt;0.01),"Revisar balanço",IF(AND(W308&lt;&gt;"",V308&lt;&gt;"",W308&gt;V308),"Retirada &gt; estoque",IF(AND(U308&lt;&gt;"",U308&lt;'Cenário Base'!$D$8*'Cenário Base'!$D$74),"E0 abaixo do gatilho",IF(AND(V308&lt;&gt;"",V308&gt;XLOOKUP(B308,$A$414:$A$418,$B$414:$B$418)),"Excedeu capacidade","Sem alerta"))))))</x:f>
      </x:c>
    </x:row>
    <x:row r="309">
      <x:c r="A309" s="43"/>
      <x:c r="B309" s="43"/>
      <x:c r="C309" s="43"/>
      <x:c r="D309" s="43"/>
      <x:c r="E309" s="43"/>
      <x:c r="F309" s="43"/>
      <x:c r="G309" s="43"/>
      <x:c r="H309" s="120"/>
      <x:c r="I309" s="120"/>
      <x:c r="J309" s="120"/>
      <x:c r="K309" s="120"/>
      <x:c r="L309" s="120"/>
      <x:c r="M309" s="120"/>
      <x:c r="N309" s="120"/>
      <x:c r="O309" s="120"/>
      <x:c r="P309" s="120"/>
      <x:c r="Q309" s="120"/>
      <x:c r="R309" s="120"/>
      <x:c r="S309" s="120"/>
      <x:c r="T309" s="120"/>
      <x:c r="U309" s="48"/>
      <x:c r="V309" s="48"/>
      <x:c r="W309" s="48"/>
      <x:c r="X309" s="48"/>
      <x:c r="Y309" s="48"/>
      <x:c r="Z309" s="49"/>
      <x:c r="AA309" s="43"/>
      <x:c r="AB309" s="43"/>
      <x:c r="AC309" s="43"/>
      <x:c r="AD309" s="43"/>
      <x:c r="AE309" s="43"/>
      <x:c r="AF309" s="87" t="str">
        <x:f>IF(OR(H309="",I309="",I309&lt;H309),"",(I309-H309)*1440)</x:f>
      </x:c>
      <x:c r="AG309" s="87" t="str">
        <x:f>IF(OR(I309="",M309="",M309&lt;I309),"",(M309-I309)*1440)</x:f>
      </x:c>
      <x:c r="AH309" s="87" t="str">
        <x:f>IF(OR(M309="",N309="",N309&lt;M309),"",(N309-M309)*1440)</x:f>
      </x:c>
      <x:c r="AI309" s="87" t="str">
        <x:f>IF(OR(H309="",N309="",N309&lt;H309),"",(N309-H309)*1440)</x:f>
      </x:c>
      <x:c r="AJ309" s="87" t="str">
        <x:f>IF(OR(I309="",N309="",N309&lt;I309),"",(N309-I309)*1440)</x:f>
      </x:c>
      <x:c r="AK309" s="87" t="str">
        <x:f>IF(OR(N309="",O309="",O309&lt;N309),"",(O309-N309)*1440)</x:f>
      </x:c>
      <x:c r="AL309" s="87" t="str">
        <x:f>IF(OR(O309="",P309="",P309&lt;O309),"",(P309-O309)*1440)</x:f>
      </x:c>
      <x:c r="AM309" s="87" t="str">
        <x:f>IF(OR(Q309="",R309="",R309&lt;Q309),"",(R309-Q309)*1440)</x:f>
      </x:c>
      <x:c r="AN309" s="87" t="str">
        <x:f>IF(OR(S309="",T309="",T309&lt;S309),"",(T309-S309)*1440)</x:f>
      </x:c>
      <x:c r="AO309" s="87" t="str">
        <x:f>IF(OR(U309="",V309=""),"",V309-U309)</x:f>
      </x:c>
      <x:c r="AP309" s="63" t="str">
        <x:f>IF(A309="","",IF(OR(B309="",H309="",N309=""),"Incompleto",IF(N309&lt;H309,"Revisar",IF(OR(G309="",G309="Não observado"),"Qualidade E0 ausente",IF(OR(G309="Sensor",G309="Marcação física"),"Válido — E0 observado",IF(G309="Cálculo","Válido — E0 calculado","Válido — E0 estimado"))))))</x:f>
      </x:c>
      <x:c r="AQ309" s="63" t="str">
        <x:f>IF(A309="","",IF(COUNTA(H309:T309)&lt;13,"Incompleta",IF(OR(I309&lt;H309,J309&lt;I309,K309&lt;J309,L309&lt;K309,M309&lt;L309,N309&lt;M309,O309&lt;N309,P309&lt;O309,Q309&lt;P309,R309&lt;Q309,S309&lt;R309,T309&lt;S309),"Revisar","Completa")))</x:f>
      </x:c>
      <x:c r="AR309" s="87" t="str">
        <x:f>IF(OR(V309="",W309="",Y309=""),"",Y309-(V309-W309))</x:f>
      </x:c>
      <x:c r="AS309" s="63" t="str">
        <x:f>IF(A309="","",IF(AND(E309&lt;&gt;"",F309&lt;&gt;"",G309&lt;&gt;"",Z309&lt;&gt;"",AA309&lt;&gt;"",AB309&lt;&gt;"",AC309&lt;&gt;""),"Completa","Incompleta"))</x:f>
      </x:c>
      <x:c r="AT309" s="63" t="str">
        <x:f>IF(A309="","",IF(COUNTIF($A$11:$A$410,A309)&gt;1,"ID duplicado",IF(AND(AR309&lt;&gt;"",ABS(AR309)&gt;0.01),"Revisar balanço",IF(AND(W309&lt;&gt;"",V309&lt;&gt;"",W309&gt;V309),"Retirada &gt; estoque",IF(AND(U309&lt;&gt;"",U309&lt;'Cenário Base'!$D$8*'Cenário Base'!$D$74),"E0 abaixo do gatilho",IF(AND(V309&lt;&gt;"",V309&gt;XLOOKUP(B309,$A$414:$A$418,$B$414:$B$418)),"Excedeu capacidade","Sem alerta"))))))</x:f>
      </x:c>
    </x:row>
    <x:row r="310">
      <x:c r="A310" s="43"/>
      <x:c r="B310" s="43"/>
      <x:c r="C310" s="43"/>
      <x:c r="D310" s="43"/>
      <x:c r="E310" s="43"/>
      <x:c r="F310" s="43"/>
      <x:c r="G310" s="43"/>
      <x:c r="H310" s="120"/>
      <x:c r="I310" s="120"/>
      <x:c r="J310" s="120"/>
      <x:c r="K310" s="120"/>
      <x:c r="L310" s="120"/>
      <x:c r="M310" s="120"/>
      <x:c r="N310" s="120"/>
      <x:c r="O310" s="120"/>
      <x:c r="P310" s="120"/>
      <x:c r="Q310" s="120"/>
      <x:c r="R310" s="120"/>
      <x:c r="S310" s="120"/>
      <x:c r="T310" s="120"/>
      <x:c r="U310" s="48"/>
      <x:c r="V310" s="48"/>
      <x:c r="W310" s="48"/>
      <x:c r="X310" s="48"/>
      <x:c r="Y310" s="48"/>
      <x:c r="Z310" s="49"/>
      <x:c r="AA310" s="43"/>
      <x:c r="AB310" s="43"/>
      <x:c r="AC310" s="43"/>
      <x:c r="AD310" s="43"/>
      <x:c r="AE310" s="43"/>
      <x:c r="AF310" s="87" t="str">
        <x:f>IF(OR(H310="",I310="",I310&lt;H310),"",(I310-H310)*1440)</x:f>
      </x:c>
      <x:c r="AG310" s="87" t="str">
        <x:f>IF(OR(I310="",M310="",M310&lt;I310),"",(M310-I310)*1440)</x:f>
      </x:c>
      <x:c r="AH310" s="87" t="str">
        <x:f>IF(OR(M310="",N310="",N310&lt;M310),"",(N310-M310)*1440)</x:f>
      </x:c>
      <x:c r="AI310" s="87" t="str">
        <x:f>IF(OR(H310="",N310="",N310&lt;H310),"",(N310-H310)*1440)</x:f>
      </x:c>
      <x:c r="AJ310" s="87" t="str">
        <x:f>IF(OR(I310="",N310="",N310&lt;I310),"",(N310-I310)*1440)</x:f>
      </x:c>
      <x:c r="AK310" s="87" t="str">
        <x:f>IF(OR(N310="",O310="",O310&lt;N310),"",(O310-N310)*1440)</x:f>
      </x:c>
      <x:c r="AL310" s="87" t="str">
        <x:f>IF(OR(O310="",P310="",P310&lt;O310),"",(P310-O310)*1440)</x:f>
      </x:c>
      <x:c r="AM310" s="87" t="str">
        <x:f>IF(OR(Q310="",R310="",R310&lt;Q310),"",(R310-Q310)*1440)</x:f>
      </x:c>
      <x:c r="AN310" s="87" t="str">
        <x:f>IF(OR(S310="",T310="",T310&lt;S310),"",(T310-S310)*1440)</x:f>
      </x:c>
      <x:c r="AO310" s="87" t="str">
        <x:f>IF(OR(U310="",V310=""),"",V310-U310)</x:f>
      </x:c>
      <x:c r="AP310" s="63" t="str">
        <x:f>IF(A310="","",IF(OR(B310="",H310="",N310=""),"Incompleto",IF(N310&lt;H310,"Revisar",IF(OR(G310="",G310="Não observado"),"Qualidade E0 ausente",IF(OR(G310="Sensor",G310="Marcação física"),"Válido — E0 observado",IF(G310="Cálculo","Válido — E0 calculado","Válido — E0 estimado"))))))</x:f>
      </x:c>
      <x:c r="AQ310" s="63" t="str">
        <x:f>IF(A310="","",IF(COUNTA(H310:T310)&lt;13,"Incompleta",IF(OR(I310&lt;H310,J310&lt;I310,K310&lt;J310,L310&lt;K310,M310&lt;L310,N310&lt;M310,O310&lt;N310,P310&lt;O310,Q310&lt;P310,R310&lt;Q310,S310&lt;R310,T310&lt;S310),"Revisar","Completa")))</x:f>
      </x:c>
      <x:c r="AR310" s="87" t="str">
        <x:f>IF(OR(V310="",W310="",Y310=""),"",Y310-(V310-W310))</x:f>
      </x:c>
      <x:c r="AS310" s="63" t="str">
        <x:f>IF(A310="","",IF(AND(E310&lt;&gt;"",F310&lt;&gt;"",G310&lt;&gt;"",Z310&lt;&gt;"",AA310&lt;&gt;"",AB310&lt;&gt;"",AC310&lt;&gt;""),"Completa","Incompleta"))</x:f>
      </x:c>
      <x:c r="AT310" s="63" t="str">
        <x:f>IF(A310="","",IF(COUNTIF($A$11:$A$410,A310)&gt;1,"ID duplicado",IF(AND(AR310&lt;&gt;"",ABS(AR310)&gt;0.01),"Revisar balanço",IF(AND(W310&lt;&gt;"",V310&lt;&gt;"",W310&gt;V310),"Retirada &gt; estoque",IF(AND(U310&lt;&gt;"",U310&lt;'Cenário Base'!$D$8*'Cenário Base'!$D$74),"E0 abaixo do gatilho",IF(AND(V310&lt;&gt;"",V310&gt;XLOOKUP(B310,$A$414:$A$418,$B$414:$B$418)),"Excedeu capacidade","Sem alerta"))))))</x:f>
      </x:c>
    </x:row>
    <x:row r="311">
      <x:c r="A311" s="43"/>
      <x:c r="B311" s="43"/>
      <x:c r="C311" s="43"/>
      <x:c r="D311" s="43"/>
      <x:c r="E311" s="43"/>
      <x:c r="F311" s="43"/>
      <x:c r="G311" s="43"/>
      <x:c r="H311" s="120"/>
      <x:c r="I311" s="120"/>
      <x:c r="J311" s="120"/>
      <x:c r="K311" s="120"/>
      <x:c r="L311" s="120"/>
      <x:c r="M311" s="120"/>
      <x:c r="N311" s="120"/>
      <x:c r="O311" s="120"/>
      <x:c r="P311" s="120"/>
      <x:c r="Q311" s="120"/>
      <x:c r="R311" s="120"/>
      <x:c r="S311" s="120"/>
      <x:c r="T311" s="120"/>
      <x:c r="U311" s="48"/>
      <x:c r="V311" s="48"/>
      <x:c r="W311" s="48"/>
      <x:c r="X311" s="48"/>
      <x:c r="Y311" s="48"/>
      <x:c r="Z311" s="49"/>
      <x:c r="AA311" s="43"/>
      <x:c r="AB311" s="43"/>
      <x:c r="AC311" s="43"/>
      <x:c r="AD311" s="43"/>
      <x:c r="AE311" s="43"/>
      <x:c r="AF311" s="87" t="str">
        <x:f>IF(OR(H311="",I311="",I311&lt;H311),"",(I311-H311)*1440)</x:f>
      </x:c>
      <x:c r="AG311" s="87" t="str">
        <x:f>IF(OR(I311="",M311="",M311&lt;I311),"",(M311-I311)*1440)</x:f>
      </x:c>
      <x:c r="AH311" s="87" t="str">
        <x:f>IF(OR(M311="",N311="",N311&lt;M311),"",(N311-M311)*1440)</x:f>
      </x:c>
      <x:c r="AI311" s="87" t="str">
        <x:f>IF(OR(H311="",N311="",N311&lt;H311),"",(N311-H311)*1440)</x:f>
      </x:c>
      <x:c r="AJ311" s="87" t="str">
        <x:f>IF(OR(I311="",N311="",N311&lt;I311),"",(N311-I311)*1440)</x:f>
      </x:c>
      <x:c r="AK311" s="87" t="str">
        <x:f>IF(OR(N311="",O311="",O311&lt;N311),"",(O311-N311)*1440)</x:f>
      </x:c>
      <x:c r="AL311" s="87" t="str">
        <x:f>IF(OR(O311="",P311="",P311&lt;O311),"",(P311-O311)*1440)</x:f>
      </x:c>
      <x:c r="AM311" s="87" t="str">
        <x:f>IF(OR(Q311="",R311="",R311&lt;Q311),"",(R311-Q311)*1440)</x:f>
      </x:c>
      <x:c r="AN311" s="87" t="str">
        <x:f>IF(OR(S311="",T311="",T311&lt;S311),"",(T311-S311)*1440)</x:f>
      </x:c>
      <x:c r="AO311" s="87" t="str">
        <x:f>IF(OR(U311="",V311=""),"",V311-U311)</x:f>
      </x:c>
      <x:c r="AP311" s="63" t="str">
        <x:f>IF(A311="","",IF(OR(B311="",H311="",N311=""),"Incompleto",IF(N311&lt;H311,"Revisar",IF(OR(G311="",G311="Não observado"),"Qualidade E0 ausente",IF(OR(G311="Sensor",G311="Marcação física"),"Válido — E0 observado",IF(G311="Cálculo","Válido — E0 calculado","Válido — E0 estimado"))))))</x:f>
      </x:c>
      <x:c r="AQ311" s="63" t="str">
        <x:f>IF(A311="","",IF(COUNTA(H311:T311)&lt;13,"Incompleta",IF(OR(I311&lt;H311,J311&lt;I311,K311&lt;J311,L311&lt;K311,M311&lt;L311,N311&lt;M311,O311&lt;N311,P311&lt;O311,Q311&lt;P311,R311&lt;Q311,S311&lt;R311,T311&lt;S311),"Revisar","Completa")))</x:f>
      </x:c>
      <x:c r="AR311" s="87" t="str">
        <x:f>IF(OR(V311="",W311="",Y311=""),"",Y311-(V311-W311))</x:f>
      </x:c>
      <x:c r="AS311" s="63" t="str">
        <x:f>IF(A311="","",IF(AND(E311&lt;&gt;"",F311&lt;&gt;"",G311&lt;&gt;"",Z311&lt;&gt;"",AA311&lt;&gt;"",AB311&lt;&gt;"",AC311&lt;&gt;""),"Completa","Incompleta"))</x:f>
      </x:c>
      <x:c r="AT311" s="63" t="str">
        <x:f>IF(A311="","",IF(COUNTIF($A$11:$A$410,A311)&gt;1,"ID duplicado",IF(AND(AR311&lt;&gt;"",ABS(AR311)&gt;0.01),"Revisar balanço",IF(AND(W311&lt;&gt;"",V311&lt;&gt;"",W311&gt;V311),"Retirada &gt; estoque",IF(AND(U311&lt;&gt;"",U311&lt;'Cenário Base'!$D$8*'Cenário Base'!$D$74),"E0 abaixo do gatilho",IF(AND(V311&lt;&gt;"",V311&gt;XLOOKUP(B311,$A$414:$A$418,$B$414:$B$418)),"Excedeu capacidade","Sem alerta"))))))</x:f>
      </x:c>
    </x:row>
    <x:row r="312">
      <x:c r="A312" s="43"/>
      <x:c r="B312" s="43"/>
      <x:c r="C312" s="43"/>
      <x:c r="D312" s="43"/>
      <x:c r="E312" s="43"/>
      <x:c r="F312" s="43"/>
      <x:c r="G312" s="43"/>
      <x:c r="H312" s="120"/>
      <x:c r="I312" s="120"/>
      <x:c r="J312" s="120"/>
      <x:c r="K312" s="120"/>
      <x:c r="L312" s="120"/>
      <x:c r="M312" s="120"/>
      <x:c r="N312" s="120"/>
      <x:c r="O312" s="120"/>
      <x:c r="P312" s="120"/>
      <x:c r="Q312" s="120"/>
      <x:c r="R312" s="120"/>
      <x:c r="S312" s="120"/>
      <x:c r="T312" s="120"/>
      <x:c r="U312" s="48"/>
      <x:c r="V312" s="48"/>
      <x:c r="W312" s="48"/>
      <x:c r="X312" s="48"/>
      <x:c r="Y312" s="48"/>
      <x:c r="Z312" s="49"/>
      <x:c r="AA312" s="43"/>
      <x:c r="AB312" s="43"/>
      <x:c r="AC312" s="43"/>
      <x:c r="AD312" s="43"/>
      <x:c r="AE312" s="43"/>
      <x:c r="AF312" s="87" t="str">
        <x:f>IF(OR(H312="",I312="",I312&lt;H312),"",(I312-H312)*1440)</x:f>
      </x:c>
      <x:c r="AG312" s="87" t="str">
        <x:f>IF(OR(I312="",M312="",M312&lt;I312),"",(M312-I312)*1440)</x:f>
      </x:c>
      <x:c r="AH312" s="87" t="str">
        <x:f>IF(OR(M312="",N312="",N312&lt;M312),"",(N312-M312)*1440)</x:f>
      </x:c>
      <x:c r="AI312" s="87" t="str">
        <x:f>IF(OR(H312="",N312="",N312&lt;H312),"",(N312-H312)*1440)</x:f>
      </x:c>
      <x:c r="AJ312" s="87" t="str">
        <x:f>IF(OR(I312="",N312="",N312&lt;I312),"",(N312-I312)*1440)</x:f>
      </x:c>
      <x:c r="AK312" s="87" t="str">
        <x:f>IF(OR(N312="",O312="",O312&lt;N312),"",(O312-N312)*1440)</x:f>
      </x:c>
      <x:c r="AL312" s="87" t="str">
        <x:f>IF(OR(O312="",P312="",P312&lt;O312),"",(P312-O312)*1440)</x:f>
      </x:c>
      <x:c r="AM312" s="87" t="str">
        <x:f>IF(OR(Q312="",R312="",R312&lt;Q312),"",(R312-Q312)*1440)</x:f>
      </x:c>
      <x:c r="AN312" s="87" t="str">
        <x:f>IF(OR(S312="",T312="",T312&lt;S312),"",(T312-S312)*1440)</x:f>
      </x:c>
      <x:c r="AO312" s="87" t="str">
        <x:f>IF(OR(U312="",V312=""),"",V312-U312)</x:f>
      </x:c>
      <x:c r="AP312" s="63" t="str">
        <x:f>IF(A312="","",IF(OR(B312="",H312="",N312=""),"Incompleto",IF(N312&lt;H312,"Revisar",IF(OR(G312="",G312="Não observado"),"Qualidade E0 ausente",IF(OR(G312="Sensor",G312="Marcação física"),"Válido — E0 observado",IF(G312="Cálculo","Válido — E0 calculado","Válido — E0 estimado"))))))</x:f>
      </x:c>
      <x:c r="AQ312" s="63" t="str">
        <x:f>IF(A312="","",IF(COUNTA(H312:T312)&lt;13,"Incompleta",IF(OR(I312&lt;H312,J312&lt;I312,K312&lt;J312,L312&lt;K312,M312&lt;L312,N312&lt;M312,O312&lt;N312,P312&lt;O312,Q312&lt;P312,R312&lt;Q312,S312&lt;R312,T312&lt;S312),"Revisar","Completa")))</x:f>
      </x:c>
      <x:c r="AR312" s="87" t="str">
        <x:f>IF(OR(V312="",W312="",Y312=""),"",Y312-(V312-W312))</x:f>
      </x:c>
      <x:c r="AS312" s="63" t="str">
        <x:f>IF(A312="","",IF(AND(E312&lt;&gt;"",F312&lt;&gt;"",G312&lt;&gt;"",Z312&lt;&gt;"",AA312&lt;&gt;"",AB312&lt;&gt;"",AC312&lt;&gt;""),"Completa","Incompleta"))</x:f>
      </x:c>
      <x:c r="AT312" s="63" t="str">
        <x:f>IF(A312="","",IF(COUNTIF($A$11:$A$410,A312)&gt;1,"ID duplicado",IF(AND(AR312&lt;&gt;"",ABS(AR312)&gt;0.01),"Revisar balanço",IF(AND(W312&lt;&gt;"",V312&lt;&gt;"",W312&gt;V312),"Retirada &gt; estoque",IF(AND(U312&lt;&gt;"",U312&lt;'Cenário Base'!$D$8*'Cenário Base'!$D$74),"E0 abaixo do gatilho",IF(AND(V312&lt;&gt;"",V312&gt;XLOOKUP(B312,$A$414:$A$418,$B$414:$B$418)),"Excedeu capacidade","Sem alerta"))))))</x:f>
      </x:c>
    </x:row>
    <x:row r="313">
      <x:c r="A313" s="43"/>
      <x:c r="B313" s="43"/>
      <x:c r="C313" s="43"/>
      <x:c r="D313" s="43"/>
      <x:c r="E313" s="43"/>
      <x:c r="F313" s="43"/>
      <x:c r="G313" s="43"/>
      <x:c r="H313" s="120"/>
      <x:c r="I313" s="120"/>
      <x:c r="J313" s="120"/>
      <x:c r="K313" s="120"/>
      <x:c r="L313" s="120"/>
      <x:c r="M313" s="120"/>
      <x:c r="N313" s="120"/>
      <x:c r="O313" s="120"/>
      <x:c r="P313" s="120"/>
      <x:c r="Q313" s="120"/>
      <x:c r="R313" s="120"/>
      <x:c r="S313" s="120"/>
      <x:c r="T313" s="120"/>
      <x:c r="U313" s="48"/>
      <x:c r="V313" s="48"/>
      <x:c r="W313" s="48"/>
      <x:c r="X313" s="48"/>
      <x:c r="Y313" s="48"/>
      <x:c r="Z313" s="49"/>
      <x:c r="AA313" s="43"/>
      <x:c r="AB313" s="43"/>
      <x:c r="AC313" s="43"/>
      <x:c r="AD313" s="43"/>
      <x:c r="AE313" s="43"/>
      <x:c r="AF313" s="87" t="str">
        <x:f>IF(OR(H313="",I313="",I313&lt;H313),"",(I313-H313)*1440)</x:f>
      </x:c>
      <x:c r="AG313" s="87" t="str">
        <x:f>IF(OR(I313="",M313="",M313&lt;I313),"",(M313-I313)*1440)</x:f>
      </x:c>
      <x:c r="AH313" s="87" t="str">
        <x:f>IF(OR(M313="",N313="",N313&lt;M313),"",(N313-M313)*1440)</x:f>
      </x:c>
      <x:c r="AI313" s="87" t="str">
        <x:f>IF(OR(H313="",N313="",N313&lt;H313),"",(N313-H313)*1440)</x:f>
      </x:c>
      <x:c r="AJ313" s="87" t="str">
        <x:f>IF(OR(I313="",N313="",N313&lt;I313),"",(N313-I313)*1440)</x:f>
      </x:c>
      <x:c r="AK313" s="87" t="str">
        <x:f>IF(OR(N313="",O313="",O313&lt;N313),"",(O313-N313)*1440)</x:f>
      </x:c>
      <x:c r="AL313" s="87" t="str">
        <x:f>IF(OR(O313="",P313="",P313&lt;O313),"",(P313-O313)*1440)</x:f>
      </x:c>
      <x:c r="AM313" s="87" t="str">
        <x:f>IF(OR(Q313="",R313="",R313&lt;Q313),"",(R313-Q313)*1440)</x:f>
      </x:c>
      <x:c r="AN313" s="87" t="str">
        <x:f>IF(OR(S313="",T313="",T313&lt;S313),"",(T313-S313)*1440)</x:f>
      </x:c>
      <x:c r="AO313" s="87" t="str">
        <x:f>IF(OR(U313="",V313=""),"",V313-U313)</x:f>
      </x:c>
      <x:c r="AP313" s="63" t="str">
        <x:f>IF(A313="","",IF(OR(B313="",H313="",N313=""),"Incompleto",IF(N313&lt;H313,"Revisar",IF(OR(G313="",G313="Não observado"),"Qualidade E0 ausente",IF(OR(G313="Sensor",G313="Marcação física"),"Válido — E0 observado",IF(G313="Cálculo","Válido — E0 calculado","Válido — E0 estimado"))))))</x:f>
      </x:c>
      <x:c r="AQ313" s="63" t="str">
        <x:f>IF(A313="","",IF(COUNTA(H313:T313)&lt;13,"Incompleta",IF(OR(I313&lt;H313,J313&lt;I313,K313&lt;J313,L313&lt;K313,M313&lt;L313,N313&lt;M313,O313&lt;N313,P313&lt;O313,Q313&lt;P313,R313&lt;Q313,S313&lt;R313,T313&lt;S313),"Revisar","Completa")))</x:f>
      </x:c>
      <x:c r="AR313" s="87" t="str">
        <x:f>IF(OR(V313="",W313="",Y313=""),"",Y313-(V313-W313))</x:f>
      </x:c>
      <x:c r="AS313" s="63" t="str">
        <x:f>IF(A313="","",IF(AND(E313&lt;&gt;"",F313&lt;&gt;"",G313&lt;&gt;"",Z313&lt;&gt;"",AA313&lt;&gt;"",AB313&lt;&gt;"",AC313&lt;&gt;""),"Completa","Incompleta"))</x:f>
      </x:c>
      <x:c r="AT313" s="63" t="str">
        <x:f>IF(A313="","",IF(COUNTIF($A$11:$A$410,A313)&gt;1,"ID duplicado",IF(AND(AR313&lt;&gt;"",ABS(AR313)&gt;0.01),"Revisar balanço",IF(AND(W313&lt;&gt;"",V313&lt;&gt;"",W313&gt;V313),"Retirada &gt; estoque",IF(AND(U313&lt;&gt;"",U313&lt;'Cenário Base'!$D$8*'Cenário Base'!$D$74),"E0 abaixo do gatilho",IF(AND(V313&lt;&gt;"",V313&gt;XLOOKUP(B313,$A$414:$A$418,$B$414:$B$418)),"Excedeu capacidade","Sem alerta"))))))</x:f>
      </x:c>
    </x:row>
    <x:row r="314">
      <x:c r="A314" s="43"/>
      <x:c r="B314" s="43"/>
      <x:c r="C314" s="43"/>
      <x:c r="D314" s="43"/>
      <x:c r="E314" s="43"/>
      <x:c r="F314" s="43"/>
      <x:c r="G314" s="43"/>
      <x:c r="H314" s="120"/>
      <x:c r="I314" s="120"/>
      <x:c r="J314" s="120"/>
      <x:c r="K314" s="120"/>
      <x:c r="L314" s="120"/>
      <x:c r="M314" s="120"/>
      <x:c r="N314" s="120"/>
      <x:c r="O314" s="120"/>
      <x:c r="P314" s="120"/>
      <x:c r="Q314" s="120"/>
      <x:c r="R314" s="120"/>
      <x:c r="S314" s="120"/>
      <x:c r="T314" s="120"/>
      <x:c r="U314" s="48"/>
      <x:c r="V314" s="48"/>
      <x:c r="W314" s="48"/>
      <x:c r="X314" s="48"/>
      <x:c r="Y314" s="48"/>
      <x:c r="Z314" s="49"/>
      <x:c r="AA314" s="43"/>
      <x:c r="AB314" s="43"/>
      <x:c r="AC314" s="43"/>
      <x:c r="AD314" s="43"/>
      <x:c r="AE314" s="43"/>
      <x:c r="AF314" s="87" t="str">
        <x:f>IF(OR(H314="",I314="",I314&lt;H314),"",(I314-H314)*1440)</x:f>
      </x:c>
      <x:c r="AG314" s="87" t="str">
        <x:f>IF(OR(I314="",M314="",M314&lt;I314),"",(M314-I314)*1440)</x:f>
      </x:c>
      <x:c r="AH314" s="87" t="str">
        <x:f>IF(OR(M314="",N314="",N314&lt;M314),"",(N314-M314)*1440)</x:f>
      </x:c>
      <x:c r="AI314" s="87" t="str">
        <x:f>IF(OR(H314="",N314="",N314&lt;H314),"",(N314-H314)*1440)</x:f>
      </x:c>
      <x:c r="AJ314" s="87" t="str">
        <x:f>IF(OR(I314="",N314="",N314&lt;I314),"",(N314-I314)*1440)</x:f>
      </x:c>
      <x:c r="AK314" s="87" t="str">
        <x:f>IF(OR(N314="",O314="",O314&lt;N314),"",(O314-N314)*1440)</x:f>
      </x:c>
      <x:c r="AL314" s="87" t="str">
        <x:f>IF(OR(O314="",P314="",P314&lt;O314),"",(P314-O314)*1440)</x:f>
      </x:c>
      <x:c r="AM314" s="87" t="str">
        <x:f>IF(OR(Q314="",R314="",R314&lt;Q314),"",(R314-Q314)*1440)</x:f>
      </x:c>
      <x:c r="AN314" s="87" t="str">
        <x:f>IF(OR(S314="",T314="",T314&lt;S314),"",(T314-S314)*1440)</x:f>
      </x:c>
      <x:c r="AO314" s="87" t="str">
        <x:f>IF(OR(U314="",V314=""),"",V314-U314)</x:f>
      </x:c>
      <x:c r="AP314" s="63" t="str">
        <x:f>IF(A314="","",IF(OR(B314="",H314="",N314=""),"Incompleto",IF(N314&lt;H314,"Revisar",IF(OR(G314="",G314="Não observado"),"Qualidade E0 ausente",IF(OR(G314="Sensor",G314="Marcação física"),"Válido — E0 observado",IF(G314="Cálculo","Válido — E0 calculado","Válido — E0 estimado"))))))</x:f>
      </x:c>
      <x:c r="AQ314" s="63" t="str">
        <x:f>IF(A314="","",IF(COUNTA(H314:T314)&lt;13,"Incompleta",IF(OR(I314&lt;H314,J314&lt;I314,K314&lt;J314,L314&lt;K314,M314&lt;L314,N314&lt;M314,O314&lt;N314,P314&lt;O314,Q314&lt;P314,R314&lt;Q314,S314&lt;R314,T314&lt;S314),"Revisar","Completa")))</x:f>
      </x:c>
      <x:c r="AR314" s="87" t="str">
        <x:f>IF(OR(V314="",W314="",Y314=""),"",Y314-(V314-W314))</x:f>
      </x:c>
      <x:c r="AS314" s="63" t="str">
        <x:f>IF(A314="","",IF(AND(E314&lt;&gt;"",F314&lt;&gt;"",G314&lt;&gt;"",Z314&lt;&gt;"",AA314&lt;&gt;"",AB314&lt;&gt;"",AC314&lt;&gt;""),"Completa","Incompleta"))</x:f>
      </x:c>
      <x:c r="AT314" s="63" t="str">
        <x:f>IF(A314="","",IF(COUNTIF($A$11:$A$410,A314)&gt;1,"ID duplicado",IF(AND(AR314&lt;&gt;"",ABS(AR314)&gt;0.01),"Revisar balanço",IF(AND(W314&lt;&gt;"",V314&lt;&gt;"",W314&gt;V314),"Retirada &gt; estoque",IF(AND(U314&lt;&gt;"",U314&lt;'Cenário Base'!$D$8*'Cenário Base'!$D$74),"E0 abaixo do gatilho",IF(AND(V314&lt;&gt;"",V314&gt;XLOOKUP(B314,$A$414:$A$418,$B$414:$B$418)),"Excedeu capacidade","Sem alerta"))))))</x:f>
      </x:c>
    </x:row>
    <x:row r="315">
      <x:c r="A315" s="43"/>
      <x:c r="B315" s="43"/>
      <x:c r="C315" s="43"/>
      <x:c r="D315" s="43"/>
      <x:c r="E315" s="43"/>
      <x:c r="F315" s="43"/>
      <x:c r="G315" s="43"/>
      <x:c r="H315" s="120"/>
      <x:c r="I315" s="120"/>
      <x:c r="J315" s="120"/>
      <x:c r="K315" s="120"/>
      <x:c r="L315" s="120"/>
      <x:c r="M315" s="120"/>
      <x:c r="N315" s="120"/>
      <x:c r="O315" s="120"/>
      <x:c r="P315" s="120"/>
      <x:c r="Q315" s="120"/>
      <x:c r="R315" s="120"/>
      <x:c r="S315" s="120"/>
      <x:c r="T315" s="120"/>
      <x:c r="U315" s="48"/>
      <x:c r="V315" s="48"/>
      <x:c r="W315" s="48"/>
      <x:c r="X315" s="48"/>
      <x:c r="Y315" s="48"/>
      <x:c r="Z315" s="49"/>
      <x:c r="AA315" s="43"/>
      <x:c r="AB315" s="43"/>
      <x:c r="AC315" s="43"/>
      <x:c r="AD315" s="43"/>
      <x:c r="AE315" s="43"/>
      <x:c r="AF315" s="87" t="str">
        <x:f>IF(OR(H315="",I315="",I315&lt;H315),"",(I315-H315)*1440)</x:f>
      </x:c>
      <x:c r="AG315" s="87" t="str">
        <x:f>IF(OR(I315="",M315="",M315&lt;I315),"",(M315-I315)*1440)</x:f>
      </x:c>
      <x:c r="AH315" s="87" t="str">
        <x:f>IF(OR(M315="",N315="",N315&lt;M315),"",(N315-M315)*1440)</x:f>
      </x:c>
      <x:c r="AI315" s="87" t="str">
        <x:f>IF(OR(H315="",N315="",N315&lt;H315),"",(N315-H315)*1440)</x:f>
      </x:c>
      <x:c r="AJ315" s="87" t="str">
        <x:f>IF(OR(I315="",N315="",N315&lt;I315),"",(N315-I315)*1440)</x:f>
      </x:c>
      <x:c r="AK315" s="87" t="str">
        <x:f>IF(OR(N315="",O315="",O315&lt;N315),"",(O315-N315)*1440)</x:f>
      </x:c>
      <x:c r="AL315" s="87" t="str">
        <x:f>IF(OR(O315="",P315="",P315&lt;O315),"",(P315-O315)*1440)</x:f>
      </x:c>
      <x:c r="AM315" s="87" t="str">
        <x:f>IF(OR(Q315="",R315="",R315&lt;Q315),"",(R315-Q315)*1440)</x:f>
      </x:c>
      <x:c r="AN315" s="87" t="str">
        <x:f>IF(OR(S315="",T315="",T315&lt;S315),"",(T315-S315)*1440)</x:f>
      </x:c>
      <x:c r="AO315" s="87" t="str">
        <x:f>IF(OR(U315="",V315=""),"",V315-U315)</x:f>
      </x:c>
      <x:c r="AP315" s="63" t="str">
        <x:f>IF(A315="","",IF(OR(B315="",H315="",N315=""),"Incompleto",IF(N315&lt;H315,"Revisar",IF(OR(G315="",G315="Não observado"),"Qualidade E0 ausente",IF(OR(G315="Sensor",G315="Marcação física"),"Válido — E0 observado",IF(G315="Cálculo","Válido — E0 calculado","Válido — E0 estimado"))))))</x:f>
      </x:c>
      <x:c r="AQ315" s="63" t="str">
        <x:f>IF(A315="","",IF(COUNTA(H315:T315)&lt;13,"Incompleta",IF(OR(I315&lt;H315,J315&lt;I315,K315&lt;J315,L315&lt;K315,M315&lt;L315,N315&lt;M315,O315&lt;N315,P315&lt;O315,Q315&lt;P315,R315&lt;Q315,S315&lt;R315,T315&lt;S315),"Revisar","Completa")))</x:f>
      </x:c>
      <x:c r="AR315" s="87" t="str">
        <x:f>IF(OR(V315="",W315="",Y315=""),"",Y315-(V315-W315))</x:f>
      </x:c>
      <x:c r="AS315" s="63" t="str">
        <x:f>IF(A315="","",IF(AND(E315&lt;&gt;"",F315&lt;&gt;"",G315&lt;&gt;"",Z315&lt;&gt;"",AA315&lt;&gt;"",AB315&lt;&gt;"",AC315&lt;&gt;""),"Completa","Incompleta"))</x:f>
      </x:c>
      <x:c r="AT315" s="63" t="str">
        <x:f>IF(A315="","",IF(COUNTIF($A$11:$A$410,A315)&gt;1,"ID duplicado",IF(AND(AR315&lt;&gt;"",ABS(AR315)&gt;0.01),"Revisar balanço",IF(AND(W315&lt;&gt;"",V315&lt;&gt;"",W315&gt;V315),"Retirada &gt; estoque",IF(AND(U315&lt;&gt;"",U315&lt;'Cenário Base'!$D$8*'Cenário Base'!$D$74),"E0 abaixo do gatilho",IF(AND(V315&lt;&gt;"",V315&gt;XLOOKUP(B315,$A$414:$A$418,$B$414:$B$418)),"Excedeu capacidade","Sem alerta"))))))</x:f>
      </x:c>
    </x:row>
    <x:row r="316">
      <x:c r="A316" s="43"/>
      <x:c r="B316" s="43"/>
      <x:c r="C316" s="43"/>
      <x:c r="D316" s="43"/>
      <x:c r="E316" s="43"/>
      <x:c r="F316" s="43"/>
      <x:c r="G316" s="43"/>
      <x:c r="H316" s="120"/>
      <x:c r="I316" s="120"/>
      <x:c r="J316" s="120"/>
      <x:c r="K316" s="120"/>
      <x:c r="L316" s="120"/>
      <x:c r="M316" s="120"/>
      <x:c r="N316" s="120"/>
      <x:c r="O316" s="120"/>
      <x:c r="P316" s="120"/>
      <x:c r="Q316" s="120"/>
      <x:c r="R316" s="120"/>
      <x:c r="S316" s="120"/>
      <x:c r="T316" s="120"/>
      <x:c r="U316" s="48"/>
      <x:c r="V316" s="48"/>
      <x:c r="W316" s="48"/>
      <x:c r="X316" s="48"/>
      <x:c r="Y316" s="48"/>
      <x:c r="Z316" s="49"/>
      <x:c r="AA316" s="43"/>
      <x:c r="AB316" s="43"/>
      <x:c r="AC316" s="43"/>
      <x:c r="AD316" s="43"/>
      <x:c r="AE316" s="43"/>
      <x:c r="AF316" s="87" t="str">
        <x:f>IF(OR(H316="",I316="",I316&lt;H316),"",(I316-H316)*1440)</x:f>
      </x:c>
      <x:c r="AG316" s="87" t="str">
        <x:f>IF(OR(I316="",M316="",M316&lt;I316),"",(M316-I316)*1440)</x:f>
      </x:c>
      <x:c r="AH316" s="87" t="str">
        <x:f>IF(OR(M316="",N316="",N316&lt;M316),"",(N316-M316)*1440)</x:f>
      </x:c>
      <x:c r="AI316" s="87" t="str">
        <x:f>IF(OR(H316="",N316="",N316&lt;H316),"",(N316-H316)*1440)</x:f>
      </x:c>
      <x:c r="AJ316" s="87" t="str">
        <x:f>IF(OR(I316="",N316="",N316&lt;I316),"",(N316-I316)*1440)</x:f>
      </x:c>
      <x:c r="AK316" s="87" t="str">
        <x:f>IF(OR(N316="",O316="",O316&lt;N316),"",(O316-N316)*1440)</x:f>
      </x:c>
      <x:c r="AL316" s="87" t="str">
        <x:f>IF(OR(O316="",P316="",P316&lt;O316),"",(P316-O316)*1440)</x:f>
      </x:c>
      <x:c r="AM316" s="87" t="str">
        <x:f>IF(OR(Q316="",R316="",R316&lt;Q316),"",(R316-Q316)*1440)</x:f>
      </x:c>
      <x:c r="AN316" s="87" t="str">
        <x:f>IF(OR(S316="",T316="",T316&lt;S316),"",(T316-S316)*1440)</x:f>
      </x:c>
      <x:c r="AO316" s="87" t="str">
        <x:f>IF(OR(U316="",V316=""),"",V316-U316)</x:f>
      </x:c>
      <x:c r="AP316" s="63" t="str">
        <x:f>IF(A316="","",IF(OR(B316="",H316="",N316=""),"Incompleto",IF(N316&lt;H316,"Revisar",IF(OR(G316="",G316="Não observado"),"Qualidade E0 ausente",IF(OR(G316="Sensor",G316="Marcação física"),"Válido — E0 observado",IF(G316="Cálculo","Válido — E0 calculado","Válido — E0 estimado"))))))</x:f>
      </x:c>
      <x:c r="AQ316" s="63" t="str">
        <x:f>IF(A316="","",IF(COUNTA(H316:T316)&lt;13,"Incompleta",IF(OR(I316&lt;H316,J316&lt;I316,K316&lt;J316,L316&lt;K316,M316&lt;L316,N316&lt;M316,O316&lt;N316,P316&lt;O316,Q316&lt;P316,R316&lt;Q316,S316&lt;R316,T316&lt;S316),"Revisar","Completa")))</x:f>
      </x:c>
      <x:c r="AR316" s="87" t="str">
        <x:f>IF(OR(V316="",W316="",Y316=""),"",Y316-(V316-W316))</x:f>
      </x:c>
      <x:c r="AS316" s="63" t="str">
        <x:f>IF(A316="","",IF(AND(E316&lt;&gt;"",F316&lt;&gt;"",G316&lt;&gt;"",Z316&lt;&gt;"",AA316&lt;&gt;"",AB316&lt;&gt;"",AC316&lt;&gt;""),"Completa","Incompleta"))</x:f>
      </x:c>
      <x:c r="AT316" s="63" t="str">
        <x:f>IF(A316="","",IF(COUNTIF($A$11:$A$410,A316)&gt;1,"ID duplicado",IF(AND(AR316&lt;&gt;"",ABS(AR316)&gt;0.01),"Revisar balanço",IF(AND(W316&lt;&gt;"",V316&lt;&gt;"",W316&gt;V316),"Retirada &gt; estoque",IF(AND(U316&lt;&gt;"",U316&lt;'Cenário Base'!$D$8*'Cenário Base'!$D$74),"E0 abaixo do gatilho",IF(AND(V316&lt;&gt;"",V316&gt;XLOOKUP(B316,$A$414:$A$418,$B$414:$B$418)),"Excedeu capacidade","Sem alerta"))))))</x:f>
      </x:c>
    </x:row>
    <x:row r="317">
      <x:c r="A317" s="43"/>
      <x:c r="B317" s="43"/>
      <x:c r="C317" s="43"/>
      <x:c r="D317" s="43"/>
      <x:c r="E317" s="43"/>
      <x:c r="F317" s="43"/>
      <x:c r="G317" s="43"/>
      <x:c r="H317" s="120"/>
      <x:c r="I317" s="120"/>
      <x:c r="J317" s="120"/>
      <x:c r="K317" s="120"/>
      <x:c r="L317" s="120"/>
      <x:c r="M317" s="120"/>
      <x:c r="N317" s="120"/>
      <x:c r="O317" s="120"/>
      <x:c r="P317" s="120"/>
      <x:c r="Q317" s="120"/>
      <x:c r="R317" s="120"/>
      <x:c r="S317" s="120"/>
      <x:c r="T317" s="120"/>
      <x:c r="U317" s="48"/>
      <x:c r="V317" s="48"/>
      <x:c r="W317" s="48"/>
      <x:c r="X317" s="48"/>
      <x:c r="Y317" s="48"/>
      <x:c r="Z317" s="49"/>
      <x:c r="AA317" s="43"/>
      <x:c r="AB317" s="43"/>
      <x:c r="AC317" s="43"/>
      <x:c r="AD317" s="43"/>
      <x:c r="AE317" s="43"/>
      <x:c r="AF317" s="87" t="str">
        <x:f>IF(OR(H317="",I317="",I317&lt;H317),"",(I317-H317)*1440)</x:f>
      </x:c>
      <x:c r="AG317" s="87" t="str">
        <x:f>IF(OR(I317="",M317="",M317&lt;I317),"",(M317-I317)*1440)</x:f>
      </x:c>
      <x:c r="AH317" s="87" t="str">
        <x:f>IF(OR(M317="",N317="",N317&lt;M317),"",(N317-M317)*1440)</x:f>
      </x:c>
      <x:c r="AI317" s="87" t="str">
        <x:f>IF(OR(H317="",N317="",N317&lt;H317),"",(N317-H317)*1440)</x:f>
      </x:c>
      <x:c r="AJ317" s="87" t="str">
        <x:f>IF(OR(I317="",N317="",N317&lt;I317),"",(N317-I317)*1440)</x:f>
      </x:c>
      <x:c r="AK317" s="87" t="str">
        <x:f>IF(OR(N317="",O317="",O317&lt;N317),"",(O317-N317)*1440)</x:f>
      </x:c>
      <x:c r="AL317" s="87" t="str">
        <x:f>IF(OR(O317="",P317="",P317&lt;O317),"",(P317-O317)*1440)</x:f>
      </x:c>
      <x:c r="AM317" s="87" t="str">
        <x:f>IF(OR(Q317="",R317="",R317&lt;Q317),"",(R317-Q317)*1440)</x:f>
      </x:c>
      <x:c r="AN317" s="87" t="str">
        <x:f>IF(OR(S317="",T317="",T317&lt;S317),"",(T317-S317)*1440)</x:f>
      </x:c>
      <x:c r="AO317" s="87" t="str">
        <x:f>IF(OR(U317="",V317=""),"",V317-U317)</x:f>
      </x:c>
      <x:c r="AP317" s="63" t="str">
        <x:f>IF(A317="","",IF(OR(B317="",H317="",N317=""),"Incompleto",IF(N317&lt;H317,"Revisar",IF(OR(G317="",G317="Não observado"),"Qualidade E0 ausente",IF(OR(G317="Sensor",G317="Marcação física"),"Válido — E0 observado",IF(G317="Cálculo","Válido — E0 calculado","Válido — E0 estimado"))))))</x:f>
      </x:c>
      <x:c r="AQ317" s="63" t="str">
        <x:f>IF(A317="","",IF(COUNTA(H317:T317)&lt;13,"Incompleta",IF(OR(I317&lt;H317,J317&lt;I317,K317&lt;J317,L317&lt;K317,M317&lt;L317,N317&lt;M317,O317&lt;N317,P317&lt;O317,Q317&lt;P317,R317&lt;Q317,S317&lt;R317,T317&lt;S317),"Revisar","Completa")))</x:f>
      </x:c>
      <x:c r="AR317" s="87" t="str">
        <x:f>IF(OR(V317="",W317="",Y317=""),"",Y317-(V317-W317))</x:f>
      </x:c>
      <x:c r="AS317" s="63" t="str">
        <x:f>IF(A317="","",IF(AND(E317&lt;&gt;"",F317&lt;&gt;"",G317&lt;&gt;"",Z317&lt;&gt;"",AA317&lt;&gt;"",AB317&lt;&gt;"",AC317&lt;&gt;""),"Completa","Incompleta"))</x:f>
      </x:c>
      <x:c r="AT317" s="63" t="str">
        <x:f>IF(A317="","",IF(COUNTIF($A$11:$A$410,A317)&gt;1,"ID duplicado",IF(AND(AR317&lt;&gt;"",ABS(AR317)&gt;0.01),"Revisar balanço",IF(AND(W317&lt;&gt;"",V317&lt;&gt;"",W317&gt;V317),"Retirada &gt; estoque",IF(AND(U317&lt;&gt;"",U317&lt;'Cenário Base'!$D$8*'Cenário Base'!$D$74),"E0 abaixo do gatilho",IF(AND(V317&lt;&gt;"",V317&gt;XLOOKUP(B317,$A$414:$A$418,$B$414:$B$418)),"Excedeu capacidade","Sem alerta"))))))</x:f>
      </x:c>
    </x:row>
    <x:row r="318">
      <x:c r="A318" s="43"/>
      <x:c r="B318" s="43"/>
      <x:c r="C318" s="43"/>
      <x:c r="D318" s="43"/>
      <x:c r="E318" s="43"/>
      <x:c r="F318" s="43"/>
      <x:c r="G318" s="43"/>
      <x:c r="H318" s="120"/>
      <x:c r="I318" s="120"/>
      <x:c r="J318" s="120"/>
      <x:c r="K318" s="120"/>
      <x:c r="L318" s="120"/>
      <x:c r="M318" s="120"/>
      <x:c r="N318" s="120"/>
      <x:c r="O318" s="120"/>
      <x:c r="P318" s="120"/>
      <x:c r="Q318" s="120"/>
      <x:c r="R318" s="120"/>
      <x:c r="S318" s="120"/>
      <x:c r="T318" s="120"/>
      <x:c r="U318" s="48"/>
      <x:c r="V318" s="48"/>
      <x:c r="W318" s="48"/>
      <x:c r="X318" s="48"/>
      <x:c r="Y318" s="48"/>
      <x:c r="Z318" s="49"/>
      <x:c r="AA318" s="43"/>
      <x:c r="AB318" s="43"/>
      <x:c r="AC318" s="43"/>
      <x:c r="AD318" s="43"/>
      <x:c r="AE318" s="43"/>
      <x:c r="AF318" s="87" t="str">
        <x:f>IF(OR(H318="",I318="",I318&lt;H318),"",(I318-H318)*1440)</x:f>
      </x:c>
      <x:c r="AG318" s="87" t="str">
        <x:f>IF(OR(I318="",M318="",M318&lt;I318),"",(M318-I318)*1440)</x:f>
      </x:c>
      <x:c r="AH318" s="87" t="str">
        <x:f>IF(OR(M318="",N318="",N318&lt;M318),"",(N318-M318)*1440)</x:f>
      </x:c>
      <x:c r="AI318" s="87" t="str">
        <x:f>IF(OR(H318="",N318="",N318&lt;H318),"",(N318-H318)*1440)</x:f>
      </x:c>
      <x:c r="AJ318" s="87" t="str">
        <x:f>IF(OR(I318="",N318="",N318&lt;I318),"",(N318-I318)*1440)</x:f>
      </x:c>
      <x:c r="AK318" s="87" t="str">
        <x:f>IF(OR(N318="",O318="",O318&lt;N318),"",(O318-N318)*1440)</x:f>
      </x:c>
      <x:c r="AL318" s="87" t="str">
        <x:f>IF(OR(O318="",P318="",P318&lt;O318),"",(P318-O318)*1440)</x:f>
      </x:c>
      <x:c r="AM318" s="87" t="str">
        <x:f>IF(OR(Q318="",R318="",R318&lt;Q318),"",(R318-Q318)*1440)</x:f>
      </x:c>
      <x:c r="AN318" s="87" t="str">
        <x:f>IF(OR(S318="",T318="",T318&lt;S318),"",(T318-S318)*1440)</x:f>
      </x:c>
      <x:c r="AO318" s="87" t="str">
        <x:f>IF(OR(U318="",V318=""),"",V318-U318)</x:f>
      </x:c>
      <x:c r="AP318" s="63" t="str">
        <x:f>IF(A318="","",IF(OR(B318="",H318="",N318=""),"Incompleto",IF(N318&lt;H318,"Revisar",IF(OR(G318="",G318="Não observado"),"Qualidade E0 ausente",IF(OR(G318="Sensor",G318="Marcação física"),"Válido — E0 observado",IF(G318="Cálculo","Válido — E0 calculado","Válido — E0 estimado"))))))</x:f>
      </x:c>
      <x:c r="AQ318" s="63" t="str">
        <x:f>IF(A318="","",IF(COUNTA(H318:T318)&lt;13,"Incompleta",IF(OR(I318&lt;H318,J318&lt;I318,K318&lt;J318,L318&lt;K318,M318&lt;L318,N318&lt;M318,O318&lt;N318,P318&lt;O318,Q318&lt;P318,R318&lt;Q318,S318&lt;R318,T318&lt;S318),"Revisar","Completa")))</x:f>
      </x:c>
      <x:c r="AR318" s="87" t="str">
        <x:f>IF(OR(V318="",W318="",Y318=""),"",Y318-(V318-W318))</x:f>
      </x:c>
      <x:c r="AS318" s="63" t="str">
        <x:f>IF(A318="","",IF(AND(E318&lt;&gt;"",F318&lt;&gt;"",G318&lt;&gt;"",Z318&lt;&gt;"",AA318&lt;&gt;"",AB318&lt;&gt;"",AC318&lt;&gt;""),"Completa","Incompleta"))</x:f>
      </x:c>
      <x:c r="AT318" s="63" t="str">
        <x:f>IF(A318="","",IF(COUNTIF($A$11:$A$410,A318)&gt;1,"ID duplicado",IF(AND(AR318&lt;&gt;"",ABS(AR318)&gt;0.01),"Revisar balanço",IF(AND(W318&lt;&gt;"",V318&lt;&gt;"",W318&gt;V318),"Retirada &gt; estoque",IF(AND(U318&lt;&gt;"",U318&lt;'Cenário Base'!$D$8*'Cenário Base'!$D$74),"E0 abaixo do gatilho",IF(AND(V318&lt;&gt;"",V318&gt;XLOOKUP(B318,$A$414:$A$418,$B$414:$B$418)),"Excedeu capacidade","Sem alerta"))))))</x:f>
      </x:c>
    </x:row>
    <x:row r="319">
      <x:c r="A319" s="43"/>
      <x:c r="B319" s="43"/>
      <x:c r="C319" s="43"/>
      <x:c r="D319" s="43"/>
      <x:c r="E319" s="43"/>
      <x:c r="F319" s="43"/>
      <x:c r="G319" s="43"/>
      <x:c r="H319" s="120"/>
      <x:c r="I319" s="120"/>
      <x:c r="J319" s="120"/>
      <x:c r="K319" s="120"/>
      <x:c r="L319" s="120"/>
      <x:c r="M319" s="120"/>
      <x:c r="N319" s="120"/>
      <x:c r="O319" s="120"/>
      <x:c r="P319" s="120"/>
      <x:c r="Q319" s="120"/>
      <x:c r="R319" s="120"/>
      <x:c r="S319" s="120"/>
      <x:c r="T319" s="120"/>
      <x:c r="U319" s="48"/>
      <x:c r="V319" s="48"/>
      <x:c r="W319" s="48"/>
      <x:c r="X319" s="48"/>
      <x:c r="Y319" s="48"/>
      <x:c r="Z319" s="49"/>
      <x:c r="AA319" s="43"/>
      <x:c r="AB319" s="43"/>
      <x:c r="AC319" s="43"/>
      <x:c r="AD319" s="43"/>
      <x:c r="AE319" s="43"/>
      <x:c r="AF319" s="87" t="str">
        <x:f>IF(OR(H319="",I319="",I319&lt;H319),"",(I319-H319)*1440)</x:f>
      </x:c>
      <x:c r="AG319" s="87" t="str">
        <x:f>IF(OR(I319="",M319="",M319&lt;I319),"",(M319-I319)*1440)</x:f>
      </x:c>
      <x:c r="AH319" s="87" t="str">
        <x:f>IF(OR(M319="",N319="",N319&lt;M319),"",(N319-M319)*1440)</x:f>
      </x:c>
      <x:c r="AI319" s="87" t="str">
        <x:f>IF(OR(H319="",N319="",N319&lt;H319),"",(N319-H319)*1440)</x:f>
      </x:c>
      <x:c r="AJ319" s="87" t="str">
        <x:f>IF(OR(I319="",N319="",N319&lt;I319),"",(N319-I319)*1440)</x:f>
      </x:c>
      <x:c r="AK319" s="87" t="str">
        <x:f>IF(OR(N319="",O319="",O319&lt;N319),"",(O319-N319)*1440)</x:f>
      </x:c>
      <x:c r="AL319" s="87" t="str">
        <x:f>IF(OR(O319="",P319="",P319&lt;O319),"",(P319-O319)*1440)</x:f>
      </x:c>
      <x:c r="AM319" s="87" t="str">
        <x:f>IF(OR(Q319="",R319="",R319&lt;Q319),"",(R319-Q319)*1440)</x:f>
      </x:c>
      <x:c r="AN319" s="87" t="str">
        <x:f>IF(OR(S319="",T319="",T319&lt;S319),"",(T319-S319)*1440)</x:f>
      </x:c>
      <x:c r="AO319" s="87" t="str">
        <x:f>IF(OR(U319="",V319=""),"",V319-U319)</x:f>
      </x:c>
      <x:c r="AP319" s="63" t="str">
        <x:f>IF(A319="","",IF(OR(B319="",H319="",N319=""),"Incompleto",IF(N319&lt;H319,"Revisar",IF(OR(G319="",G319="Não observado"),"Qualidade E0 ausente",IF(OR(G319="Sensor",G319="Marcação física"),"Válido — E0 observado",IF(G319="Cálculo","Válido — E0 calculado","Válido — E0 estimado"))))))</x:f>
      </x:c>
      <x:c r="AQ319" s="63" t="str">
        <x:f>IF(A319="","",IF(COUNTA(H319:T319)&lt;13,"Incompleta",IF(OR(I319&lt;H319,J319&lt;I319,K319&lt;J319,L319&lt;K319,M319&lt;L319,N319&lt;M319,O319&lt;N319,P319&lt;O319,Q319&lt;P319,R319&lt;Q319,S319&lt;R319,T319&lt;S319),"Revisar","Completa")))</x:f>
      </x:c>
      <x:c r="AR319" s="87" t="str">
        <x:f>IF(OR(V319="",W319="",Y319=""),"",Y319-(V319-W319))</x:f>
      </x:c>
      <x:c r="AS319" s="63" t="str">
        <x:f>IF(A319="","",IF(AND(E319&lt;&gt;"",F319&lt;&gt;"",G319&lt;&gt;"",Z319&lt;&gt;"",AA319&lt;&gt;"",AB319&lt;&gt;"",AC319&lt;&gt;""),"Completa","Incompleta"))</x:f>
      </x:c>
      <x:c r="AT319" s="63" t="str">
        <x:f>IF(A319="","",IF(COUNTIF($A$11:$A$410,A319)&gt;1,"ID duplicado",IF(AND(AR319&lt;&gt;"",ABS(AR319)&gt;0.01),"Revisar balanço",IF(AND(W319&lt;&gt;"",V319&lt;&gt;"",W319&gt;V319),"Retirada &gt; estoque",IF(AND(U319&lt;&gt;"",U319&lt;'Cenário Base'!$D$8*'Cenário Base'!$D$74),"E0 abaixo do gatilho",IF(AND(V319&lt;&gt;"",V319&gt;XLOOKUP(B319,$A$414:$A$418,$B$414:$B$418)),"Excedeu capacidade","Sem alerta"))))))</x:f>
      </x:c>
    </x:row>
    <x:row r="320">
      <x:c r="A320" s="43"/>
      <x:c r="B320" s="43"/>
      <x:c r="C320" s="43"/>
      <x:c r="D320" s="43"/>
      <x:c r="E320" s="43"/>
      <x:c r="F320" s="43"/>
      <x:c r="G320" s="43"/>
      <x:c r="H320" s="120"/>
      <x:c r="I320" s="120"/>
      <x:c r="J320" s="120"/>
      <x:c r="K320" s="120"/>
      <x:c r="L320" s="120"/>
      <x:c r="M320" s="120"/>
      <x:c r="N320" s="120"/>
      <x:c r="O320" s="120"/>
      <x:c r="P320" s="120"/>
      <x:c r="Q320" s="120"/>
      <x:c r="R320" s="120"/>
      <x:c r="S320" s="120"/>
      <x:c r="T320" s="120"/>
      <x:c r="U320" s="48"/>
      <x:c r="V320" s="48"/>
      <x:c r="W320" s="48"/>
      <x:c r="X320" s="48"/>
      <x:c r="Y320" s="48"/>
      <x:c r="Z320" s="49"/>
      <x:c r="AA320" s="43"/>
      <x:c r="AB320" s="43"/>
      <x:c r="AC320" s="43"/>
      <x:c r="AD320" s="43"/>
      <x:c r="AE320" s="43"/>
      <x:c r="AF320" s="87" t="str">
        <x:f>IF(OR(H320="",I320="",I320&lt;H320),"",(I320-H320)*1440)</x:f>
      </x:c>
      <x:c r="AG320" s="87" t="str">
        <x:f>IF(OR(I320="",M320="",M320&lt;I320),"",(M320-I320)*1440)</x:f>
      </x:c>
      <x:c r="AH320" s="87" t="str">
        <x:f>IF(OR(M320="",N320="",N320&lt;M320),"",(N320-M320)*1440)</x:f>
      </x:c>
      <x:c r="AI320" s="87" t="str">
        <x:f>IF(OR(H320="",N320="",N320&lt;H320),"",(N320-H320)*1440)</x:f>
      </x:c>
      <x:c r="AJ320" s="87" t="str">
        <x:f>IF(OR(I320="",N320="",N320&lt;I320),"",(N320-I320)*1440)</x:f>
      </x:c>
      <x:c r="AK320" s="87" t="str">
        <x:f>IF(OR(N320="",O320="",O320&lt;N320),"",(O320-N320)*1440)</x:f>
      </x:c>
      <x:c r="AL320" s="87" t="str">
        <x:f>IF(OR(O320="",P320="",P320&lt;O320),"",(P320-O320)*1440)</x:f>
      </x:c>
      <x:c r="AM320" s="87" t="str">
        <x:f>IF(OR(Q320="",R320="",R320&lt;Q320),"",(R320-Q320)*1440)</x:f>
      </x:c>
      <x:c r="AN320" s="87" t="str">
        <x:f>IF(OR(S320="",T320="",T320&lt;S320),"",(T320-S320)*1440)</x:f>
      </x:c>
      <x:c r="AO320" s="87" t="str">
        <x:f>IF(OR(U320="",V320=""),"",V320-U320)</x:f>
      </x:c>
      <x:c r="AP320" s="63" t="str">
        <x:f>IF(A320="","",IF(OR(B320="",H320="",N320=""),"Incompleto",IF(N320&lt;H320,"Revisar",IF(OR(G320="",G320="Não observado"),"Qualidade E0 ausente",IF(OR(G320="Sensor",G320="Marcação física"),"Válido — E0 observado",IF(G320="Cálculo","Válido — E0 calculado","Válido — E0 estimado"))))))</x:f>
      </x:c>
      <x:c r="AQ320" s="63" t="str">
        <x:f>IF(A320="","",IF(COUNTA(H320:T320)&lt;13,"Incompleta",IF(OR(I320&lt;H320,J320&lt;I320,K320&lt;J320,L320&lt;K320,M320&lt;L320,N320&lt;M320,O320&lt;N320,P320&lt;O320,Q320&lt;P320,R320&lt;Q320,S320&lt;R320,T320&lt;S320),"Revisar","Completa")))</x:f>
      </x:c>
      <x:c r="AR320" s="87" t="str">
        <x:f>IF(OR(V320="",W320="",Y320=""),"",Y320-(V320-W320))</x:f>
      </x:c>
      <x:c r="AS320" s="63" t="str">
        <x:f>IF(A320="","",IF(AND(E320&lt;&gt;"",F320&lt;&gt;"",G320&lt;&gt;"",Z320&lt;&gt;"",AA320&lt;&gt;"",AB320&lt;&gt;"",AC320&lt;&gt;""),"Completa","Incompleta"))</x:f>
      </x:c>
      <x:c r="AT320" s="63" t="str">
        <x:f>IF(A320="","",IF(COUNTIF($A$11:$A$410,A320)&gt;1,"ID duplicado",IF(AND(AR320&lt;&gt;"",ABS(AR320)&gt;0.01),"Revisar balanço",IF(AND(W320&lt;&gt;"",V320&lt;&gt;"",W320&gt;V320),"Retirada &gt; estoque",IF(AND(U320&lt;&gt;"",U320&lt;'Cenário Base'!$D$8*'Cenário Base'!$D$74),"E0 abaixo do gatilho",IF(AND(V320&lt;&gt;"",V320&gt;XLOOKUP(B320,$A$414:$A$418,$B$414:$B$418)),"Excedeu capacidade","Sem alerta"))))))</x:f>
      </x:c>
    </x:row>
    <x:row r="321">
      <x:c r="A321" s="43"/>
      <x:c r="B321" s="43"/>
      <x:c r="C321" s="43"/>
      <x:c r="D321" s="43"/>
      <x:c r="E321" s="43"/>
      <x:c r="F321" s="43"/>
      <x:c r="G321" s="43"/>
      <x:c r="H321" s="120"/>
      <x:c r="I321" s="120"/>
      <x:c r="J321" s="120"/>
      <x:c r="K321" s="120"/>
      <x:c r="L321" s="120"/>
      <x:c r="M321" s="120"/>
      <x:c r="N321" s="120"/>
      <x:c r="O321" s="120"/>
      <x:c r="P321" s="120"/>
      <x:c r="Q321" s="120"/>
      <x:c r="R321" s="120"/>
      <x:c r="S321" s="120"/>
      <x:c r="T321" s="120"/>
      <x:c r="U321" s="48"/>
      <x:c r="V321" s="48"/>
      <x:c r="W321" s="48"/>
      <x:c r="X321" s="48"/>
      <x:c r="Y321" s="48"/>
      <x:c r="Z321" s="49"/>
      <x:c r="AA321" s="43"/>
      <x:c r="AB321" s="43"/>
      <x:c r="AC321" s="43"/>
      <x:c r="AD321" s="43"/>
      <x:c r="AE321" s="43"/>
      <x:c r="AF321" s="87" t="str">
        <x:f>IF(OR(H321="",I321="",I321&lt;H321),"",(I321-H321)*1440)</x:f>
      </x:c>
      <x:c r="AG321" s="87" t="str">
        <x:f>IF(OR(I321="",M321="",M321&lt;I321),"",(M321-I321)*1440)</x:f>
      </x:c>
      <x:c r="AH321" s="87" t="str">
        <x:f>IF(OR(M321="",N321="",N321&lt;M321),"",(N321-M321)*1440)</x:f>
      </x:c>
      <x:c r="AI321" s="87" t="str">
        <x:f>IF(OR(H321="",N321="",N321&lt;H321),"",(N321-H321)*1440)</x:f>
      </x:c>
      <x:c r="AJ321" s="87" t="str">
        <x:f>IF(OR(I321="",N321="",N321&lt;I321),"",(N321-I321)*1440)</x:f>
      </x:c>
      <x:c r="AK321" s="87" t="str">
        <x:f>IF(OR(N321="",O321="",O321&lt;N321),"",(O321-N321)*1440)</x:f>
      </x:c>
      <x:c r="AL321" s="87" t="str">
        <x:f>IF(OR(O321="",P321="",P321&lt;O321),"",(P321-O321)*1440)</x:f>
      </x:c>
      <x:c r="AM321" s="87" t="str">
        <x:f>IF(OR(Q321="",R321="",R321&lt;Q321),"",(R321-Q321)*1440)</x:f>
      </x:c>
      <x:c r="AN321" s="87" t="str">
        <x:f>IF(OR(S321="",T321="",T321&lt;S321),"",(T321-S321)*1440)</x:f>
      </x:c>
      <x:c r="AO321" s="87" t="str">
        <x:f>IF(OR(U321="",V321=""),"",V321-U321)</x:f>
      </x:c>
      <x:c r="AP321" s="63" t="str">
        <x:f>IF(A321="","",IF(OR(B321="",H321="",N321=""),"Incompleto",IF(N321&lt;H321,"Revisar",IF(OR(G321="",G321="Não observado"),"Qualidade E0 ausente",IF(OR(G321="Sensor",G321="Marcação física"),"Válido — E0 observado",IF(G321="Cálculo","Válido — E0 calculado","Válido — E0 estimado"))))))</x:f>
      </x:c>
      <x:c r="AQ321" s="63" t="str">
        <x:f>IF(A321="","",IF(COUNTA(H321:T321)&lt;13,"Incompleta",IF(OR(I321&lt;H321,J321&lt;I321,K321&lt;J321,L321&lt;K321,M321&lt;L321,N321&lt;M321,O321&lt;N321,P321&lt;O321,Q321&lt;P321,R321&lt;Q321,S321&lt;R321,T321&lt;S321),"Revisar","Completa")))</x:f>
      </x:c>
      <x:c r="AR321" s="87" t="str">
        <x:f>IF(OR(V321="",W321="",Y321=""),"",Y321-(V321-W321))</x:f>
      </x:c>
      <x:c r="AS321" s="63" t="str">
        <x:f>IF(A321="","",IF(AND(E321&lt;&gt;"",F321&lt;&gt;"",G321&lt;&gt;"",Z321&lt;&gt;"",AA321&lt;&gt;"",AB321&lt;&gt;"",AC321&lt;&gt;""),"Completa","Incompleta"))</x:f>
      </x:c>
      <x:c r="AT321" s="63" t="str">
        <x:f>IF(A321="","",IF(COUNTIF($A$11:$A$410,A321)&gt;1,"ID duplicado",IF(AND(AR321&lt;&gt;"",ABS(AR321)&gt;0.01),"Revisar balanço",IF(AND(W321&lt;&gt;"",V321&lt;&gt;"",W321&gt;V321),"Retirada &gt; estoque",IF(AND(U321&lt;&gt;"",U321&lt;'Cenário Base'!$D$8*'Cenário Base'!$D$74),"E0 abaixo do gatilho",IF(AND(V321&lt;&gt;"",V321&gt;XLOOKUP(B321,$A$414:$A$418,$B$414:$B$418)),"Excedeu capacidade","Sem alerta"))))))</x:f>
      </x:c>
    </x:row>
    <x:row r="322">
      <x:c r="A322" s="43"/>
      <x:c r="B322" s="43"/>
      <x:c r="C322" s="43"/>
      <x:c r="D322" s="43"/>
      <x:c r="E322" s="43"/>
      <x:c r="F322" s="43"/>
      <x:c r="G322" s="43"/>
      <x:c r="H322" s="120"/>
      <x:c r="I322" s="120"/>
      <x:c r="J322" s="120"/>
      <x:c r="K322" s="120"/>
      <x:c r="L322" s="120"/>
      <x:c r="M322" s="120"/>
      <x:c r="N322" s="120"/>
      <x:c r="O322" s="120"/>
      <x:c r="P322" s="120"/>
      <x:c r="Q322" s="120"/>
      <x:c r="R322" s="120"/>
      <x:c r="S322" s="120"/>
      <x:c r="T322" s="120"/>
      <x:c r="U322" s="48"/>
      <x:c r="V322" s="48"/>
      <x:c r="W322" s="48"/>
      <x:c r="X322" s="48"/>
      <x:c r="Y322" s="48"/>
      <x:c r="Z322" s="49"/>
      <x:c r="AA322" s="43"/>
      <x:c r="AB322" s="43"/>
      <x:c r="AC322" s="43"/>
      <x:c r="AD322" s="43"/>
      <x:c r="AE322" s="43"/>
      <x:c r="AF322" s="87" t="str">
        <x:f>IF(OR(H322="",I322="",I322&lt;H322),"",(I322-H322)*1440)</x:f>
      </x:c>
      <x:c r="AG322" s="87" t="str">
        <x:f>IF(OR(I322="",M322="",M322&lt;I322),"",(M322-I322)*1440)</x:f>
      </x:c>
      <x:c r="AH322" s="87" t="str">
        <x:f>IF(OR(M322="",N322="",N322&lt;M322),"",(N322-M322)*1440)</x:f>
      </x:c>
      <x:c r="AI322" s="87" t="str">
        <x:f>IF(OR(H322="",N322="",N322&lt;H322),"",(N322-H322)*1440)</x:f>
      </x:c>
      <x:c r="AJ322" s="87" t="str">
        <x:f>IF(OR(I322="",N322="",N322&lt;I322),"",(N322-I322)*1440)</x:f>
      </x:c>
      <x:c r="AK322" s="87" t="str">
        <x:f>IF(OR(N322="",O322="",O322&lt;N322),"",(O322-N322)*1440)</x:f>
      </x:c>
      <x:c r="AL322" s="87" t="str">
        <x:f>IF(OR(O322="",P322="",P322&lt;O322),"",(P322-O322)*1440)</x:f>
      </x:c>
      <x:c r="AM322" s="87" t="str">
        <x:f>IF(OR(Q322="",R322="",R322&lt;Q322),"",(R322-Q322)*1440)</x:f>
      </x:c>
      <x:c r="AN322" s="87" t="str">
        <x:f>IF(OR(S322="",T322="",T322&lt;S322),"",(T322-S322)*1440)</x:f>
      </x:c>
      <x:c r="AO322" s="87" t="str">
        <x:f>IF(OR(U322="",V322=""),"",V322-U322)</x:f>
      </x:c>
      <x:c r="AP322" s="63" t="str">
        <x:f>IF(A322="","",IF(OR(B322="",H322="",N322=""),"Incompleto",IF(N322&lt;H322,"Revisar",IF(OR(G322="",G322="Não observado"),"Qualidade E0 ausente",IF(OR(G322="Sensor",G322="Marcação física"),"Válido — E0 observado",IF(G322="Cálculo","Válido — E0 calculado","Válido — E0 estimado"))))))</x:f>
      </x:c>
      <x:c r="AQ322" s="63" t="str">
        <x:f>IF(A322="","",IF(COUNTA(H322:T322)&lt;13,"Incompleta",IF(OR(I322&lt;H322,J322&lt;I322,K322&lt;J322,L322&lt;K322,M322&lt;L322,N322&lt;M322,O322&lt;N322,P322&lt;O322,Q322&lt;P322,R322&lt;Q322,S322&lt;R322,T322&lt;S322),"Revisar","Completa")))</x:f>
      </x:c>
      <x:c r="AR322" s="87" t="str">
        <x:f>IF(OR(V322="",W322="",Y322=""),"",Y322-(V322-W322))</x:f>
      </x:c>
      <x:c r="AS322" s="63" t="str">
        <x:f>IF(A322="","",IF(AND(E322&lt;&gt;"",F322&lt;&gt;"",G322&lt;&gt;"",Z322&lt;&gt;"",AA322&lt;&gt;"",AB322&lt;&gt;"",AC322&lt;&gt;""),"Completa","Incompleta"))</x:f>
      </x:c>
      <x:c r="AT322" s="63" t="str">
        <x:f>IF(A322="","",IF(COUNTIF($A$11:$A$410,A322)&gt;1,"ID duplicado",IF(AND(AR322&lt;&gt;"",ABS(AR322)&gt;0.01),"Revisar balanço",IF(AND(W322&lt;&gt;"",V322&lt;&gt;"",W322&gt;V322),"Retirada &gt; estoque",IF(AND(U322&lt;&gt;"",U322&lt;'Cenário Base'!$D$8*'Cenário Base'!$D$74),"E0 abaixo do gatilho",IF(AND(V322&lt;&gt;"",V322&gt;XLOOKUP(B322,$A$414:$A$418,$B$414:$B$418)),"Excedeu capacidade","Sem alerta"))))))</x:f>
      </x:c>
    </x:row>
    <x:row r="323">
      <x:c r="A323" s="43"/>
      <x:c r="B323" s="43"/>
      <x:c r="C323" s="43"/>
      <x:c r="D323" s="43"/>
      <x:c r="E323" s="43"/>
      <x:c r="F323" s="43"/>
      <x:c r="G323" s="43"/>
      <x:c r="H323" s="120"/>
      <x:c r="I323" s="120"/>
      <x:c r="J323" s="120"/>
      <x:c r="K323" s="120"/>
      <x:c r="L323" s="120"/>
      <x:c r="M323" s="120"/>
      <x:c r="N323" s="120"/>
      <x:c r="O323" s="120"/>
      <x:c r="P323" s="120"/>
      <x:c r="Q323" s="120"/>
      <x:c r="R323" s="120"/>
      <x:c r="S323" s="120"/>
      <x:c r="T323" s="120"/>
      <x:c r="U323" s="48"/>
      <x:c r="V323" s="48"/>
      <x:c r="W323" s="48"/>
      <x:c r="X323" s="48"/>
      <x:c r="Y323" s="48"/>
      <x:c r="Z323" s="49"/>
      <x:c r="AA323" s="43"/>
      <x:c r="AB323" s="43"/>
      <x:c r="AC323" s="43"/>
      <x:c r="AD323" s="43"/>
      <x:c r="AE323" s="43"/>
      <x:c r="AF323" s="87" t="str">
        <x:f>IF(OR(H323="",I323="",I323&lt;H323),"",(I323-H323)*1440)</x:f>
      </x:c>
      <x:c r="AG323" s="87" t="str">
        <x:f>IF(OR(I323="",M323="",M323&lt;I323),"",(M323-I323)*1440)</x:f>
      </x:c>
      <x:c r="AH323" s="87" t="str">
        <x:f>IF(OR(M323="",N323="",N323&lt;M323),"",(N323-M323)*1440)</x:f>
      </x:c>
      <x:c r="AI323" s="87" t="str">
        <x:f>IF(OR(H323="",N323="",N323&lt;H323),"",(N323-H323)*1440)</x:f>
      </x:c>
      <x:c r="AJ323" s="87" t="str">
        <x:f>IF(OR(I323="",N323="",N323&lt;I323),"",(N323-I323)*1440)</x:f>
      </x:c>
      <x:c r="AK323" s="87" t="str">
        <x:f>IF(OR(N323="",O323="",O323&lt;N323),"",(O323-N323)*1440)</x:f>
      </x:c>
      <x:c r="AL323" s="87" t="str">
        <x:f>IF(OR(O323="",P323="",P323&lt;O323),"",(P323-O323)*1440)</x:f>
      </x:c>
      <x:c r="AM323" s="87" t="str">
        <x:f>IF(OR(Q323="",R323="",R323&lt;Q323),"",(R323-Q323)*1440)</x:f>
      </x:c>
      <x:c r="AN323" s="87" t="str">
        <x:f>IF(OR(S323="",T323="",T323&lt;S323),"",(T323-S323)*1440)</x:f>
      </x:c>
      <x:c r="AO323" s="87" t="str">
        <x:f>IF(OR(U323="",V323=""),"",V323-U323)</x:f>
      </x:c>
      <x:c r="AP323" s="63" t="str">
        <x:f>IF(A323="","",IF(OR(B323="",H323="",N323=""),"Incompleto",IF(N323&lt;H323,"Revisar",IF(OR(G323="",G323="Não observado"),"Qualidade E0 ausente",IF(OR(G323="Sensor",G323="Marcação física"),"Válido — E0 observado",IF(G323="Cálculo","Válido — E0 calculado","Válido — E0 estimado"))))))</x:f>
      </x:c>
      <x:c r="AQ323" s="63" t="str">
        <x:f>IF(A323="","",IF(COUNTA(H323:T323)&lt;13,"Incompleta",IF(OR(I323&lt;H323,J323&lt;I323,K323&lt;J323,L323&lt;K323,M323&lt;L323,N323&lt;M323,O323&lt;N323,P323&lt;O323,Q323&lt;P323,R323&lt;Q323,S323&lt;R323,T323&lt;S323),"Revisar","Completa")))</x:f>
      </x:c>
      <x:c r="AR323" s="87" t="str">
        <x:f>IF(OR(V323="",W323="",Y323=""),"",Y323-(V323-W323))</x:f>
      </x:c>
      <x:c r="AS323" s="63" t="str">
        <x:f>IF(A323="","",IF(AND(E323&lt;&gt;"",F323&lt;&gt;"",G323&lt;&gt;"",Z323&lt;&gt;"",AA323&lt;&gt;"",AB323&lt;&gt;"",AC323&lt;&gt;""),"Completa","Incompleta"))</x:f>
      </x:c>
      <x:c r="AT323" s="63" t="str">
        <x:f>IF(A323="","",IF(COUNTIF($A$11:$A$410,A323)&gt;1,"ID duplicado",IF(AND(AR323&lt;&gt;"",ABS(AR323)&gt;0.01),"Revisar balanço",IF(AND(W323&lt;&gt;"",V323&lt;&gt;"",W323&gt;V323),"Retirada &gt; estoque",IF(AND(U323&lt;&gt;"",U323&lt;'Cenário Base'!$D$8*'Cenário Base'!$D$74),"E0 abaixo do gatilho",IF(AND(V323&lt;&gt;"",V323&gt;XLOOKUP(B323,$A$414:$A$418,$B$414:$B$418)),"Excedeu capacidade","Sem alerta"))))))</x:f>
      </x:c>
    </x:row>
    <x:row r="324">
      <x:c r="A324" s="43"/>
      <x:c r="B324" s="43"/>
      <x:c r="C324" s="43"/>
      <x:c r="D324" s="43"/>
      <x:c r="E324" s="43"/>
      <x:c r="F324" s="43"/>
      <x:c r="G324" s="43"/>
      <x:c r="H324" s="120"/>
      <x:c r="I324" s="120"/>
      <x:c r="J324" s="120"/>
      <x:c r="K324" s="120"/>
      <x:c r="L324" s="120"/>
      <x:c r="M324" s="120"/>
      <x:c r="N324" s="120"/>
      <x:c r="O324" s="120"/>
      <x:c r="P324" s="120"/>
      <x:c r="Q324" s="120"/>
      <x:c r="R324" s="120"/>
      <x:c r="S324" s="120"/>
      <x:c r="T324" s="120"/>
      <x:c r="U324" s="48"/>
      <x:c r="V324" s="48"/>
      <x:c r="W324" s="48"/>
      <x:c r="X324" s="48"/>
      <x:c r="Y324" s="48"/>
      <x:c r="Z324" s="49"/>
      <x:c r="AA324" s="43"/>
      <x:c r="AB324" s="43"/>
      <x:c r="AC324" s="43"/>
      <x:c r="AD324" s="43"/>
      <x:c r="AE324" s="43"/>
      <x:c r="AF324" s="87" t="str">
        <x:f>IF(OR(H324="",I324="",I324&lt;H324),"",(I324-H324)*1440)</x:f>
      </x:c>
      <x:c r="AG324" s="87" t="str">
        <x:f>IF(OR(I324="",M324="",M324&lt;I324),"",(M324-I324)*1440)</x:f>
      </x:c>
      <x:c r="AH324" s="87" t="str">
        <x:f>IF(OR(M324="",N324="",N324&lt;M324),"",(N324-M324)*1440)</x:f>
      </x:c>
      <x:c r="AI324" s="87" t="str">
        <x:f>IF(OR(H324="",N324="",N324&lt;H324),"",(N324-H324)*1440)</x:f>
      </x:c>
      <x:c r="AJ324" s="87" t="str">
        <x:f>IF(OR(I324="",N324="",N324&lt;I324),"",(N324-I324)*1440)</x:f>
      </x:c>
      <x:c r="AK324" s="87" t="str">
        <x:f>IF(OR(N324="",O324="",O324&lt;N324),"",(O324-N324)*1440)</x:f>
      </x:c>
      <x:c r="AL324" s="87" t="str">
        <x:f>IF(OR(O324="",P324="",P324&lt;O324),"",(P324-O324)*1440)</x:f>
      </x:c>
      <x:c r="AM324" s="87" t="str">
        <x:f>IF(OR(Q324="",R324="",R324&lt;Q324),"",(R324-Q324)*1440)</x:f>
      </x:c>
      <x:c r="AN324" s="87" t="str">
        <x:f>IF(OR(S324="",T324="",T324&lt;S324),"",(T324-S324)*1440)</x:f>
      </x:c>
      <x:c r="AO324" s="87" t="str">
        <x:f>IF(OR(U324="",V324=""),"",V324-U324)</x:f>
      </x:c>
      <x:c r="AP324" s="63" t="str">
        <x:f>IF(A324="","",IF(OR(B324="",H324="",N324=""),"Incompleto",IF(N324&lt;H324,"Revisar",IF(OR(G324="",G324="Não observado"),"Qualidade E0 ausente",IF(OR(G324="Sensor",G324="Marcação física"),"Válido — E0 observado",IF(G324="Cálculo","Válido — E0 calculado","Válido — E0 estimado"))))))</x:f>
      </x:c>
      <x:c r="AQ324" s="63" t="str">
        <x:f>IF(A324="","",IF(COUNTA(H324:T324)&lt;13,"Incompleta",IF(OR(I324&lt;H324,J324&lt;I324,K324&lt;J324,L324&lt;K324,M324&lt;L324,N324&lt;M324,O324&lt;N324,P324&lt;O324,Q324&lt;P324,R324&lt;Q324,S324&lt;R324,T324&lt;S324),"Revisar","Completa")))</x:f>
      </x:c>
      <x:c r="AR324" s="87" t="str">
        <x:f>IF(OR(V324="",W324="",Y324=""),"",Y324-(V324-W324))</x:f>
      </x:c>
      <x:c r="AS324" s="63" t="str">
        <x:f>IF(A324="","",IF(AND(E324&lt;&gt;"",F324&lt;&gt;"",G324&lt;&gt;"",Z324&lt;&gt;"",AA324&lt;&gt;"",AB324&lt;&gt;"",AC324&lt;&gt;""),"Completa","Incompleta"))</x:f>
      </x:c>
      <x:c r="AT324" s="63" t="str">
        <x:f>IF(A324="","",IF(COUNTIF($A$11:$A$410,A324)&gt;1,"ID duplicado",IF(AND(AR324&lt;&gt;"",ABS(AR324)&gt;0.01),"Revisar balanço",IF(AND(W324&lt;&gt;"",V324&lt;&gt;"",W324&gt;V324),"Retirada &gt; estoque",IF(AND(U324&lt;&gt;"",U324&lt;'Cenário Base'!$D$8*'Cenário Base'!$D$74),"E0 abaixo do gatilho",IF(AND(V324&lt;&gt;"",V324&gt;XLOOKUP(B324,$A$414:$A$418,$B$414:$B$418)),"Excedeu capacidade","Sem alerta"))))))</x:f>
      </x:c>
    </x:row>
    <x:row r="325">
      <x:c r="A325" s="43"/>
      <x:c r="B325" s="43"/>
      <x:c r="C325" s="43"/>
      <x:c r="D325" s="43"/>
      <x:c r="E325" s="43"/>
      <x:c r="F325" s="43"/>
      <x:c r="G325" s="43"/>
      <x:c r="H325" s="120"/>
      <x:c r="I325" s="120"/>
      <x:c r="J325" s="120"/>
      <x:c r="K325" s="120"/>
      <x:c r="L325" s="120"/>
      <x:c r="M325" s="120"/>
      <x:c r="N325" s="120"/>
      <x:c r="O325" s="120"/>
      <x:c r="P325" s="120"/>
      <x:c r="Q325" s="120"/>
      <x:c r="R325" s="120"/>
      <x:c r="S325" s="120"/>
      <x:c r="T325" s="120"/>
      <x:c r="U325" s="48"/>
      <x:c r="V325" s="48"/>
      <x:c r="W325" s="48"/>
      <x:c r="X325" s="48"/>
      <x:c r="Y325" s="48"/>
      <x:c r="Z325" s="49"/>
      <x:c r="AA325" s="43"/>
      <x:c r="AB325" s="43"/>
      <x:c r="AC325" s="43"/>
      <x:c r="AD325" s="43"/>
      <x:c r="AE325" s="43"/>
      <x:c r="AF325" s="87" t="str">
        <x:f>IF(OR(H325="",I325="",I325&lt;H325),"",(I325-H325)*1440)</x:f>
      </x:c>
      <x:c r="AG325" s="87" t="str">
        <x:f>IF(OR(I325="",M325="",M325&lt;I325),"",(M325-I325)*1440)</x:f>
      </x:c>
      <x:c r="AH325" s="87" t="str">
        <x:f>IF(OR(M325="",N325="",N325&lt;M325),"",(N325-M325)*1440)</x:f>
      </x:c>
      <x:c r="AI325" s="87" t="str">
        <x:f>IF(OR(H325="",N325="",N325&lt;H325),"",(N325-H325)*1440)</x:f>
      </x:c>
      <x:c r="AJ325" s="87" t="str">
        <x:f>IF(OR(I325="",N325="",N325&lt;I325),"",(N325-I325)*1440)</x:f>
      </x:c>
      <x:c r="AK325" s="87" t="str">
        <x:f>IF(OR(N325="",O325="",O325&lt;N325),"",(O325-N325)*1440)</x:f>
      </x:c>
      <x:c r="AL325" s="87" t="str">
        <x:f>IF(OR(O325="",P325="",P325&lt;O325),"",(P325-O325)*1440)</x:f>
      </x:c>
      <x:c r="AM325" s="87" t="str">
        <x:f>IF(OR(Q325="",R325="",R325&lt;Q325),"",(R325-Q325)*1440)</x:f>
      </x:c>
      <x:c r="AN325" s="87" t="str">
        <x:f>IF(OR(S325="",T325="",T325&lt;S325),"",(T325-S325)*1440)</x:f>
      </x:c>
      <x:c r="AO325" s="87" t="str">
        <x:f>IF(OR(U325="",V325=""),"",V325-U325)</x:f>
      </x:c>
      <x:c r="AP325" s="63" t="str">
        <x:f>IF(A325="","",IF(OR(B325="",H325="",N325=""),"Incompleto",IF(N325&lt;H325,"Revisar",IF(OR(G325="",G325="Não observado"),"Qualidade E0 ausente",IF(OR(G325="Sensor",G325="Marcação física"),"Válido — E0 observado",IF(G325="Cálculo","Válido — E0 calculado","Válido — E0 estimado"))))))</x:f>
      </x:c>
      <x:c r="AQ325" s="63" t="str">
        <x:f>IF(A325="","",IF(COUNTA(H325:T325)&lt;13,"Incompleta",IF(OR(I325&lt;H325,J325&lt;I325,K325&lt;J325,L325&lt;K325,M325&lt;L325,N325&lt;M325,O325&lt;N325,P325&lt;O325,Q325&lt;P325,R325&lt;Q325,S325&lt;R325,T325&lt;S325),"Revisar","Completa")))</x:f>
      </x:c>
      <x:c r="AR325" s="87" t="str">
        <x:f>IF(OR(V325="",W325="",Y325=""),"",Y325-(V325-W325))</x:f>
      </x:c>
      <x:c r="AS325" s="63" t="str">
        <x:f>IF(A325="","",IF(AND(E325&lt;&gt;"",F325&lt;&gt;"",G325&lt;&gt;"",Z325&lt;&gt;"",AA325&lt;&gt;"",AB325&lt;&gt;"",AC325&lt;&gt;""),"Completa","Incompleta"))</x:f>
      </x:c>
      <x:c r="AT325" s="63" t="str">
        <x:f>IF(A325="","",IF(COUNTIF($A$11:$A$410,A325)&gt;1,"ID duplicado",IF(AND(AR325&lt;&gt;"",ABS(AR325)&gt;0.01),"Revisar balanço",IF(AND(W325&lt;&gt;"",V325&lt;&gt;"",W325&gt;V325),"Retirada &gt; estoque",IF(AND(U325&lt;&gt;"",U325&lt;'Cenário Base'!$D$8*'Cenário Base'!$D$74),"E0 abaixo do gatilho",IF(AND(V325&lt;&gt;"",V325&gt;XLOOKUP(B325,$A$414:$A$418,$B$414:$B$418)),"Excedeu capacidade","Sem alerta"))))))</x:f>
      </x:c>
    </x:row>
    <x:row r="326">
      <x:c r="A326" s="43"/>
      <x:c r="B326" s="43"/>
      <x:c r="C326" s="43"/>
      <x:c r="D326" s="43"/>
      <x:c r="E326" s="43"/>
      <x:c r="F326" s="43"/>
      <x:c r="G326" s="43"/>
      <x:c r="H326" s="120"/>
      <x:c r="I326" s="120"/>
      <x:c r="J326" s="120"/>
      <x:c r="K326" s="120"/>
      <x:c r="L326" s="120"/>
      <x:c r="M326" s="120"/>
      <x:c r="N326" s="120"/>
      <x:c r="O326" s="120"/>
      <x:c r="P326" s="120"/>
      <x:c r="Q326" s="120"/>
      <x:c r="R326" s="120"/>
      <x:c r="S326" s="120"/>
      <x:c r="T326" s="120"/>
      <x:c r="U326" s="48"/>
      <x:c r="V326" s="48"/>
      <x:c r="W326" s="48"/>
      <x:c r="X326" s="48"/>
      <x:c r="Y326" s="48"/>
      <x:c r="Z326" s="49"/>
      <x:c r="AA326" s="43"/>
      <x:c r="AB326" s="43"/>
      <x:c r="AC326" s="43"/>
      <x:c r="AD326" s="43"/>
      <x:c r="AE326" s="43"/>
      <x:c r="AF326" s="87" t="str">
        <x:f>IF(OR(H326="",I326="",I326&lt;H326),"",(I326-H326)*1440)</x:f>
      </x:c>
      <x:c r="AG326" s="87" t="str">
        <x:f>IF(OR(I326="",M326="",M326&lt;I326),"",(M326-I326)*1440)</x:f>
      </x:c>
      <x:c r="AH326" s="87" t="str">
        <x:f>IF(OR(M326="",N326="",N326&lt;M326),"",(N326-M326)*1440)</x:f>
      </x:c>
      <x:c r="AI326" s="87" t="str">
        <x:f>IF(OR(H326="",N326="",N326&lt;H326),"",(N326-H326)*1440)</x:f>
      </x:c>
      <x:c r="AJ326" s="87" t="str">
        <x:f>IF(OR(I326="",N326="",N326&lt;I326),"",(N326-I326)*1440)</x:f>
      </x:c>
      <x:c r="AK326" s="87" t="str">
        <x:f>IF(OR(N326="",O326="",O326&lt;N326),"",(O326-N326)*1440)</x:f>
      </x:c>
      <x:c r="AL326" s="87" t="str">
        <x:f>IF(OR(O326="",P326="",P326&lt;O326),"",(P326-O326)*1440)</x:f>
      </x:c>
      <x:c r="AM326" s="87" t="str">
        <x:f>IF(OR(Q326="",R326="",R326&lt;Q326),"",(R326-Q326)*1440)</x:f>
      </x:c>
      <x:c r="AN326" s="87" t="str">
        <x:f>IF(OR(S326="",T326="",T326&lt;S326),"",(T326-S326)*1440)</x:f>
      </x:c>
      <x:c r="AO326" s="87" t="str">
        <x:f>IF(OR(U326="",V326=""),"",V326-U326)</x:f>
      </x:c>
      <x:c r="AP326" s="63" t="str">
        <x:f>IF(A326="","",IF(OR(B326="",H326="",N326=""),"Incompleto",IF(N326&lt;H326,"Revisar",IF(OR(G326="",G326="Não observado"),"Qualidade E0 ausente",IF(OR(G326="Sensor",G326="Marcação física"),"Válido — E0 observado",IF(G326="Cálculo","Válido — E0 calculado","Válido — E0 estimado"))))))</x:f>
      </x:c>
      <x:c r="AQ326" s="63" t="str">
        <x:f>IF(A326="","",IF(COUNTA(H326:T326)&lt;13,"Incompleta",IF(OR(I326&lt;H326,J326&lt;I326,K326&lt;J326,L326&lt;K326,M326&lt;L326,N326&lt;M326,O326&lt;N326,P326&lt;O326,Q326&lt;P326,R326&lt;Q326,S326&lt;R326,T326&lt;S326),"Revisar","Completa")))</x:f>
      </x:c>
      <x:c r="AR326" s="87" t="str">
        <x:f>IF(OR(V326="",W326="",Y326=""),"",Y326-(V326-W326))</x:f>
      </x:c>
      <x:c r="AS326" s="63" t="str">
        <x:f>IF(A326="","",IF(AND(E326&lt;&gt;"",F326&lt;&gt;"",G326&lt;&gt;"",Z326&lt;&gt;"",AA326&lt;&gt;"",AB326&lt;&gt;"",AC326&lt;&gt;""),"Completa","Incompleta"))</x:f>
      </x:c>
      <x:c r="AT326" s="63" t="str">
        <x:f>IF(A326="","",IF(COUNTIF($A$11:$A$410,A326)&gt;1,"ID duplicado",IF(AND(AR326&lt;&gt;"",ABS(AR326)&gt;0.01),"Revisar balanço",IF(AND(W326&lt;&gt;"",V326&lt;&gt;"",W326&gt;V326),"Retirada &gt; estoque",IF(AND(U326&lt;&gt;"",U326&lt;'Cenário Base'!$D$8*'Cenário Base'!$D$74),"E0 abaixo do gatilho",IF(AND(V326&lt;&gt;"",V326&gt;XLOOKUP(B326,$A$414:$A$418,$B$414:$B$418)),"Excedeu capacidade","Sem alerta"))))))</x:f>
      </x:c>
    </x:row>
    <x:row r="327">
      <x:c r="A327" s="43"/>
      <x:c r="B327" s="43"/>
      <x:c r="C327" s="43"/>
      <x:c r="D327" s="43"/>
      <x:c r="E327" s="43"/>
      <x:c r="F327" s="43"/>
      <x:c r="G327" s="43"/>
      <x:c r="H327" s="120"/>
      <x:c r="I327" s="120"/>
      <x:c r="J327" s="120"/>
      <x:c r="K327" s="120"/>
      <x:c r="L327" s="120"/>
      <x:c r="M327" s="120"/>
      <x:c r="N327" s="120"/>
      <x:c r="O327" s="120"/>
      <x:c r="P327" s="120"/>
      <x:c r="Q327" s="120"/>
      <x:c r="R327" s="120"/>
      <x:c r="S327" s="120"/>
      <x:c r="T327" s="120"/>
      <x:c r="U327" s="48"/>
      <x:c r="V327" s="48"/>
      <x:c r="W327" s="48"/>
      <x:c r="X327" s="48"/>
      <x:c r="Y327" s="48"/>
      <x:c r="Z327" s="49"/>
      <x:c r="AA327" s="43"/>
      <x:c r="AB327" s="43"/>
      <x:c r="AC327" s="43"/>
      <x:c r="AD327" s="43"/>
      <x:c r="AE327" s="43"/>
      <x:c r="AF327" s="87" t="str">
        <x:f>IF(OR(H327="",I327="",I327&lt;H327),"",(I327-H327)*1440)</x:f>
      </x:c>
      <x:c r="AG327" s="87" t="str">
        <x:f>IF(OR(I327="",M327="",M327&lt;I327),"",(M327-I327)*1440)</x:f>
      </x:c>
      <x:c r="AH327" s="87" t="str">
        <x:f>IF(OR(M327="",N327="",N327&lt;M327),"",(N327-M327)*1440)</x:f>
      </x:c>
      <x:c r="AI327" s="87" t="str">
        <x:f>IF(OR(H327="",N327="",N327&lt;H327),"",(N327-H327)*1440)</x:f>
      </x:c>
      <x:c r="AJ327" s="87" t="str">
        <x:f>IF(OR(I327="",N327="",N327&lt;I327),"",(N327-I327)*1440)</x:f>
      </x:c>
      <x:c r="AK327" s="87" t="str">
        <x:f>IF(OR(N327="",O327="",O327&lt;N327),"",(O327-N327)*1440)</x:f>
      </x:c>
      <x:c r="AL327" s="87" t="str">
        <x:f>IF(OR(O327="",P327="",P327&lt;O327),"",(P327-O327)*1440)</x:f>
      </x:c>
      <x:c r="AM327" s="87" t="str">
        <x:f>IF(OR(Q327="",R327="",R327&lt;Q327),"",(R327-Q327)*1440)</x:f>
      </x:c>
      <x:c r="AN327" s="87" t="str">
        <x:f>IF(OR(S327="",T327="",T327&lt;S327),"",(T327-S327)*1440)</x:f>
      </x:c>
      <x:c r="AO327" s="87" t="str">
        <x:f>IF(OR(U327="",V327=""),"",V327-U327)</x:f>
      </x:c>
      <x:c r="AP327" s="63" t="str">
        <x:f>IF(A327="","",IF(OR(B327="",H327="",N327=""),"Incompleto",IF(N327&lt;H327,"Revisar",IF(OR(G327="",G327="Não observado"),"Qualidade E0 ausente",IF(OR(G327="Sensor",G327="Marcação física"),"Válido — E0 observado",IF(G327="Cálculo","Válido — E0 calculado","Válido — E0 estimado"))))))</x:f>
      </x:c>
      <x:c r="AQ327" s="63" t="str">
        <x:f>IF(A327="","",IF(COUNTA(H327:T327)&lt;13,"Incompleta",IF(OR(I327&lt;H327,J327&lt;I327,K327&lt;J327,L327&lt;K327,M327&lt;L327,N327&lt;M327,O327&lt;N327,P327&lt;O327,Q327&lt;P327,R327&lt;Q327,S327&lt;R327,T327&lt;S327),"Revisar","Completa")))</x:f>
      </x:c>
      <x:c r="AR327" s="87" t="str">
        <x:f>IF(OR(V327="",W327="",Y327=""),"",Y327-(V327-W327))</x:f>
      </x:c>
      <x:c r="AS327" s="63" t="str">
        <x:f>IF(A327="","",IF(AND(E327&lt;&gt;"",F327&lt;&gt;"",G327&lt;&gt;"",Z327&lt;&gt;"",AA327&lt;&gt;"",AB327&lt;&gt;"",AC327&lt;&gt;""),"Completa","Incompleta"))</x:f>
      </x:c>
      <x:c r="AT327" s="63" t="str">
        <x:f>IF(A327="","",IF(COUNTIF($A$11:$A$410,A327)&gt;1,"ID duplicado",IF(AND(AR327&lt;&gt;"",ABS(AR327)&gt;0.01),"Revisar balanço",IF(AND(W327&lt;&gt;"",V327&lt;&gt;"",W327&gt;V327),"Retirada &gt; estoque",IF(AND(U327&lt;&gt;"",U327&lt;'Cenário Base'!$D$8*'Cenário Base'!$D$74),"E0 abaixo do gatilho",IF(AND(V327&lt;&gt;"",V327&gt;XLOOKUP(B327,$A$414:$A$418,$B$414:$B$418)),"Excedeu capacidade","Sem alerta"))))))</x:f>
      </x:c>
    </x:row>
    <x:row r="328">
      <x:c r="A328" s="43"/>
      <x:c r="B328" s="43"/>
      <x:c r="C328" s="43"/>
      <x:c r="D328" s="43"/>
      <x:c r="E328" s="43"/>
      <x:c r="F328" s="43"/>
      <x:c r="G328" s="43"/>
      <x:c r="H328" s="120"/>
      <x:c r="I328" s="120"/>
      <x:c r="J328" s="120"/>
      <x:c r="K328" s="120"/>
      <x:c r="L328" s="120"/>
      <x:c r="M328" s="120"/>
      <x:c r="N328" s="120"/>
      <x:c r="O328" s="120"/>
      <x:c r="P328" s="120"/>
      <x:c r="Q328" s="120"/>
      <x:c r="R328" s="120"/>
      <x:c r="S328" s="120"/>
      <x:c r="T328" s="120"/>
      <x:c r="U328" s="48"/>
      <x:c r="V328" s="48"/>
      <x:c r="W328" s="48"/>
      <x:c r="X328" s="48"/>
      <x:c r="Y328" s="48"/>
      <x:c r="Z328" s="49"/>
      <x:c r="AA328" s="43"/>
      <x:c r="AB328" s="43"/>
      <x:c r="AC328" s="43"/>
      <x:c r="AD328" s="43"/>
      <x:c r="AE328" s="43"/>
      <x:c r="AF328" s="87" t="str">
        <x:f>IF(OR(H328="",I328="",I328&lt;H328),"",(I328-H328)*1440)</x:f>
      </x:c>
      <x:c r="AG328" s="87" t="str">
        <x:f>IF(OR(I328="",M328="",M328&lt;I328),"",(M328-I328)*1440)</x:f>
      </x:c>
      <x:c r="AH328" s="87" t="str">
        <x:f>IF(OR(M328="",N328="",N328&lt;M328),"",(N328-M328)*1440)</x:f>
      </x:c>
      <x:c r="AI328" s="87" t="str">
        <x:f>IF(OR(H328="",N328="",N328&lt;H328),"",(N328-H328)*1440)</x:f>
      </x:c>
      <x:c r="AJ328" s="87" t="str">
        <x:f>IF(OR(I328="",N328="",N328&lt;I328),"",(N328-I328)*1440)</x:f>
      </x:c>
      <x:c r="AK328" s="87" t="str">
        <x:f>IF(OR(N328="",O328="",O328&lt;N328),"",(O328-N328)*1440)</x:f>
      </x:c>
      <x:c r="AL328" s="87" t="str">
        <x:f>IF(OR(O328="",P328="",P328&lt;O328),"",(P328-O328)*1440)</x:f>
      </x:c>
      <x:c r="AM328" s="87" t="str">
        <x:f>IF(OR(Q328="",R328="",R328&lt;Q328),"",(R328-Q328)*1440)</x:f>
      </x:c>
      <x:c r="AN328" s="87" t="str">
        <x:f>IF(OR(S328="",T328="",T328&lt;S328),"",(T328-S328)*1440)</x:f>
      </x:c>
      <x:c r="AO328" s="87" t="str">
        <x:f>IF(OR(U328="",V328=""),"",V328-U328)</x:f>
      </x:c>
      <x:c r="AP328" s="63" t="str">
        <x:f>IF(A328="","",IF(OR(B328="",H328="",N328=""),"Incompleto",IF(N328&lt;H328,"Revisar",IF(OR(G328="",G328="Não observado"),"Qualidade E0 ausente",IF(OR(G328="Sensor",G328="Marcação física"),"Válido — E0 observado",IF(G328="Cálculo","Válido — E0 calculado","Válido — E0 estimado"))))))</x:f>
      </x:c>
      <x:c r="AQ328" s="63" t="str">
        <x:f>IF(A328="","",IF(COUNTA(H328:T328)&lt;13,"Incompleta",IF(OR(I328&lt;H328,J328&lt;I328,K328&lt;J328,L328&lt;K328,M328&lt;L328,N328&lt;M328,O328&lt;N328,P328&lt;O328,Q328&lt;P328,R328&lt;Q328,S328&lt;R328,T328&lt;S328),"Revisar","Completa")))</x:f>
      </x:c>
      <x:c r="AR328" s="87" t="str">
        <x:f>IF(OR(V328="",W328="",Y328=""),"",Y328-(V328-W328))</x:f>
      </x:c>
      <x:c r="AS328" s="63" t="str">
        <x:f>IF(A328="","",IF(AND(E328&lt;&gt;"",F328&lt;&gt;"",G328&lt;&gt;"",Z328&lt;&gt;"",AA328&lt;&gt;"",AB328&lt;&gt;"",AC328&lt;&gt;""),"Completa","Incompleta"))</x:f>
      </x:c>
      <x:c r="AT328" s="63" t="str">
        <x:f>IF(A328="","",IF(COUNTIF($A$11:$A$410,A328)&gt;1,"ID duplicado",IF(AND(AR328&lt;&gt;"",ABS(AR328)&gt;0.01),"Revisar balanço",IF(AND(W328&lt;&gt;"",V328&lt;&gt;"",W328&gt;V328),"Retirada &gt; estoque",IF(AND(U328&lt;&gt;"",U328&lt;'Cenário Base'!$D$8*'Cenário Base'!$D$74),"E0 abaixo do gatilho",IF(AND(V328&lt;&gt;"",V328&gt;XLOOKUP(B328,$A$414:$A$418,$B$414:$B$418)),"Excedeu capacidade","Sem alerta"))))))</x:f>
      </x:c>
    </x:row>
    <x:row r="329">
      <x:c r="A329" s="43"/>
      <x:c r="B329" s="43"/>
      <x:c r="C329" s="43"/>
      <x:c r="D329" s="43"/>
      <x:c r="E329" s="43"/>
      <x:c r="F329" s="43"/>
      <x:c r="G329" s="43"/>
      <x:c r="H329" s="120"/>
      <x:c r="I329" s="120"/>
      <x:c r="J329" s="120"/>
      <x:c r="K329" s="120"/>
      <x:c r="L329" s="120"/>
      <x:c r="M329" s="120"/>
      <x:c r="N329" s="120"/>
      <x:c r="O329" s="120"/>
      <x:c r="P329" s="120"/>
      <x:c r="Q329" s="120"/>
      <x:c r="R329" s="120"/>
      <x:c r="S329" s="120"/>
      <x:c r="T329" s="120"/>
      <x:c r="U329" s="48"/>
      <x:c r="V329" s="48"/>
      <x:c r="W329" s="48"/>
      <x:c r="X329" s="48"/>
      <x:c r="Y329" s="48"/>
      <x:c r="Z329" s="49"/>
      <x:c r="AA329" s="43"/>
      <x:c r="AB329" s="43"/>
      <x:c r="AC329" s="43"/>
      <x:c r="AD329" s="43"/>
      <x:c r="AE329" s="43"/>
      <x:c r="AF329" s="87" t="str">
        <x:f>IF(OR(H329="",I329="",I329&lt;H329),"",(I329-H329)*1440)</x:f>
      </x:c>
      <x:c r="AG329" s="87" t="str">
        <x:f>IF(OR(I329="",M329="",M329&lt;I329),"",(M329-I329)*1440)</x:f>
      </x:c>
      <x:c r="AH329" s="87" t="str">
        <x:f>IF(OR(M329="",N329="",N329&lt;M329),"",(N329-M329)*1440)</x:f>
      </x:c>
      <x:c r="AI329" s="87" t="str">
        <x:f>IF(OR(H329="",N329="",N329&lt;H329),"",(N329-H329)*1440)</x:f>
      </x:c>
      <x:c r="AJ329" s="87" t="str">
        <x:f>IF(OR(I329="",N329="",N329&lt;I329),"",(N329-I329)*1440)</x:f>
      </x:c>
      <x:c r="AK329" s="87" t="str">
        <x:f>IF(OR(N329="",O329="",O329&lt;N329),"",(O329-N329)*1440)</x:f>
      </x:c>
      <x:c r="AL329" s="87" t="str">
        <x:f>IF(OR(O329="",P329="",P329&lt;O329),"",(P329-O329)*1440)</x:f>
      </x:c>
      <x:c r="AM329" s="87" t="str">
        <x:f>IF(OR(Q329="",R329="",R329&lt;Q329),"",(R329-Q329)*1440)</x:f>
      </x:c>
      <x:c r="AN329" s="87" t="str">
        <x:f>IF(OR(S329="",T329="",T329&lt;S329),"",(T329-S329)*1440)</x:f>
      </x:c>
      <x:c r="AO329" s="87" t="str">
        <x:f>IF(OR(U329="",V329=""),"",V329-U329)</x:f>
      </x:c>
      <x:c r="AP329" s="63" t="str">
        <x:f>IF(A329="","",IF(OR(B329="",H329="",N329=""),"Incompleto",IF(N329&lt;H329,"Revisar",IF(OR(G329="",G329="Não observado"),"Qualidade E0 ausente",IF(OR(G329="Sensor",G329="Marcação física"),"Válido — E0 observado",IF(G329="Cálculo","Válido — E0 calculado","Válido — E0 estimado"))))))</x:f>
      </x:c>
      <x:c r="AQ329" s="63" t="str">
        <x:f>IF(A329="","",IF(COUNTA(H329:T329)&lt;13,"Incompleta",IF(OR(I329&lt;H329,J329&lt;I329,K329&lt;J329,L329&lt;K329,M329&lt;L329,N329&lt;M329,O329&lt;N329,P329&lt;O329,Q329&lt;P329,R329&lt;Q329,S329&lt;R329,T329&lt;S329),"Revisar","Completa")))</x:f>
      </x:c>
      <x:c r="AR329" s="87" t="str">
        <x:f>IF(OR(V329="",W329="",Y329=""),"",Y329-(V329-W329))</x:f>
      </x:c>
      <x:c r="AS329" s="63" t="str">
        <x:f>IF(A329="","",IF(AND(E329&lt;&gt;"",F329&lt;&gt;"",G329&lt;&gt;"",Z329&lt;&gt;"",AA329&lt;&gt;"",AB329&lt;&gt;"",AC329&lt;&gt;""),"Completa","Incompleta"))</x:f>
      </x:c>
      <x:c r="AT329" s="63" t="str">
        <x:f>IF(A329="","",IF(COUNTIF($A$11:$A$410,A329)&gt;1,"ID duplicado",IF(AND(AR329&lt;&gt;"",ABS(AR329)&gt;0.01),"Revisar balanço",IF(AND(W329&lt;&gt;"",V329&lt;&gt;"",W329&gt;V329),"Retirada &gt; estoque",IF(AND(U329&lt;&gt;"",U329&lt;'Cenário Base'!$D$8*'Cenário Base'!$D$74),"E0 abaixo do gatilho",IF(AND(V329&lt;&gt;"",V329&gt;XLOOKUP(B329,$A$414:$A$418,$B$414:$B$418)),"Excedeu capacidade","Sem alerta"))))))</x:f>
      </x:c>
    </x:row>
    <x:row r="330">
      <x:c r="A330" s="43"/>
      <x:c r="B330" s="43"/>
      <x:c r="C330" s="43"/>
      <x:c r="D330" s="43"/>
      <x:c r="E330" s="43"/>
      <x:c r="F330" s="43"/>
      <x:c r="G330" s="43"/>
      <x:c r="H330" s="120"/>
      <x:c r="I330" s="120"/>
      <x:c r="J330" s="120"/>
      <x:c r="K330" s="120"/>
      <x:c r="L330" s="120"/>
      <x:c r="M330" s="120"/>
      <x:c r="N330" s="120"/>
      <x:c r="O330" s="120"/>
      <x:c r="P330" s="120"/>
      <x:c r="Q330" s="120"/>
      <x:c r="R330" s="120"/>
      <x:c r="S330" s="120"/>
      <x:c r="T330" s="120"/>
      <x:c r="U330" s="48"/>
      <x:c r="V330" s="48"/>
      <x:c r="W330" s="48"/>
      <x:c r="X330" s="48"/>
      <x:c r="Y330" s="48"/>
      <x:c r="Z330" s="49"/>
      <x:c r="AA330" s="43"/>
      <x:c r="AB330" s="43"/>
      <x:c r="AC330" s="43"/>
      <x:c r="AD330" s="43"/>
      <x:c r="AE330" s="43"/>
      <x:c r="AF330" s="87" t="str">
        <x:f>IF(OR(H330="",I330="",I330&lt;H330),"",(I330-H330)*1440)</x:f>
      </x:c>
      <x:c r="AG330" s="87" t="str">
        <x:f>IF(OR(I330="",M330="",M330&lt;I330),"",(M330-I330)*1440)</x:f>
      </x:c>
      <x:c r="AH330" s="87" t="str">
        <x:f>IF(OR(M330="",N330="",N330&lt;M330),"",(N330-M330)*1440)</x:f>
      </x:c>
      <x:c r="AI330" s="87" t="str">
        <x:f>IF(OR(H330="",N330="",N330&lt;H330),"",(N330-H330)*1440)</x:f>
      </x:c>
      <x:c r="AJ330" s="87" t="str">
        <x:f>IF(OR(I330="",N330="",N330&lt;I330),"",(N330-I330)*1440)</x:f>
      </x:c>
      <x:c r="AK330" s="87" t="str">
        <x:f>IF(OR(N330="",O330="",O330&lt;N330),"",(O330-N330)*1440)</x:f>
      </x:c>
      <x:c r="AL330" s="87" t="str">
        <x:f>IF(OR(O330="",P330="",P330&lt;O330),"",(P330-O330)*1440)</x:f>
      </x:c>
      <x:c r="AM330" s="87" t="str">
        <x:f>IF(OR(Q330="",R330="",R330&lt;Q330),"",(R330-Q330)*1440)</x:f>
      </x:c>
      <x:c r="AN330" s="87" t="str">
        <x:f>IF(OR(S330="",T330="",T330&lt;S330),"",(T330-S330)*1440)</x:f>
      </x:c>
      <x:c r="AO330" s="87" t="str">
        <x:f>IF(OR(U330="",V330=""),"",V330-U330)</x:f>
      </x:c>
      <x:c r="AP330" s="63" t="str">
        <x:f>IF(A330="","",IF(OR(B330="",H330="",N330=""),"Incompleto",IF(N330&lt;H330,"Revisar",IF(OR(G330="",G330="Não observado"),"Qualidade E0 ausente",IF(OR(G330="Sensor",G330="Marcação física"),"Válido — E0 observado",IF(G330="Cálculo","Válido — E0 calculado","Válido — E0 estimado"))))))</x:f>
      </x:c>
      <x:c r="AQ330" s="63" t="str">
        <x:f>IF(A330="","",IF(COUNTA(H330:T330)&lt;13,"Incompleta",IF(OR(I330&lt;H330,J330&lt;I330,K330&lt;J330,L330&lt;K330,M330&lt;L330,N330&lt;M330,O330&lt;N330,P330&lt;O330,Q330&lt;P330,R330&lt;Q330,S330&lt;R330,T330&lt;S330),"Revisar","Completa")))</x:f>
      </x:c>
      <x:c r="AR330" s="87" t="str">
        <x:f>IF(OR(V330="",W330="",Y330=""),"",Y330-(V330-W330))</x:f>
      </x:c>
      <x:c r="AS330" s="63" t="str">
        <x:f>IF(A330="","",IF(AND(E330&lt;&gt;"",F330&lt;&gt;"",G330&lt;&gt;"",Z330&lt;&gt;"",AA330&lt;&gt;"",AB330&lt;&gt;"",AC330&lt;&gt;""),"Completa","Incompleta"))</x:f>
      </x:c>
      <x:c r="AT330" s="63" t="str">
        <x:f>IF(A330="","",IF(COUNTIF($A$11:$A$410,A330)&gt;1,"ID duplicado",IF(AND(AR330&lt;&gt;"",ABS(AR330)&gt;0.01),"Revisar balanço",IF(AND(W330&lt;&gt;"",V330&lt;&gt;"",W330&gt;V330),"Retirada &gt; estoque",IF(AND(U330&lt;&gt;"",U330&lt;'Cenário Base'!$D$8*'Cenário Base'!$D$74),"E0 abaixo do gatilho",IF(AND(V330&lt;&gt;"",V330&gt;XLOOKUP(B330,$A$414:$A$418,$B$414:$B$418)),"Excedeu capacidade","Sem alerta"))))))</x:f>
      </x:c>
    </x:row>
    <x:row r="331">
      <x:c r="A331" s="43"/>
      <x:c r="B331" s="43"/>
      <x:c r="C331" s="43"/>
      <x:c r="D331" s="43"/>
      <x:c r="E331" s="43"/>
      <x:c r="F331" s="43"/>
      <x:c r="G331" s="43"/>
      <x:c r="H331" s="120"/>
      <x:c r="I331" s="120"/>
      <x:c r="J331" s="120"/>
      <x:c r="K331" s="120"/>
      <x:c r="L331" s="120"/>
      <x:c r="M331" s="120"/>
      <x:c r="N331" s="120"/>
      <x:c r="O331" s="120"/>
      <x:c r="P331" s="120"/>
      <x:c r="Q331" s="120"/>
      <x:c r="R331" s="120"/>
      <x:c r="S331" s="120"/>
      <x:c r="T331" s="120"/>
      <x:c r="U331" s="48"/>
      <x:c r="V331" s="48"/>
      <x:c r="W331" s="48"/>
      <x:c r="X331" s="48"/>
      <x:c r="Y331" s="48"/>
      <x:c r="Z331" s="49"/>
      <x:c r="AA331" s="43"/>
      <x:c r="AB331" s="43"/>
      <x:c r="AC331" s="43"/>
      <x:c r="AD331" s="43"/>
      <x:c r="AE331" s="43"/>
      <x:c r="AF331" s="87" t="str">
        <x:f>IF(OR(H331="",I331="",I331&lt;H331),"",(I331-H331)*1440)</x:f>
      </x:c>
      <x:c r="AG331" s="87" t="str">
        <x:f>IF(OR(I331="",M331="",M331&lt;I331),"",(M331-I331)*1440)</x:f>
      </x:c>
      <x:c r="AH331" s="87" t="str">
        <x:f>IF(OR(M331="",N331="",N331&lt;M331),"",(N331-M331)*1440)</x:f>
      </x:c>
      <x:c r="AI331" s="87" t="str">
        <x:f>IF(OR(H331="",N331="",N331&lt;H331),"",(N331-H331)*1440)</x:f>
      </x:c>
      <x:c r="AJ331" s="87" t="str">
        <x:f>IF(OR(I331="",N331="",N331&lt;I331),"",(N331-I331)*1440)</x:f>
      </x:c>
      <x:c r="AK331" s="87" t="str">
        <x:f>IF(OR(N331="",O331="",O331&lt;N331),"",(O331-N331)*1440)</x:f>
      </x:c>
      <x:c r="AL331" s="87" t="str">
        <x:f>IF(OR(O331="",P331="",P331&lt;O331),"",(P331-O331)*1440)</x:f>
      </x:c>
      <x:c r="AM331" s="87" t="str">
        <x:f>IF(OR(Q331="",R331="",R331&lt;Q331),"",(R331-Q331)*1440)</x:f>
      </x:c>
      <x:c r="AN331" s="87" t="str">
        <x:f>IF(OR(S331="",T331="",T331&lt;S331),"",(T331-S331)*1440)</x:f>
      </x:c>
      <x:c r="AO331" s="87" t="str">
        <x:f>IF(OR(U331="",V331=""),"",V331-U331)</x:f>
      </x:c>
      <x:c r="AP331" s="63" t="str">
        <x:f>IF(A331="","",IF(OR(B331="",H331="",N331=""),"Incompleto",IF(N331&lt;H331,"Revisar",IF(OR(G331="",G331="Não observado"),"Qualidade E0 ausente",IF(OR(G331="Sensor",G331="Marcação física"),"Válido — E0 observado",IF(G331="Cálculo","Válido — E0 calculado","Válido — E0 estimado"))))))</x:f>
      </x:c>
      <x:c r="AQ331" s="63" t="str">
        <x:f>IF(A331="","",IF(COUNTA(H331:T331)&lt;13,"Incompleta",IF(OR(I331&lt;H331,J331&lt;I331,K331&lt;J331,L331&lt;K331,M331&lt;L331,N331&lt;M331,O331&lt;N331,P331&lt;O331,Q331&lt;P331,R331&lt;Q331,S331&lt;R331,T331&lt;S331),"Revisar","Completa")))</x:f>
      </x:c>
      <x:c r="AR331" s="87" t="str">
        <x:f>IF(OR(V331="",W331="",Y331=""),"",Y331-(V331-W331))</x:f>
      </x:c>
      <x:c r="AS331" s="63" t="str">
        <x:f>IF(A331="","",IF(AND(E331&lt;&gt;"",F331&lt;&gt;"",G331&lt;&gt;"",Z331&lt;&gt;"",AA331&lt;&gt;"",AB331&lt;&gt;"",AC331&lt;&gt;""),"Completa","Incompleta"))</x:f>
      </x:c>
      <x:c r="AT331" s="63" t="str">
        <x:f>IF(A331="","",IF(COUNTIF($A$11:$A$410,A331)&gt;1,"ID duplicado",IF(AND(AR331&lt;&gt;"",ABS(AR331)&gt;0.01),"Revisar balanço",IF(AND(W331&lt;&gt;"",V331&lt;&gt;"",W331&gt;V331),"Retirada &gt; estoque",IF(AND(U331&lt;&gt;"",U331&lt;'Cenário Base'!$D$8*'Cenário Base'!$D$74),"E0 abaixo do gatilho",IF(AND(V331&lt;&gt;"",V331&gt;XLOOKUP(B331,$A$414:$A$418,$B$414:$B$418)),"Excedeu capacidade","Sem alerta"))))))</x:f>
      </x:c>
    </x:row>
    <x:row r="332">
      <x:c r="A332" s="43"/>
      <x:c r="B332" s="43"/>
      <x:c r="C332" s="43"/>
      <x:c r="D332" s="43"/>
      <x:c r="E332" s="43"/>
      <x:c r="F332" s="43"/>
      <x:c r="G332" s="43"/>
      <x:c r="H332" s="120"/>
      <x:c r="I332" s="120"/>
      <x:c r="J332" s="120"/>
      <x:c r="K332" s="120"/>
      <x:c r="L332" s="120"/>
      <x:c r="M332" s="120"/>
      <x:c r="N332" s="120"/>
      <x:c r="O332" s="120"/>
      <x:c r="P332" s="120"/>
      <x:c r="Q332" s="120"/>
      <x:c r="R332" s="120"/>
      <x:c r="S332" s="120"/>
      <x:c r="T332" s="120"/>
      <x:c r="U332" s="48"/>
      <x:c r="V332" s="48"/>
      <x:c r="W332" s="48"/>
      <x:c r="X332" s="48"/>
      <x:c r="Y332" s="48"/>
      <x:c r="Z332" s="49"/>
      <x:c r="AA332" s="43"/>
      <x:c r="AB332" s="43"/>
      <x:c r="AC332" s="43"/>
      <x:c r="AD332" s="43"/>
      <x:c r="AE332" s="43"/>
      <x:c r="AF332" s="87" t="str">
        <x:f>IF(OR(H332="",I332="",I332&lt;H332),"",(I332-H332)*1440)</x:f>
      </x:c>
      <x:c r="AG332" s="87" t="str">
        <x:f>IF(OR(I332="",M332="",M332&lt;I332),"",(M332-I332)*1440)</x:f>
      </x:c>
      <x:c r="AH332" s="87" t="str">
        <x:f>IF(OR(M332="",N332="",N332&lt;M332),"",(N332-M332)*1440)</x:f>
      </x:c>
      <x:c r="AI332" s="87" t="str">
        <x:f>IF(OR(H332="",N332="",N332&lt;H332),"",(N332-H332)*1440)</x:f>
      </x:c>
      <x:c r="AJ332" s="87" t="str">
        <x:f>IF(OR(I332="",N332="",N332&lt;I332),"",(N332-I332)*1440)</x:f>
      </x:c>
      <x:c r="AK332" s="87" t="str">
        <x:f>IF(OR(N332="",O332="",O332&lt;N332),"",(O332-N332)*1440)</x:f>
      </x:c>
      <x:c r="AL332" s="87" t="str">
        <x:f>IF(OR(O332="",P332="",P332&lt;O332),"",(P332-O332)*1440)</x:f>
      </x:c>
      <x:c r="AM332" s="87" t="str">
        <x:f>IF(OR(Q332="",R332="",R332&lt;Q332),"",(R332-Q332)*1440)</x:f>
      </x:c>
      <x:c r="AN332" s="87" t="str">
        <x:f>IF(OR(S332="",T332="",T332&lt;S332),"",(T332-S332)*1440)</x:f>
      </x:c>
      <x:c r="AO332" s="87" t="str">
        <x:f>IF(OR(U332="",V332=""),"",V332-U332)</x:f>
      </x:c>
      <x:c r="AP332" s="63" t="str">
        <x:f>IF(A332="","",IF(OR(B332="",H332="",N332=""),"Incompleto",IF(N332&lt;H332,"Revisar",IF(OR(G332="",G332="Não observado"),"Qualidade E0 ausente",IF(OR(G332="Sensor",G332="Marcação física"),"Válido — E0 observado",IF(G332="Cálculo","Válido — E0 calculado","Válido — E0 estimado"))))))</x:f>
      </x:c>
      <x:c r="AQ332" s="63" t="str">
        <x:f>IF(A332="","",IF(COUNTA(H332:T332)&lt;13,"Incompleta",IF(OR(I332&lt;H332,J332&lt;I332,K332&lt;J332,L332&lt;K332,M332&lt;L332,N332&lt;M332,O332&lt;N332,P332&lt;O332,Q332&lt;P332,R332&lt;Q332,S332&lt;R332,T332&lt;S332),"Revisar","Completa")))</x:f>
      </x:c>
      <x:c r="AR332" s="87" t="str">
        <x:f>IF(OR(V332="",W332="",Y332=""),"",Y332-(V332-W332))</x:f>
      </x:c>
      <x:c r="AS332" s="63" t="str">
        <x:f>IF(A332="","",IF(AND(E332&lt;&gt;"",F332&lt;&gt;"",G332&lt;&gt;"",Z332&lt;&gt;"",AA332&lt;&gt;"",AB332&lt;&gt;"",AC332&lt;&gt;""),"Completa","Incompleta"))</x:f>
      </x:c>
      <x:c r="AT332" s="63" t="str">
        <x:f>IF(A332="","",IF(COUNTIF($A$11:$A$410,A332)&gt;1,"ID duplicado",IF(AND(AR332&lt;&gt;"",ABS(AR332)&gt;0.01),"Revisar balanço",IF(AND(W332&lt;&gt;"",V332&lt;&gt;"",W332&gt;V332),"Retirada &gt; estoque",IF(AND(U332&lt;&gt;"",U332&lt;'Cenário Base'!$D$8*'Cenário Base'!$D$74),"E0 abaixo do gatilho",IF(AND(V332&lt;&gt;"",V332&gt;XLOOKUP(B332,$A$414:$A$418,$B$414:$B$418)),"Excedeu capacidade","Sem alerta"))))))</x:f>
      </x:c>
    </x:row>
    <x:row r="333">
      <x:c r="A333" s="43"/>
      <x:c r="B333" s="43"/>
      <x:c r="C333" s="43"/>
      <x:c r="D333" s="43"/>
      <x:c r="E333" s="43"/>
      <x:c r="F333" s="43"/>
      <x:c r="G333" s="43"/>
      <x:c r="H333" s="120"/>
      <x:c r="I333" s="120"/>
      <x:c r="J333" s="120"/>
      <x:c r="K333" s="120"/>
      <x:c r="L333" s="120"/>
      <x:c r="M333" s="120"/>
      <x:c r="N333" s="120"/>
      <x:c r="O333" s="120"/>
      <x:c r="P333" s="120"/>
      <x:c r="Q333" s="120"/>
      <x:c r="R333" s="120"/>
      <x:c r="S333" s="120"/>
      <x:c r="T333" s="120"/>
      <x:c r="U333" s="48"/>
      <x:c r="V333" s="48"/>
      <x:c r="W333" s="48"/>
      <x:c r="X333" s="48"/>
      <x:c r="Y333" s="48"/>
      <x:c r="Z333" s="49"/>
      <x:c r="AA333" s="43"/>
      <x:c r="AB333" s="43"/>
      <x:c r="AC333" s="43"/>
      <x:c r="AD333" s="43"/>
      <x:c r="AE333" s="43"/>
      <x:c r="AF333" s="87" t="str">
        <x:f>IF(OR(H333="",I333="",I333&lt;H333),"",(I333-H333)*1440)</x:f>
      </x:c>
      <x:c r="AG333" s="87" t="str">
        <x:f>IF(OR(I333="",M333="",M333&lt;I333),"",(M333-I333)*1440)</x:f>
      </x:c>
      <x:c r="AH333" s="87" t="str">
        <x:f>IF(OR(M333="",N333="",N333&lt;M333),"",(N333-M333)*1440)</x:f>
      </x:c>
      <x:c r="AI333" s="87" t="str">
        <x:f>IF(OR(H333="",N333="",N333&lt;H333),"",(N333-H333)*1440)</x:f>
      </x:c>
      <x:c r="AJ333" s="87" t="str">
        <x:f>IF(OR(I333="",N333="",N333&lt;I333),"",(N333-I333)*1440)</x:f>
      </x:c>
      <x:c r="AK333" s="87" t="str">
        <x:f>IF(OR(N333="",O333="",O333&lt;N333),"",(O333-N333)*1440)</x:f>
      </x:c>
      <x:c r="AL333" s="87" t="str">
        <x:f>IF(OR(O333="",P333="",P333&lt;O333),"",(P333-O333)*1440)</x:f>
      </x:c>
      <x:c r="AM333" s="87" t="str">
        <x:f>IF(OR(Q333="",R333="",R333&lt;Q333),"",(R333-Q333)*1440)</x:f>
      </x:c>
      <x:c r="AN333" s="87" t="str">
        <x:f>IF(OR(S333="",T333="",T333&lt;S333),"",(T333-S333)*1440)</x:f>
      </x:c>
      <x:c r="AO333" s="87" t="str">
        <x:f>IF(OR(U333="",V333=""),"",V333-U333)</x:f>
      </x:c>
      <x:c r="AP333" s="63" t="str">
        <x:f>IF(A333="","",IF(OR(B333="",H333="",N333=""),"Incompleto",IF(N333&lt;H333,"Revisar",IF(OR(G333="",G333="Não observado"),"Qualidade E0 ausente",IF(OR(G333="Sensor",G333="Marcação física"),"Válido — E0 observado",IF(G333="Cálculo","Válido — E0 calculado","Válido — E0 estimado"))))))</x:f>
      </x:c>
      <x:c r="AQ333" s="63" t="str">
        <x:f>IF(A333="","",IF(COUNTA(H333:T333)&lt;13,"Incompleta",IF(OR(I333&lt;H333,J333&lt;I333,K333&lt;J333,L333&lt;K333,M333&lt;L333,N333&lt;M333,O333&lt;N333,P333&lt;O333,Q333&lt;P333,R333&lt;Q333,S333&lt;R333,T333&lt;S333),"Revisar","Completa")))</x:f>
      </x:c>
      <x:c r="AR333" s="87" t="str">
        <x:f>IF(OR(V333="",W333="",Y333=""),"",Y333-(V333-W333))</x:f>
      </x:c>
      <x:c r="AS333" s="63" t="str">
        <x:f>IF(A333="","",IF(AND(E333&lt;&gt;"",F333&lt;&gt;"",G333&lt;&gt;"",Z333&lt;&gt;"",AA333&lt;&gt;"",AB333&lt;&gt;"",AC333&lt;&gt;""),"Completa","Incompleta"))</x:f>
      </x:c>
      <x:c r="AT333" s="63" t="str">
        <x:f>IF(A333="","",IF(COUNTIF($A$11:$A$410,A333)&gt;1,"ID duplicado",IF(AND(AR333&lt;&gt;"",ABS(AR333)&gt;0.01),"Revisar balanço",IF(AND(W333&lt;&gt;"",V333&lt;&gt;"",W333&gt;V333),"Retirada &gt; estoque",IF(AND(U333&lt;&gt;"",U333&lt;'Cenário Base'!$D$8*'Cenário Base'!$D$74),"E0 abaixo do gatilho",IF(AND(V333&lt;&gt;"",V333&gt;XLOOKUP(B333,$A$414:$A$418,$B$414:$B$418)),"Excedeu capacidade","Sem alerta"))))))</x:f>
      </x:c>
    </x:row>
    <x:row r="334">
      <x:c r="A334" s="43"/>
      <x:c r="B334" s="43"/>
      <x:c r="C334" s="43"/>
      <x:c r="D334" s="43"/>
      <x:c r="E334" s="43"/>
      <x:c r="F334" s="43"/>
      <x:c r="G334" s="43"/>
      <x:c r="H334" s="120"/>
      <x:c r="I334" s="120"/>
      <x:c r="J334" s="120"/>
      <x:c r="K334" s="120"/>
      <x:c r="L334" s="120"/>
      <x:c r="M334" s="120"/>
      <x:c r="N334" s="120"/>
      <x:c r="O334" s="120"/>
      <x:c r="P334" s="120"/>
      <x:c r="Q334" s="120"/>
      <x:c r="R334" s="120"/>
      <x:c r="S334" s="120"/>
      <x:c r="T334" s="120"/>
      <x:c r="U334" s="48"/>
      <x:c r="V334" s="48"/>
      <x:c r="W334" s="48"/>
      <x:c r="X334" s="48"/>
      <x:c r="Y334" s="48"/>
      <x:c r="Z334" s="49"/>
      <x:c r="AA334" s="43"/>
      <x:c r="AB334" s="43"/>
      <x:c r="AC334" s="43"/>
      <x:c r="AD334" s="43"/>
      <x:c r="AE334" s="43"/>
      <x:c r="AF334" s="87" t="str">
        <x:f>IF(OR(H334="",I334="",I334&lt;H334),"",(I334-H334)*1440)</x:f>
      </x:c>
      <x:c r="AG334" s="87" t="str">
        <x:f>IF(OR(I334="",M334="",M334&lt;I334),"",(M334-I334)*1440)</x:f>
      </x:c>
      <x:c r="AH334" s="87" t="str">
        <x:f>IF(OR(M334="",N334="",N334&lt;M334),"",(N334-M334)*1440)</x:f>
      </x:c>
      <x:c r="AI334" s="87" t="str">
        <x:f>IF(OR(H334="",N334="",N334&lt;H334),"",(N334-H334)*1440)</x:f>
      </x:c>
      <x:c r="AJ334" s="87" t="str">
        <x:f>IF(OR(I334="",N334="",N334&lt;I334),"",(N334-I334)*1440)</x:f>
      </x:c>
      <x:c r="AK334" s="87" t="str">
        <x:f>IF(OR(N334="",O334="",O334&lt;N334),"",(O334-N334)*1440)</x:f>
      </x:c>
      <x:c r="AL334" s="87" t="str">
        <x:f>IF(OR(O334="",P334="",P334&lt;O334),"",(P334-O334)*1440)</x:f>
      </x:c>
      <x:c r="AM334" s="87" t="str">
        <x:f>IF(OR(Q334="",R334="",R334&lt;Q334),"",(R334-Q334)*1440)</x:f>
      </x:c>
      <x:c r="AN334" s="87" t="str">
        <x:f>IF(OR(S334="",T334="",T334&lt;S334),"",(T334-S334)*1440)</x:f>
      </x:c>
      <x:c r="AO334" s="87" t="str">
        <x:f>IF(OR(U334="",V334=""),"",V334-U334)</x:f>
      </x:c>
      <x:c r="AP334" s="63" t="str">
        <x:f>IF(A334="","",IF(OR(B334="",H334="",N334=""),"Incompleto",IF(N334&lt;H334,"Revisar",IF(OR(G334="",G334="Não observado"),"Qualidade E0 ausente",IF(OR(G334="Sensor",G334="Marcação física"),"Válido — E0 observado",IF(G334="Cálculo","Válido — E0 calculado","Válido — E0 estimado"))))))</x:f>
      </x:c>
      <x:c r="AQ334" s="63" t="str">
        <x:f>IF(A334="","",IF(COUNTA(H334:T334)&lt;13,"Incompleta",IF(OR(I334&lt;H334,J334&lt;I334,K334&lt;J334,L334&lt;K334,M334&lt;L334,N334&lt;M334,O334&lt;N334,P334&lt;O334,Q334&lt;P334,R334&lt;Q334,S334&lt;R334,T334&lt;S334),"Revisar","Completa")))</x:f>
      </x:c>
      <x:c r="AR334" s="87" t="str">
        <x:f>IF(OR(V334="",W334="",Y334=""),"",Y334-(V334-W334))</x:f>
      </x:c>
      <x:c r="AS334" s="63" t="str">
        <x:f>IF(A334="","",IF(AND(E334&lt;&gt;"",F334&lt;&gt;"",G334&lt;&gt;"",Z334&lt;&gt;"",AA334&lt;&gt;"",AB334&lt;&gt;"",AC334&lt;&gt;""),"Completa","Incompleta"))</x:f>
      </x:c>
      <x:c r="AT334" s="63" t="str">
        <x:f>IF(A334="","",IF(COUNTIF($A$11:$A$410,A334)&gt;1,"ID duplicado",IF(AND(AR334&lt;&gt;"",ABS(AR334)&gt;0.01),"Revisar balanço",IF(AND(W334&lt;&gt;"",V334&lt;&gt;"",W334&gt;V334),"Retirada &gt; estoque",IF(AND(U334&lt;&gt;"",U334&lt;'Cenário Base'!$D$8*'Cenário Base'!$D$74),"E0 abaixo do gatilho",IF(AND(V334&lt;&gt;"",V334&gt;XLOOKUP(B334,$A$414:$A$418,$B$414:$B$418)),"Excedeu capacidade","Sem alerta"))))))</x:f>
      </x:c>
    </x:row>
    <x:row r="335">
      <x:c r="A335" s="43"/>
      <x:c r="B335" s="43"/>
      <x:c r="C335" s="43"/>
      <x:c r="D335" s="43"/>
      <x:c r="E335" s="43"/>
      <x:c r="F335" s="43"/>
      <x:c r="G335" s="43"/>
      <x:c r="H335" s="120"/>
      <x:c r="I335" s="120"/>
      <x:c r="J335" s="120"/>
      <x:c r="K335" s="120"/>
      <x:c r="L335" s="120"/>
      <x:c r="M335" s="120"/>
      <x:c r="N335" s="120"/>
      <x:c r="O335" s="120"/>
      <x:c r="P335" s="120"/>
      <x:c r="Q335" s="120"/>
      <x:c r="R335" s="120"/>
      <x:c r="S335" s="120"/>
      <x:c r="T335" s="120"/>
      <x:c r="U335" s="48"/>
      <x:c r="V335" s="48"/>
      <x:c r="W335" s="48"/>
      <x:c r="X335" s="48"/>
      <x:c r="Y335" s="48"/>
      <x:c r="Z335" s="49"/>
      <x:c r="AA335" s="43"/>
      <x:c r="AB335" s="43"/>
      <x:c r="AC335" s="43"/>
      <x:c r="AD335" s="43"/>
      <x:c r="AE335" s="43"/>
      <x:c r="AF335" s="87" t="str">
        <x:f>IF(OR(H335="",I335="",I335&lt;H335),"",(I335-H335)*1440)</x:f>
      </x:c>
      <x:c r="AG335" s="87" t="str">
        <x:f>IF(OR(I335="",M335="",M335&lt;I335),"",(M335-I335)*1440)</x:f>
      </x:c>
      <x:c r="AH335" s="87" t="str">
        <x:f>IF(OR(M335="",N335="",N335&lt;M335),"",(N335-M335)*1440)</x:f>
      </x:c>
      <x:c r="AI335" s="87" t="str">
        <x:f>IF(OR(H335="",N335="",N335&lt;H335),"",(N335-H335)*1440)</x:f>
      </x:c>
      <x:c r="AJ335" s="87" t="str">
        <x:f>IF(OR(I335="",N335="",N335&lt;I335),"",(N335-I335)*1440)</x:f>
      </x:c>
      <x:c r="AK335" s="87" t="str">
        <x:f>IF(OR(N335="",O335="",O335&lt;N335),"",(O335-N335)*1440)</x:f>
      </x:c>
      <x:c r="AL335" s="87" t="str">
        <x:f>IF(OR(O335="",P335="",P335&lt;O335),"",(P335-O335)*1440)</x:f>
      </x:c>
      <x:c r="AM335" s="87" t="str">
        <x:f>IF(OR(Q335="",R335="",R335&lt;Q335),"",(R335-Q335)*1440)</x:f>
      </x:c>
      <x:c r="AN335" s="87" t="str">
        <x:f>IF(OR(S335="",T335="",T335&lt;S335),"",(T335-S335)*1440)</x:f>
      </x:c>
      <x:c r="AO335" s="87" t="str">
        <x:f>IF(OR(U335="",V335=""),"",V335-U335)</x:f>
      </x:c>
      <x:c r="AP335" s="63" t="str">
        <x:f>IF(A335="","",IF(OR(B335="",H335="",N335=""),"Incompleto",IF(N335&lt;H335,"Revisar",IF(OR(G335="",G335="Não observado"),"Qualidade E0 ausente",IF(OR(G335="Sensor",G335="Marcação física"),"Válido — E0 observado",IF(G335="Cálculo","Válido — E0 calculado","Válido — E0 estimado"))))))</x:f>
      </x:c>
      <x:c r="AQ335" s="63" t="str">
        <x:f>IF(A335="","",IF(COUNTA(H335:T335)&lt;13,"Incompleta",IF(OR(I335&lt;H335,J335&lt;I335,K335&lt;J335,L335&lt;K335,M335&lt;L335,N335&lt;M335,O335&lt;N335,P335&lt;O335,Q335&lt;P335,R335&lt;Q335,S335&lt;R335,T335&lt;S335),"Revisar","Completa")))</x:f>
      </x:c>
      <x:c r="AR335" s="87" t="str">
        <x:f>IF(OR(V335="",W335="",Y335=""),"",Y335-(V335-W335))</x:f>
      </x:c>
      <x:c r="AS335" s="63" t="str">
        <x:f>IF(A335="","",IF(AND(E335&lt;&gt;"",F335&lt;&gt;"",G335&lt;&gt;"",Z335&lt;&gt;"",AA335&lt;&gt;"",AB335&lt;&gt;"",AC335&lt;&gt;""),"Completa","Incompleta"))</x:f>
      </x:c>
      <x:c r="AT335" s="63" t="str">
        <x:f>IF(A335="","",IF(COUNTIF($A$11:$A$410,A335)&gt;1,"ID duplicado",IF(AND(AR335&lt;&gt;"",ABS(AR335)&gt;0.01),"Revisar balanço",IF(AND(W335&lt;&gt;"",V335&lt;&gt;"",W335&gt;V335),"Retirada &gt; estoque",IF(AND(U335&lt;&gt;"",U335&lt;'Cenário Base'!$D$8*'Cenário Base'!$D$74),"E0 abaixo do gatilho",IF(AND(V335&lt;&gt;"",V335&gt;XLOOKUP(B335,$A$414:$A$418,$B$414:$B$418)),"Excedeu capacidade","Sem alerta"))))))</x:f>
      </x:c>
    </x:row>
    <x:row r="336">
      <x:c r="A336" s="43"/>
      <x:c r="B336" s="43"/>
      <x:c r="C336" s="43"/>
      <x:c r="D336" s="43"/>
      <x:c r="E336" s="43"/>
      <x:c r="F336" s="43"/>
      <x:c r="G336" s="43"/>
      <x:c r="H336" s="120"/>
      <x:c r="I336" s="120"/>
      <x:c r="J336" s="120"/>
      <x:c r="K336" s="120"/>
      <x:c r="L336" s="120"/>
      <x:c r="M336" s="120"/>
      <x:c r="N336" s="120"/>
      <x:c r="O336" s="120"/>
      <x:c r="P336" s="120"/>
      <x:c r="Q336" s="120"/>
      <x:c r="R336" s="120"/>
      <x:c r="S336" s="120"/>
      <x:c r="T336" s="120"/>
      <x:c r="U336" s="48"/>
      <x:c r="V336" s="48"/>
      <x:c r="W336" s="48"/>
      <x:c r="X336" s="48"/>
      <x:c r="Y336" s="48"/>
      <x:c r="Z336" s="49"/>
      <x:c r="AA336" s="43"/>
      <x:c r="AB336" s="43"/>
      <x:c r="AC336" s="43"/>
      <x:c r="AD336" s="43"/>
      <x:c r="AE336" s="43"/>
      <x:c r="AF336" s="87" t="str">
        <x:f>IF(OR(H336="",I336="",I336&lt;H336),"",(I336-H336)*1440)</x:f>
      </x:c>
      <x:c r="AG336" s="87" t="str">
        <x:f>IF(OR(I336="",M336="",M336&lt;I336),"",(M336-I336)*1440)</x:f>
      </x:c>
      <x:c r="AH336" s="87" t="str">
        <x:f>IF(OR(M336="",N336="",N336&lt;M336),"",(N336-M336)*1440)</x:f>
      </x:c>
      <x:c r="AI336" s="87" t="str">
        <x:f>IF(OR(H336="",N336="",N336&lt;H336),"",(N336-H336)*1440)</x:f>
      </x:c>
      <x:c r="AJ336" s="87" t="str">
        <x:f>IF(OR(I336="",N336="",N336&lt;I336),"",(N336-I336)*1440)</x:f>
      </x:c>
      <x:c r="AK336" s="87" t="str">
        <x:f>IF(OR(N336="",O336="",O336&lt;N336),"",(O336-N336)*1440)</x:f>
      </x:c>
      <x:c r="AL336" s="87" t="str">
        <x:f>IF(OR(O336="",P336="",P336&lt;O336),"",(P336-O336)*1440)</x:f>
      </x:c>
      <x:c r="AM336" s="87" t="str">
        <x:f>IF(OR(Q336="",R336="",R336&lt;Q336),"",(R336-Q336)*1440)</x:f>
      </x:c>
      <x:c r="AN336" s="87" t="str">
        <x:f>IF(OR(S336="",T336="",T336&lt;S336),"",(T336-S336)*1440)</x:f>
      </x:c>
      <x:c r="AO336" s="87" t="str">
        <x:f>IF(OR(U336="",V336=""),"",V336-U336)</x:f>
      </x:c>
      <x:c r="AP336" s="63" t="str">
        <x:f>IF(A336="","",IF(OR(B336="",H336="",N336=""),"Incompleto",IF(N336&lt;H336,"Revisar",IF(OR(G336="",G336="Não observado"),"Qualidade E0 ausente",IF(OR(G336="Sensor",G336="Marcação física"),"Válido — E0 observado",IF(G336="Cálculo","Válido — E0 calculado","Válido — E0 estimado"))))))</x:f>
      </x:c>
      <x:c r="AQ336" s="63" t="str">
        <x:f>IF(A336="","",IF(COUNTA(H336:T336)&lt;13,"Incompleta",IF(OR(I336&lt;H336,J336&lt;I336,K336&lt;J336,L336&lt;K336,M336&lt;L336,N336&lt;M336,O336&lt;N336,P336&lt;O336,Q336&lt;P336,R336&lt;Q336,S336&lt;R336,T336&lt;S336),"Revisar","Completa")))</x:f>
      </x:c>
      <x:c r="AR336" s="87" t="str">
        <x:f>IF(OR(V336="",W336="",Y336=""),"",Y336-(V336-W336))</x:f>
      </x:c>
      <x:c r="AS336" s="63" t="str">
        <x:f>IF(A336="","",IF(AND(E336&lt;&gt;"",F336&lt;&gt;"",G336&lt;&gt;"",Z336&lt;&gt;"",AA336&lt;&gt;"",AB336&lt;&gt;"",AC336&lt;&gt;""),"Completa","Incompleta"))</x:f>
      </x:c>
      <x:c r="AT336" s="63" t="str">
        <x:f>IF(A336="","",IF(COUNTIF($A$11:$A$410,A336)&gt;1,"ID duplicado",IF(AND(AR336&lt;&gt;"",ABS(AR336)&gt;0.01),"Revisar balanço",IF(AND(W336&lt;&gt;"",V336&lt;&gt;"",W336&gt;V336),"Retirada &gt; estoque",IF(AND(U336&lt;&gt;"",U336&lt;'Cenário Base'!$D$8*'Cenário Base'!$D$74),"E0 abaixo do gatilho",IF(AND(V336&lt;&gt;"",V336&gt;XLOOKUP(B336,$A$414:$A$418,$B$414:$B$418)),"Excedeu capacidade","Sem alerta"))))))</x:f>
      </x:c>
    </x:row>
    <x:row r="337">
      <x:c r="A337" s="43"/>
      <x:c r="B337" s="43"/>
      <x:c r="C337" s="43"/>
      <x:c r="D337" s="43"/>
      <x:c r="E337" s="43"/>
      <x:c r="F337" s="43"/>
      <x:c r="G337" s="43"/>
      <x:c r="H337" s="120"/>
      <x:c r="I337" s="120"/>
      <x:c r="J337" s="120"/>
      <x:c r="K337" s="120"/>
      <x:c r="L337" s="120"/>
      <x:c r="M337" s="120"/>
      <x:c r="N337" s="120"/>
      <x:c r="O337" s="120"/>
      <x:c r="P337" s="120"/>
      <x:c r="Q337" s="120"/>
      <x:c r="R337" s="120"/>
      <x:c r="S337" s="120"/>
      <x:c r="T337" s="120"/>
      <x:c r="U337" s="48"/>
      <x:c r="V337" s="48"/>
      <x:c r="W337" s="48"/>
      <x:c r="X337" s="48"/>
      <x:c r="Y337" s="48"/>
      <x:c r="Z337" s="49"/>
      <x:c r="AA337" s="43"/>
      <x:c r="AB337" s="43"/>
      <x:c r="AC337" s="43"/>
      <x:c r="AD337" s="43"/>
      <x:c r="AE337" s="43"/>
      <x:c r="AF337" s="87" t="str">
        <x:f>IF(OR(H337="",I337="",I337&lt;H337),"",(I337-H337)*1440)</x:f>
      </x:c>
      <x:c r="AG337" s="87" t="str">
        <x:f>IF(OR(I337="",M337="",M337&lt;I337),"",(M337-I337)*1440)</x:f>
      </x:c>
      <x:c r="AH337" s="87" t="str">
        <x:f>IF(OR(M337="",N337="",N337&lt;M337),"",(N337-M337)*1440)</x:f>
      </x:c>
      <x:c r="AI337" s="87" t="str">
        <x:f>IF(OR(H337="",N337="",N337&lt;H337),"",(N337-H337)*1440)</x:f>
      </x:c>
      <x:c r="AJ337" s="87" t="str">
        <x:f>IF(OR(I337="",N337="",N337&lt;I337),"",(N337-I337)*1440)</x:f>
      </x:c>
      <x:c r="AK337" s="87" t="str">
        <x:f>IF(OR(N337="",O337="",O337&lt;N337),"",(O337-N337)*1440)</x:f>
      </x:c>
      <x:c r="AL337" s="87" t="str">
        <x:f>IF(OR(O337="",P337="",P337&lt;O337),"",(P337-O337)*1440)</x:f>
      </x:c>
      <x:c r="AM337" s="87" t="str">
        <x:f>IF(OR(Q337="",R337="",R337&lt;Q337),"",(R337-Q337)*1440)</x:f>
      </x:c>
      <x:c r="AN337" s="87" t="str">
        <x:f>IF(OR(S337="",T337="",T337&lt;S337),"",(T337-S337)*1440)</x:f>
      </x:c>
      <x:c r="AO337" s="87" t="str">
        <x:f>IF(OR(U337="",V337=""),"",V337-U337)</x:f>
      </x:c>
      <x:c r="AP337" s="63" t="str">
        <x:f>IF(A337="","",IF(OR(B337="",H337="",N337=""),"Incompleto",IF(N337&lt;H337,"Revisar",IF(OR(G337="",G337="Não observado"),"Qualidade E0 ausente",IF(OR(G337="Sensor",G337="Marcação física"),"Válido — E0 observado",IF(G337="Cálculo","Válido — E0 calculado","Válido — E0 estimado"))))))</x:f>
      </x:c>
      <x:c r="AQ337" s="63" t="str">
        <x:f>IF(A337="","",IF(COUNTA(H337:T337)&lt;13,"Incompleta",IF(OR(I337&lt;H337,J337&lt;I337,K337&lt;J337,L337&lt;K337,M337&lt;L337,N337&lt;M337,O337&lt;N337,P337&lt;O337,Q337&lt;P337,R337&lt;Q337,S337&lt;R337,T337&lt;S337),"Revisar","Completa")))</x:f>
      </x:c>
      <x:c r="AR337" s="87" t="str">
        <x:f>IF(OR(V337="",W337="",Y337=""),"",Y337-(V337-W337))</x:f>
      </x:c>
      <x:c r="AS337" s="63" t="str">
        <x:f>IF(A337="","",IF(AND(E337&lt;&gt;"",F337&lt;&gt;"",G337&lt;&gt;"",Z337&lt;&gt;"",AA337&lt;&gt;"",AB337&lt;&gt;"",AC337&lt;&gt;""),"Completa","Incompleta"))</x:f>
      </x:c>
      <x:c r="AT337" s="63" t="str">
        <x:f>IF(A337="","",IF(COUNTIF($A$11:$A$410,A337)&gt;1,"ID duplicado",IF(AND(AR337&lt;&gt;"",ABS(AR337)&gt;0.01),"Revisar balanço",IF(AND(W337&lt;&gt;"",V337&lt;&gt;"",W337&gt;V337),"Retirada &gt; estoque",IF(AND(U337&lt;&gt;"",U337&lt;'Cenário Base'!$D$8*'Cenário Base'!$D$74),"E0 abaixo do gatilho",IF(AND(V337&lt;&gt;"",V337&gt;XLOOKUP(B337,$A$414:$A$418,$B$414:$B$418)),"Excedeu capacidade","Sem alerta"))))))</x:f>
      </x:c>
    </x:row>
    <x:row r="338">
      <x:c r="A338" s="43"/>
      <x:c r="B338" s="43"/>
      <x:c r="C338" s="43"/>
      <x:c r="D338" s="43"/>
      <x:c r="E338" s="43"/>
      <x:c r="F338" s="43"/>
      <x:c r="G338" s="43"/>
      <x:c r="H338" s="120"/>
      <x:c r="I338" s="120"/>
      <x:c r="J338" s="120"/>
      <x:c r="K338" s="120"/>
      <x:c r="L338" s="120"/>
      <x:c r="M338" s="120"/>
      <x:c r="N338" s="120"/>
      <x:c r="O338" s="120"/>
      <x:c r="P338" s="120"/>
      <x:c r="Q338" s="120"/>
      <x:c r="R338" s="120"/>
      <x:c r="S338" s="120"/>
      <x:c r="T338" s="120"/>
      <x:c r="U338" s="48"/>
      <x:c r="V338" s="48"/>
      <x:c r="W338" s="48"/>
      <x:c r="X338" s="48"/>
      <x:c r="Y338" s="48"/>
      <x:c r="Z338" s="49"/>
      <x:c r="AA338" s="43"/>
      <x:c r="AB338" s="43"/>
      <x:c r="AC338" s="43"/>
      <x:c r="AD338" s="43"/>
      <x:c r="AE338" s="43"/>
      <x:c r="AF338" s="87" t="str">
        <x:f>IF(OR(H338="",I338="",I338&lt;H338),"",(I338-H338)*1440)</x:f>
      </x:c>
      <x:c r="AG338" s="87" t="str">
        <x:f>IF(OR(I338="",M338="",M338&lt;I338),"",(M338-I338)*1440)</x:f>
      </x:c>
      <x:c r="AH338" s="87" t="str">
        <x:f>IF(OR(M338="",N338="",N338&lt;M338),"",(N338-M338)*1440)</x:f>
      </x:c>
      <x:c r="AI338" s="87" t="str">
        <x:f>IF(OR(H338="",N338="",N338&lt;H338),"",(N338-H338)*1440)</x:f>
      </x:c>
      <x:c r="AJ338" s="87" t="str">
        <x:f>IF(OR(I338="",N338="",N338&lt;I338),"",(N338-I338)*1440)</x:f>
      </x:c>
      <x:c r="AK338" s="87" t="str">
        <x:f>IF(OR(N338="",O338="",O338&lt;N338),"",(O338-N338)*1440)</x:f>
      </x:c>
      <x:c r="AL338" s="87" t="str">
        <x:f>IF(OR(O338="",P338="",P338&lt;O338),"",(P338-O338)*1440)</x:f>
      </x:c>
      <x:c r="AM338" s="87" t="str">
        <x:f>IF(OR(Q338="",R338="",R338&lt;Q338),"",(R338-Q338)*1440)</x:f>
      </x:c>
      <x:c r="AN338" s="87" t="str">
        <x:f>IF(OR(S338="",T338="",T338&lt;S338),"",(T338-S338)*1440)</x:f>
      </x:c>
      <x:c r="AO338" s="87" t="str">
        <x:f>IF(OR(U338="",V338=""),"",V338-U338)</x:f>
      </x:c>
      <x:c r="AP338" s="63" t="str">
        <x:f>IF(A338="","",IF(OR(B338="",H338="",N338=""),"Incompleto",IF(N338&lt;H338,"Revisar",IF(OR(G338="",G338="Não observado"),"Qualidade E0 ausente",IF(OR(G338="Sensor",G338="Marcação física"),"Válido — E0 observado",IF(G338="Cálculo","Válido — E0 calculado","Válido — E0 estimado"))))))</x:f>
      </x:c>
      <x:c r="AQ338" s="63" t="str">
        <x:f>IF(A338="","",IF(COUNTA(H338:T338)&lt;13,"Incompleta",IF(OR(I338&lt;H338,J338&lt;I338,K338&lt;J338,L338&lt;K338,M338&lt;L338,N338&lt;M338,O338&lt;N338,P338&lt;O338,Q338&lt;P338,R338&lt;Q338,S338&lt;R338,T338&lt;S338),"Revisar","Completa")))</x:f>
      </x:c>
      <x:c r="AR338" s="87" t="str">
        <x:f>IF(OR(V338="",W338="",Y338=""),"",Y338-(V338-W338))</x:f>
      </x:c>
      <x:c r="AS338" s="63" t="str">
        <x:f>IF(A338="","",IF(AND(E338&lt;&gt;"",F338&lt;&gt;"",G338&lt;&gt;"",Z338&lt;&gt;"",AA338&lt;&gt;"",AB338&lt;&gt;"",AC338&lt;&gt;""),"Completa","Incompleta"))</x:f>
      </x:c>
      <x:c r="AT338" s="63" t="str">
        <x:f>IF(A338="","",IF(COUNTIF($A$11:$A$410,A338)&gt;1,"ID duplicado",IF(AND(AR338&lt;&gt;"",ABS(AR338)&gt;0.01),"Revisar balanço",IF(AND(W338&lt;&gt;"",V338&lt;&gt;"",W338&gt;V338),"Retirada &gt; estoque",IF(AND(U338&lt;&gt;"",U338&lt;'Cenário Base'!$D$8*'Cenário Base'!$D$74),"E0 abaixo do gatilho",IF(AND(V338&lt;&gt;"",V338&gt;XLOOKUP(B338,$A$414:$A$418,$B$414:$B$418)),"Excedeu capacidade","Sem alerta"))))))</x:f>
      </x:c>
    </x:row>
    <x:row r="339">
      <x:c r="A339" s="43"/>
      <x:c r="B339" s="43"/>
      <x:c r="C339" s="43"/>
      <x:c r="D339" s="43"/>
      <x:c r="E339" s="43"/>
      <x:c r="F339" s="43"/>
      <x:c r="G339" s="43"/>
      <x:c r="H339" s="120"/>
      <x:c r="I339" s="120"/>
      <x:c r="J339" s="120"/>
      <x:c r="K339" s="120"/>
      <x:c r="L339" s="120"/>
      <x:c r="M339" s="120"/>
      <x:c r="N339" s="120"/>
      <x:c r="O339" s="120"/>
      <x:c r="P339" s="120"/>
      <x:c r="Q339" s="120"/>
      <x:c r="R339" s="120"/>
      <x:c r="S339" s="120"/>
      <x:c r="T339" s="120"/>
      <x:c r="U339" s="48"/>
      <x:c r="V339" s="48"/>
      <x:c r="W339" s="48"/>
      <x:c r="X339" s="48"/>
      <x:c r="Y339" s="48"/>
      <x:c r="Z339" s="49"/>
      <x:c r="AA339" s="43"/>
      <x:c r="AB339" s="43"/>
      <x:c r="AC339" s="43"/>
      <x:c r="AD339" s="43"/>
      <x:c r="AE339" s="43"/>
      <x:c r="AF339" s="87" t="str">
        <x:f>IF(OR(H339="",I339="",I339&lt;H339),"",(I339-H339)*1440)</x:f>
      </x:c>
      <x:c r="AG339" s="87" t="str">
        <x:f>IF(OR(I339="",M339="",M339&lt;I339),"",(M339-I339)*1440)</x:f>
      </x:c>
      <x:c r="AH339" s="87" t="str">
        <x:f>IF(OR(M339="",N339="",N339&lt;M339),"",(N339-M339)*1440)</x:f>
      </x:c>
      <x:c r="AI339" s="87" t="str">
        <x:f>IF(OR(H339="",N339="",N339&lt;H339),"",(N339-H339)*1440)</x:f>
      </x:c>
      <x:c r="AJ339" s="87" t="str">
        <x:f>IF(OR(I339="",N339="",N339&lt;I339),"",(N339-I339)*1440)</x:f>
      </x:c>
      <x:c r="AK339" s="87" t="str">
        <x:f>IF(OR(N339="",O339="",O339&lt;N339),"",(O339-N339)*1440)</x:f>
      </x:c>
      <x:c r="AL339" s="87" t="str">
        <x:f>IF(OR(O339="",P339="",P339&lt;O339),"",(P339-O339)*1440)</x:f>
      </x:c>
      <x:c r="AM339" s="87" t="str">
        <x:f>IF(OR(Q339="",R339="",R339&lt;Q339),"",(R339-Q339)*1440)</x:f>
      </x:c>
      <x:c r="AN339" s="87" t="str">
        <x:f>IF(OR(S339="",T339="",T339&lt;S339),"",(T339-S339)*1440)</x:f>
      </x:c>
      <x:c r="AO339" s="87" t="str">
        <x:f>IF(OR(U339="",V339=""),"",V339-U339)</x:f>
      </x:c>
      <x:c r="AP339" s="63" t="str">
        <x:f>IF(A339="","",IF(OR(B339="",H339="",N339=""),"Incompleto",IF(N339&lt;H339,"Revisar",IF(OR(G339="",G339="Não observado"),"Qualidade E0 ausente",IF(OR(G339="Sensor",G339="Marcação física"),"Válido — E0 observado",IF(G339="Cálculo","Válido — E0 calculado","Válido — E0 estimado"))))))</x:f>
      </x:c>
      <x:c r="AQ339" s="63" t="str">
        <x:f>IF(A339="","",IF(COUNTA(H339:T339)&lt;13,"Incompleta",IF(OR(I339&lt;H339,J339&lt;I339,K339&lt;J339,L339&lt;K339,M339&lt;L339,N339&lt;M339,O339&lt;N339,P339&lt;O339,Q339&lt;P339,R339&lt;Q339,S339&lt;R339,T339&lt;S339),"Revisar","Completa")))</x:f>
      </x:c>
      <x:c r="AR339" s="87" t="str">
        <x:f>IF(OR(V339="",W339="",Y339=""),"",Y339-(V339-W339))</x:f>
      </x:c>
      <x:c r="AS339" s="63" t="str">
        <x:f>IF(A339="","",IF(AND(E339&lt;&gt;"",F339&lt;&gt;"",G339&lt;&gt;"",Z339&lt;&gt;"",AA339&lt;&gt;"",AB339&lt;&gt;"",AC339&lt;&gt;""),"Completa","Incompleta"))</x:f>
      </x:c>
      <x:c r="AT339" s="63" t="str">
        <x:f>IF(A339="","",IF(COUNTIF($A$11:$A$410,A339)&gt;1,"ID duplicado",IF(AND(AR339&lt;&gt;"",ABS(AR339)&gt;0.01),"Revisar balanço",IF(AND(W339&lt;&gt;"",V339&lt;&gt;"",W339&gt;V339),"Retirada &gt; estoque",IF(AND(U339&lt;&gt;"",U339&lt;'Cenário Base'!$D$8*'Cenário Base'!$D$74),"E0 abaixo do gatilho",IF(AND(V339&lt;&gt;"",V339&gt;XLOOKUP(B339,$A$414:$A$418,$B$414:$B$418)),"Excedeu capacidade","Sem alerta"))))))</x:f>
      </x:c>
    </x:row>
    <x:row r="340">
      <x:c r="A340" s="43"/>
      <x:c r="B340" s="43"/>
      <x:c r="C340" s="43"/>
      <x:c r="D340" s="43"/>
      <x:c r="E340" s="43"/>
      <x:c r="F340" s="43"/>
      <x:c r="G340" s="43"/>
      <x:c r="H340" s="120"/>
      <x:c r="I340" s="120"/>
      <x:c r="J340" s="120"/>
      <x:c r="K340" s="120"/>
      <x:c r="L340" s="120"/>
      <x:c r="M340" s="120"/>
      <x:c r="N340" s="120"/>
      <x:c r="O340" s="120"/>
      <x:c r="P340" s="120"/>
      <x:c r="Q340" s="120"/>
      <x:c r="R340" s="120"/>
      <x:c r="S340" s="120"/>
      <x:c r="T340" s="120"/>
      <x:c r="U340" s="48"/>
      <x:c r="V340" s="48"/>
      <x:c r="W340" s="48"/>
      <x:c r="X340" s="48"/>
      <x:c r="Y340" s="48"/>
      <x:c r="Z340" s="49"/>
      <x:c r="AA340" s="43"/>
      <x:c r="AB340" s="43"/>
      <x:c r="AC340" s="43"/>
      <x:c r="AD340" s="43"/>
      <x:c r="AE340" s="43"/>
      <x:c r="AF340" s="87" t="str">
        <x:f>IF(OR(H340="",I340="",I340&lt;H340),"",(I340-H340)*1440)</x:f>
      </x:c>
      <x:c r="AG340" s="87" t="str">
        <x:f>IF(OR(I340="",M340="",M340&lt;I340),"",(M340-I340)*1440)</x:f>
      </x:c>
      <x:c r="AH340" s="87" t="str">
        <x:f>IF(OR(M340="",N340="",N340&lt;M340),"",(N340-M340)*1440)</x:f>
      </x:c>
      <x:c r="AI340" s="87" t="str">
        <x:f>IF(OR(H340="",N340="",N340&lt;H340),"",(N340-H340)*1440)</x:f>
      </x:c>
      <x:c r="AJ340" s="87" t="str">
        <x:f>IF(OR(I340="",N340="",N340&lt;I340),"",(N340-I340)*1440)</x:f>
      </x:c>
      <x:c r="AK340" s="87" t="str">
        <x:f>IF(OR(N340="",O340="",O340&lt;N340),"",(O340-N340)*1440)</x:f>
      </x:c>
      <x:c r="AL340" s="87" t="str">
        <x:f>IF(OR(O340="",P340="",P340&lt;O340),"",(P340-O340)*1440)</x:f>
      </x:c>
      <x:c r="AM340" s="87" t="str">
        <x:f>IF(OR(Q340="",R340="",R340&lt;Q340),"",(R340-Q340)*1440)</x:f>
      </x:c>
      <x:c r="AN340" s="87" t="str">
        <x:f>IF(OR(S340="",T340="",T340&lt;S340),"",(T340-S340)*1440)</x:f>
      </x:c>
      <x:c r="AO340" s="87" t="str">
        <x:f>IF(OR(U340="",V340=""),"",V340-U340)</x:f>
      </x:c>
      <x:c r="AP340" s="63" t="str">
        <x:f>IF(A340="","",IF(OR(B340="",H340="",N340=""),"Incompleto",IF(N340&lt;H340,"Revisar",IF(OR(G340="",G340="Não observado"),"Qualidade E0 ausente",IF(OR(G340="Sensor",G340="Marcação física"),"Válido — E0 observado",IF(G340="Cálculo","Válido — E0 calculado","Válido — E0 estimado"))))))</x:f>
      </x:c>
      <x:c r="AQ340" s="63" t="str">
        <x:f>IF(A340="","",IF(COUNTA(H340:T340)&lt;13,"Incompleta",IF(OR(I340&lt;H340,J340&lt;I340,K340&lt;J340,L340&lt;K340,M340&lt;L340,N340&lt;M340,O340&lt;N340,P340&lt;O340,Q340&lt;P340,R340&lt;Q340,S340&lt;R340,T340&lt;S340),"Revisar","Completa")))</x:f>
      </x:c>
      <x:c r="AR340" s="87" t="str">
        <x:f>IF(OR(V340="",W340="",Y340=""),"",Y340-(V340-W340))</x:f>
      </x:c>
      <x:c r="AS340" s="63" t="str">
        <x:f>IF(A340="","",IF(AND(E340&lt;&gt;"",F340&lt;&gt;"",G340&lt;&gt;"",Z340&lt;&gt;"",AA340&lt;&gt;"",AB340&lt;&gt;"",AC340&lt;&gt;""),"Completa","Incompleta"))</x:f>
      </x:c>
      <x:c r="AT340" s="63" t="str">
        <x:f>IF(A340="","",IF(COUNTIF($A$11:$A$410,A340)&gt;1,"ID duplicado",IF(AND(AR340&lt;&gt;"",ABS(AR340)&gt;0.01),"Revisar balanço",IF(AND(W340&lt;&gt;"",V340&lt;&gt;"",W340&gt;V340),"Retirada &gt; estoque",IF(AND(U340&lt;&gt;"",U340&lt;'Cenário Base'!$D$8*'Cenário Base'!$D$74),"E0 abaixo do gatilho",IF(AND(V340&lt;&gt;"",V340&gt;XLOOKUP(B340,$A$414:$A$418,$B$414:$B$418)),"Excedeu capacidade","Sem alerta"))))))</x:f>
      </x:c>
    </x:row>
    <x:row r="341">
      <x:c r="A341" s="43"/>
      <x:c r="B341" s="43"/>
      <x:c r="C341" s="43"/>
      <x:c r="D341" s="43"/>
      <x:c r="E341" s="43"/>
      <x:c r="F341" s="43"/>
      <x:c r="G341" s="43"/>
      <x:c r="H341" s="120"/>
      <x:c r="I341" s="120"/>
      <x:c r="J341" s="120"/>
      <x:c r="K341" s="120"/>
      <x:c r="L341" s="120"/>
      <x:c r="M341" s="120"/>
      <x:c r="N341" s="120"/>
      <x:c r="O341" s="120"/>
      <x:c r="P341" s="120"/>
      <x:c r="Q341" s="120"/>
      <x:c r="R341" s="120"/>
      <x:c r="S341" s="120"/>
      <x:c r="T341" s="120"/>
      <x:c r="U341" s="48"/>
      <x:c r="V341" s="48"/>
      <x:c r="W341" s="48"/>
      <x:c r="X341" s="48"/>
      <x:c r="Y341" s="48"/>
      <x:c r="Z341" s="49"/>
      <x:c r="AA341" s="43"/>
      <x:c r="AB341" s="43"/>
      <x:c r="AC341" s="43"/>
      <x:c r="AD341" s="43"/>
      <x:c r="AE341" s="43"/>
      <x:c r="AF341" s="87" t="str">
        <x:f>IF(OR(H341="",I341="",I341&lt;H341),"",(I341-H341)*1440)</x:f>
      </x:c>
      <x:c r="AG341" s="87" t="str">
        <x:f>IF(OR(I341="",M341="",M341&lt;I341),"",(M341-I341)*1440)</x:f>
      </x:c>
      <x:c r="AH341" s="87" t="str">
        <x:f>IF(OR(M341="",N341="",N341&lt;M341),"",(N341-M341)*1440)</x:f>
      </x:c>
      <x:c r="AI341" s="87" t="str">
        <x:f>IF(OR(H341="",N341="",N341&lt;H341),"",(N341-H341)*1440)</x:f>
      </x:c>
      <x:c r="AJ341" s="87" t="str">
        <x:f>IF(OR(I341="",N341="",N341&lt;I341),"",(N341-I341)*1440)</x:f>
      </x:c>
      <x:c r="AK341" s="87" t="str">
        <x:f>IF(OR(N341="",O341="",O341&lt;N341),"",(O341-N341)*1440)</x:f>
      </x:c>
      <x:c r="AL341" s="87" t="str">
        <x:f>IF(OR(O341="",P341="",P341&lt;O341),"",(P341-O341)*1440)</x:f>
      </x:c>
      <x:c r="AM341" s="87" t="str">
        <x:f>IF(OR(Q341="",R341="",R341&lt;Q341),"",(R341-Q341)*1440)</x:f>
      </x:c>
      <x:c r="AN341" s="87" t="str">
        <x:f>IF(OR(S341="",T341="",T341&lt;S341),"",(T341-S341)*1440)</x:f>
      </x:c>
      <x:c r="AO341" s="87" t="str">
        <x:f>IF(OR(U341="",V341=""),"",V341-U341)</x:f>
      </x:c>
      <x:c r="AP341" s="63" t="str">
        <x:f>IF(A341="","",IF(OR(B341="",H341="",N341=""),"Incompleto",IF(N341&lt;H341,"Revisar",IF(OR(G341="",G341="Não observado"),"Qualidade E0 ausente",IF(OR(G341="Sensor",G341="Marcação física"),"Válido — E0 observado",IF(G341="Cálculo","Válido — E0 calculado","Válido — E0 estimado"))))))</x:f>
      </x:c>
      <x:c r="AQ341" s="63" t="str">
        <x:f>IF(A341="","",IF(COUNTA(H341:T341)&lt;13,"Incompleta",IF(OR(I341&lt;H341,J341&lt;I341,K341&lt;J341,L341&lt;K341,M341&lt;L341,N341&lt;M341,O341&lt;N341,P341&lt;O341,Q341&lt;P341,R341&lt;Q341,S341&lt;R341,T341&lt;S341),"Revisar","Completa")))</x:f>
      </x:c>
      <x:c r="AR341" s="87" t="str">
        <x:f>IF(OR(V341="",W341="",Y341=""),"",Y341-(V341-W341))</x:f>
      </x:c>
      <x:c r="AS341" s="63" t="str">
        <x:f>IF(A341="","",IF(AND(E341&lt;&gt;"",F341&lt;&gt;"",G341&lt;&gt;"",Z341&lt;&gt;"",AA341&lt;&gt;"",AB341&lt;&gt;"",AC341&lt;&gt;""),"Completa","Incompleta"))</x:f>
      </x:c>
      <x:c r="AT341" s="63" t="str">
        <x:f>IF(A341="","",IF(COUNTIF($A$11:$A$410,A341)&gt;1,"ID duplicado",IF(AND(AR341&lt;&gt;"",ABS(AR341)&gt;0.01),"Revisar balanço",IF(AND(W341&lt;&gt;"",V341&lt;&gt;"",W341&gt;V341),"Retirada &gt; estoque",IF(AND(U341&lt;&gt;"",U341&lt;'Cenário Base'!$D$8*'Cenário Base'!$D$74),"E0 abaixo do gatilho",IF(AND(V341&lt;&gt;"",V341&gt;XLOOKUP(B341,$A$414:$A$418,$B$414:$B$418)),"Excedeu capacidade","Sem alerta"))))))</x:f>
      </x:c>
    </x:row>
    <x:row r="342">
      <x:c r="A342" s="43"/>
      <x:c r="B342" s="43"/>
      <x:c r="C342" s="43"/>
      <x:c r="D342" s="43"/>
      <x:c r="E342" s="43"/>
      <x:c r="F342" s="43"/>
      <x:c r="G342" s="43"/>
      <x:c r="H342" s="120"/>
      <x:c r="I342" s="120"/>
      <x:c r="J342" s="120"/>
      <x:c r="K342" s="120"/>
      <x:c r="L342" s="120"/>
      <x:c r="M342" s="120"/>
      <x:c r="N342" s="120"/>
      <x:c r="O342" s="120"/>
      <x:c r="P342" s="120"/>
      <x:c r="Q342" s="120"/>
      <x:c r="R342" s="120"/>
      <x:c r="S342" s="120"/>
      <x:c r="T342" s="120"/>
      <x:c r="U342" s="48"/>
      <x:c r="V342" s="48"/>
      <x:c r="W342" s="48"/>
      <x:c r="X342" s="48"/>
      <x:c r="Y342" s="48"/>
      <x:c r="Z342" s="49"/>
      <x:c r="AA342" s="43"/>
      <x:c r="AB342" s="43"/>
      <x:c r="AC342" s="43"/>
      <x:c r="AD342" s="43"/>
      <x:c r="AE342" s="43"/>
      <x:c r="AF342" s="87" t="str">
        <x:f>IF(OR(H342="",I342="",I342&lt;H342),"",(I342-H342)*1440)</x:f>
      </x:c>
      <x:c r="AG342" s="87" t="str">
        <x:f>IF(OR(I342="",M342="",M342&lt;I342),"",(M342-I342)*1440)</x:f>
      </x:c>
      <x:c r="AH342" s="87" t="str">
        <x:f>IF(OR(M342="",N342="",N342&lt;M342),"",(N342-M342)*1440)</x:f>
      </x:c>
      <x:c r="AI342" s="87" t="str">
        <x:f>IF(OR(H342="",N342="",N342&lt;H342),"",(N342-H342)*1440)</x:f>
      </x:c>
      <x:c r="AJ342" s="87" t="str">
        <x:f>IF(OR(I342="",N342="",N342&lt;I342),"",(N342-I342)*1440)</x:f>
      </x:c>
      <x:c r="AK342" s="87" t="str">
        <x:f>IF(OR(N342="",O342="",O342&lt;N342),"",(O342-N342)*1440)</x:f>
      </x:c>
      <x:c r="AL342" s="87" t="str">
        <x:f>IF(OR(O342="",P342="",P342&lt;O342),"",(P342-O342)*1440)</x:f>
      </x:c>
      <x:c r="AM342" s="87" t="str">
        <x:f>IF(OR(Q342="",R342="",R342&lt;Q342),"",(R342-Q342)*1440)</x:f>
      </x:c>
      <x:c r="AN342" s="87" t="str">
        <x:f>IF(OR(S342="",T342="",T342&lt;S342),"",(T342-S342)*1440)</x:f>
      </x:c>
      <x:c r="AO342" s="87" t="str">
        <x:f>IF(OR(U342="",V342=""),"",V342-U342)</x:f>
      </x:c>
      <x:c r="AP342" s="63" t="str">
        <x:f>IF(A342="","",IF(OR(B342="",H342="",N342=""),"Incompleto",IF(N342&lt;H342,"Revisar",IF(OR(G342="",G342="Não observado"),"Qualidade E0 ausente",IF(OR(G342="Sensor",G342="Marcação física"),"Válido — E0 observado",IF(G342="Cálculo","Válido — E0 calculado","Válido — E0 estimado"))))))</x:f>
      </x:c>
      <x:c r="AQ342" s="63" t="str">
        <x:f>IF(A342="","",IF(COUNTA(H342:T342)&lt;13,"Incompleta",IF(OR(I342&lt;H342,J342&lt;I342,K342&lt;J342,L342&lt;K342,M342&lt;L342,N342&lt;M342,O342&lt;N342,P342&lt;O342,Q342&lt;P342,R342&lt;Q342,S342&lt;R342,T342&lt;S342),"Revisar","Completa")))</x:f>
      </x:c>
      <x:c r="AR342" s="87" t="str">
        <x:f>IF(OR(V342="",W342="",Y342=""),"",Y342-(V342-W342))</x:f>
      </x:c>
      <x:c r="AS342" s="63" t="str">
        <x:f>IF(A342="","",IF(AND(E342&lt;&gt;"",F342&lt;&gt;"",G342&lt;&gt;"",Z342&lt;&gt;"",AA342&lt;&gt;"",AB342&lt;&gt;"",AC342&lt;&gt;""),"Completa","Incompleta"))</x:f>
      </x:c>
      <x:c r="AT342" s="63" t="str">
        <x:f>IF(A342="","",IF(COUNTIF($A$11:$A$410,A342)&gt;1,"ID duplicado",IF(AND(AR342&lt;&gt;"",ABS(AR342)&gt;0.01),"Revisar balanço",IF(AND(W342&lt;&gt;"",V342&lt;&gt;"",W342&gt;V342),"Retirada &gt; estoque",IF(AND(U342&lt;&gt;"",U342&lt;'Cenário Base'!$D$8*'Cenário Base'!$D$74),"E0 abaixo do gatilho",IF(AND(V342&lt;&gt;"",V342&gt;XLOOKUP(B342,$A$414:$A$418,$B$414:$B$418)),"Excedeu capacidade","Sem alerta"))))))</x:f>
      </x:c>
    </x:row>
    <x:row r="343">
      <x:c r="A343" s="43"/>
      <x:c r="B343" s="43"/>
      <x:c r="C343" s="43"/>
      <x:c r="D343" s="43"/>
      <x:c r="E343" s="43"/>
      <x:c r="F343" s="43"/>
      <x:c r="G343" s="43"/>
      <x:c r="H343" s="120"/>
      <x:c r="I343" s="120"/>
      <x:c r="J343" s="120"/>
      <x:c r="K343" s="120"/>
      <x:c r="L343" s="120"/>
      <x:c r="M343" s="120"/>
      <x:c r="N343" s="120"/>
      <x:c r="O343" s="120"/>
      <x:c r="P343" s="120"/>
      <x:c r="Q343" s="120"/>
      <x:c r="R343" s="120"/>
      <x:c r="S343" s="120"/>
      <x:c r="T343" s="120"/>
      <x:c r="U343" s="48"/>
      <x:c r="V343" s="48"/>
      <x:c r="W343" s="48"/>
      <x:c r="X343" s="48"/>
      <x:c r="Y343" s="48"/>
      <x:c r="Z343" s="49"/>
      <x:c r="AA343" s="43"/>
      <x:c r="AB343" s="43"/>
      <x:c r="AC343" s="43"/>
      <x:c r="AD343" s="43"/>
      <x:c r="AE343" s="43"/>
      <x:c r="AF343" s="87" t="str">
        <x:f>IF(OR(H343="",I343="",I343&lt;H343),"",(I343-H343)*1440)</x:f>
      </x:c>
      <x:c r="AG343" s="87" t="str">
        <x:f>IF(OR(I343="",M343="",M343&lt;I343),"",(M343-I343)*1440)</x:f>
      </x:c>
      <x:c r="AH343" s="87" t="str">
        <x:f>IF(OR(M343="",N343="",N343&lt;M343),"",(N343-M343)*1440)</x:f>
      </x:c>
      <x:c r="AI343" s="87" t="str">
        <x:f>IF(OR(H343="",N343="",N343&lt;H343),"",(N343-H343)*1440)</x:f>
      </x:c>
      <x:c r="AJ343" s="87" t="str">
        <x:f>IF(OR(I343="",N343="",N343&lt;I343),"",(N343-I343)*1440)</x:f>
      </x:c>
      <x:c r="AK343" s="87" t="str">
        <x:f>IF(OR(N343="",O343="",O343&lt;N343),"",(O343-N343)*1440)</x:f>
      </x:c>
      <x:c r="AL343" s="87" t="str">
        <x:f>IF(OR(O343="",P343="",P343&lt;O343),"",(P343-O343)*1440)</x:f>
      </x:c>
      <x:c r="AM343" s="87" t="str">
        <x:f>IF(OR(Q343="",R343="",R343&lt;Q343),"",(R343-Q343)*1440)</x:f>
      </x:c>
      <x:c r="AN343" s="87" t="str">
        <x:f>IF(OR(S343="",T343="",T343&lt;S343),"",(T343-S343)*1440)</x:f>
      </x:c>
      <x:c r="AO343" s="87" t="str">
        <x:f>IF(OR(U343="",V343=""),"",V343-U343)</x:f>
      </x:c>
      <x:c r="AP343" s="63" t="str">
        <x:f>IF(A343="","",IF(OR(B343="",H343="",N343=""),"Incompleto",IF(N343&lt;H343,"Revisar",IF(OR(G343="",G343="Não observado"),"Qualidade E0 ausente",IF(OR(G343="Sensor",G343="Marcação física"),"Válido — E0 observado",IF(G343="Cálculo","Válido — E0 calculado","Válido — E0 estimado"))))))</x:f>
      </x:c>
      <x:c r="AQ343" s="63" t="str">
        <x:f>IF(A343="","",IF(COUNTA(H343:T343)&lt;13,"Incompleta",IF(OR(I343&lt;H343,J343&lt;I343,K343&lt;J343,L343&lt;K343,M343&lt;L343,N343&lt;M343,O343&lt;N343,P343&lt;O343,Q343&lt;P343,R343&lt;Q343,S343&lt;R343,T343&lt;S343),"Revisar","Completa")))</x:f>
      </x:c>
      <x:c r="AR343" s="87" t="str">
        <x:f>IF(OR(V343="",W343="",Y343=""),"",Y343-(V343-W343))</x:f>
      </x:c>
      <x:c r="AS343" s="63" t="str">
        <x:f>IF(A343="","",IF(AND(E343&lt;&gt;"",F343&lt;&gt;"",G343&lt;&gt;"",Z343&lt;&gt;"",AA343&lt;&gt;"",AB343&lt;&gt;"",AC343&lt;&gt;""),"Completa","Incompleta"))</x:f>
      </x:c>
      <x:c r="AT343" s="63" t="str">
        <x:f>IF(A343="","",IF(COUNTIF($A$11:$A$410,A343)&gt;1,"ID duplicado",IF(AND(AR343&lt;&gt;"",ABS(AR343)&gt;0.01),"Revisar balanço",IF(AND(W343&lt;&gt;"",V343&lt;&gt;"",W343&gt;V343),"Retirada &gt; estoque",IF(AND(U343&lt;&gt;"",U343&lt;'Cenário Base'!$D$8*'Cenário Base'!$D$74),"E0 abaixo do gatilho",IF(AND(V343&lt;&gt;"",V343&gt;XLOOKUP(B343,$A$414:$A$418,$B$414:$B$418)),"Excedeu capacidade","Sem alerta"))))))</x:f>
      </x:c>
    </x:row>
    <x:row r="344">
      <x:c r="A344" s="43"/>
      <x:c r="B344" s="43"/>
      <x:c r="C344" s="43"/>
      <x:c r="D344" s="43"/>
      <x:c r="E344" s="43"/>
      <x:c r="F344" s="43"/>
      <x:c r="G344" s="43"/>
      <x:c r="H344" s="120"/>
      <x:c r="I344" s="120"/>
      <x:c r="J344" s="120"/>
      <x:c r="K344" s="120"/>
      <x:c r="L344" s="120"/>
      <x:c r="M344" s="120"/>
      <x:c r="N344" s="120"/>
      <x:c r="O344" s="120"/>
      <x:c r="P344" s="120"/>
      <x:c r="Q344" s="120"/>
      <x:c r="R344" s="120"/>
      <x:c r="S344" s="120"/>
      <x:c r="T344" s="120"/>
      <x:c r="U344" s="48"/>
      <x:c r="V344" s="48"/>
      <x:c r="W344" s="48"/>
      <x:c r="X344" s="48"/>
      <x:c r="Y344" s="48"/>
      <x:c r="Z344" s="49"/>
      <x:c r="AA344" s="43"/>
      <x:c r="AB344" s="43"/>
      <x:c r="AC344" s="43"/>
      <x:c r="AD344" s="43"/>
      <x:c r="AE344" s="43"/>
      <x:c r="AF344" s="87" t="str">
        <x:f>IF(OR(H344="",I344="",I344&lt;H344),"",(I344-H344)*1440)</x:f>
      </x:c>
      <x:c r="AG344" s="87" t="str">
        <x:f>IF(OR(I344="",M344="",M344&lt;I344),"",(M344-I344)*1440)</x:f>
      </x:c>
      <x:c r="AH344" s="87" t="str">
        <x:f>IF(OR(M344="",N344="",N344&lt;M344),"",(N344-M344)*1440)</x:f>
      </x:c>
      <x:c r="AI344" s="87" t="str">
        <x:f>IF(OR(H344="",N344="",N344&lt;H344),"",(N344-H344)*1440)</x:f>
      </x:c>
      <x:c r="AJ344" s="87" t="str">
        <x:f>IF(OR(I344="",N344="",N344&lt;I344),"",(N344-I344)*1440)</x:f>
      </x:c>
      <x:c r="AK344" s="87" t="str">
        <x:f>IF(OR(N344="",O344="",O344&lt;N344),"",(O344-N344)*1440)</x:f>
      </x:c>
      <x:c r="AL344" s="87" t="str">
        <x:f>IF(OR(O344="",P344="",P344&lt;O344),"",(P344-O344)*1440)</x:f>
      </x:c>
      <x:c r="AM344" s="87" t="str">
        <x:f>IF(OR(Q344="",R344="",R344&lt;Q344),"",(R344-Q344)*1440)</x:f>
      </x:c>
      <x:c r="AN344" s="87" t="str">
        <x:f>IF(OR(S344="",T344="",T344&lt;S344),"",(T344-S344)*1440)</x:f>
      </x:c>
      <x:c r="AO344" s="87" t="str">
        <x:f>IF(OR(U344="",V344=""),"",V344-U344)</x:f>
      </x:c>
      <x:c r="AP344" s="63" t="str">
        <x:f>IF(A344="","",IF(OR(B344="",H344="",N344=""),"Incompleto",IF(N344&lt;H344,"Revisar",IF(OR(G344="",G344="Não observado"),"Qualidade E0 ausente",IF(OR(G344="Sensor",G344="Marcação física"),"Válido — E0 observado",IF(G344="Cálculo","Válido — E0 calculado","Válido — E0 estimado"))))))</x:f>
      </x:c>
      <x:c r="AQ344" s="63" t="str">
        <x:f>IF(A344="","",IF(COUNTA(H344:T344)&lt;13,"Incompleta",IF(OR(I344&lt;H344,J344&lt;I344,K344&lt;J344,L344&lt;K344,M344&lt;L344,N344&lt;M344,O344&lt;N344,P344&lt;O344,Q344&lt;P344,R344&lt;Q344,S344&lt;R344,T344&lt;S344),"Revisar","Completa")))</x:f>
      </x:c>
      <x:c r="AR344" s="87" t="str">
        <x:f>IF(OR(V344="",W344="",Y344=""),"",Y344-(V344-W344))</x:f>
      </x:c>
      <x:c r="AS344" s="63" t="str">
        <x:f>IF(A344="","",IF(AND(E344&lt;&gt;"",F344&lt;&gt;"",G344&lt;&gt;"",Z344&lt;&gt;"",AA344&lt;&gt;"",AB344&lt;&gt;"",AC344&lt;&gt;""),"Completa","Incompleta"))</x:f>
      </x:c>
      <x:c r="AT344" s="63" t="str">
        <x:f>IF(A344="","",IF(COUNTIF($A$11:$A$410,A344)&gt;1,"ID duplicado",IF(AND(AR344&lt;&gt;"",ABS(AR344)&gt;0.01),"Revisar balanço",IF(AND(W344&lt;&gt;"",V344&lt;&gt;"",W344&gt;V344),"Retirada &gt; estoque",IF(AND(U344&lt;&gt;"",U344&lt;'Cenário Base'!$D$8*'Cenário Base'!$D$74),"E0 abaixo do gatilho",IF(AND(V344&lt;&gt;"",V344&gt;XLOOKUP(B344,$A$414:$A$418,$B$414:$B$418)),"Excedeu capacidade","Sem alerta"))))))</x:f>
      </x:c>
    </x:row>
    <x:row r="345">
      <x:c r="A345" s="43"/>
      <x:c r="B345" s="43"/>
      <x:c r="C345" s="43"/>
      <x:c r="D345" s="43"/>
      <x:c r="E345" s="43"/>
      <x:c r="F345" s="43"/>
      <x:c r="G345" s="43"/>
      <x:c r="H345" s="120"/>
      <x:c r="I345" s="120"/>
      <x:c r="J345" s="120"/>
      <x:c r="K345" s="120"/>
      <x:c r="L345" s="120"/>
      <x:c r="M345" s="120"/>
      <x:c r="N345" s="120"/>
      <x:c r="O345" s="120"/>
      <x:c r="P345" s="120"/>
      <x:c r="Q345" s="120"/>
      <x:c r="R345" s="120"/>
      <x:c r="S345" s="120"/>
      <x:c r="T345" s="120"/>
      <x:c r="U345" s="48"/>
      <x:c r="V345" s="48"/>
      <x:c r="W345" s="48"/>
      <x:c r="X345" s="48"/>
      <x:c r="Y345" s="48"/>
      <x:c r="Z345" s="49"/>
      <x:c r="AA345" s="43"/>
      <x:c r="AB345" s="43"/>
      <x:c r="AC345" s="43"/>
      <x:c r="AD345" s="43"/>
      <x:c r="AE345" s="43"/>
      <x:c r="AF345" s="87" t="str">
        <x:f>IF(OR(H345="",I345="",I345&lt;H345),"",(I345-H345)*1440)</x:f>
      </x:c>
      <x:c r="AG345" s="87" t="str">
        <x:f>IF(OR(I345="",M345="",M345&lt;I345),"",(M345-I345)*1440)</x:f>
      </x:c>
      <x:c r="AH345" s="87" t="str">
        <x:f>IF(OR(M345="",N345="",N345&lt;M345),"",(N345-M345)*1440)</x:f>
      </x:c>
      <x:c r="AI345" s="87" t="str">
        <x:f>IF(OR(H345="",N345="",N345&lt;H345),"",(N345-H345)*1440)</x:f>
      </x:c>
      <x:c r="AJ345" s="87" t="str">
        <x:f>IF(OR(I345="",N345="",N345&lt;I345),"",(N345-I345)*1440)</x:f>
      </x:c>
      <x:c r="AK345" s="87" t="str">
        <x:f>IF(OR(N345="",O345="",O345&lt;N345),"",(O345-N345)*1440)</x:f>
      </x:c>
      <x:c r="AL345" s="87" t="str">
        <x:f>IF(OR(O345="",P345="",P345&lt;O345),"",(P345-O345)*1440)</x:f>
      </x:c>
      <x:c r="AM345" s="87" t="str">
        <x:f>IF(OR(Q345="",R345="",R345&lt;Q345),"",(R345-Q345)*1440)</x:f>
      </x:c>
      <x:c r="AN345" s="87" t="str">
        <x:f>IF(OR(S345="",T345="",T345&lt;S345),"",(T345-S345)*1440)</x:f>
      </x:c>
      <x:c r="AO345" s="87" t="str">
        <x:f>IF(OR(U345="",V345=""),"",V345-U345)</x:f>
      </x:c>
      <x:c r="AP345" s="63" t="str">
        <x:f>IF(A345="","",IF(OR(B345="",H345="",N345=""),"Incompleto",IF(N345&lt;H345,"Revisar",IF(OR(G345="",G345="Não observado"),"Qualidade E0 ausente",IF(OR(G345="Sensor",G345="Marcação física"),"Válido — E0 observado",IF(G345="Cálculo","Válido — E0 calculado","Válido — E0 estimado"))))))</x:f>
      </x:c>
      <x:c r="AQ345" s="63" t="str">
        <x:f>IF(A345="","",IF(COUNTA(H345:T345)&lt;13,"Incompleta",IF(OR(I345&lt;H345,J345&lt;I345,K345&lt;J345,L345&lt;K345,M345&lt;L345,N345&lt;M345,O345&lt;N345,P345&lt;O345,Q345&lt;P345,R345&lt;Q345,S345&lt;R345,T345&lt;S345),"Revisar","Completa")))</x:f>
      </x:c>
      <x:c r="AR345" s="87" t="str">
        <x:f>IF(OR(V345="",W345="",Y345=""),"",Y345-(V345-W345))</x:f>
      </x:c>
      <x:c r="AS345" s="63" t="str">
        <x:f>IF(A345="","",IF(AND(E345&lt;&gt;"",F345&lt;&gt;"",G345&lt;&gt;"",Z345&lt;&gt;"",AA345&lt;&gt;"",AB345&lt;&gt;"",AC345&lt;&gt;""),"Completa","Incompleta"))</x:f>
      </x:c>
      <x:c r="AT345" s="63" t="str">
        <x:f>IF(A345="","",IF(COUNTIF($A$11:$A$410,A345)&gt;1,"ID duplicado",IF(AND(AR345&lt;&gt;"",ABS(AR345)&gt;0.01),"Revisar balanço",IF(AND(W345&lt;&gt;"",V345&lt;&gt;"",W345&gt;V345),"Retirada &gt; estoque",IF(AND(U345&lt;&gt;"",U345&lt;'Cenário Base'!$D$8*'Cenário Base'!$D$74),"E0 abaixo do gatilho",IF(AND(V345&lt;&gt;"",V345&gt;XLOOKUP(B345,$A$414:$A$418,$B$414:$B$418)),"Excedeu capacidade","Sem alerta"))))))</x:f>
      </x:c>
    </x:row>
    <x:row r="346">
      <x:c r="A346" s="43"/>
      <x:c r="B346" s="43"/>
      <x:c r="C346" s="43"/>
      <x:c r="D346" s="43"/>
      <x:c r="E346" s="43"/>
      <x:c r="F346" s="43"/>
      <x:c r="G346" s="43"/>
      <x:c r="H346" s="120"/>
      <x:c r="I346" s="120"/>
      <x:c r="J346" s="120"/>
      <x:c r="K346" s="120"/>
      <x:c r="L346" s="120"/>
      <x:c r="M346" s="120"/>
      <x:c r="N346" s="120"/>
      <x:c r="O346" s="120"/>
      <x:c r="P346" s="120"/>
      <x:c r="Q346" s="120"/>
      <x:c r="R346" s="120"/>
      <x:c r="S346" s="120"/>
      <x:c r="T346" s="120"/>
      <x:c r="U346" s="48"/>
      <x:c r="V346" s="48"/>
      <x:c r="W346" s="48"/>
      <x:c r="X346" s="48"/>
      <x:c r="Y346" s="48"/>
      <x:c r="Z346" s="49"/>
      <x:c r="AA346" s="43"/>
      <x:c r="AB346" s="43"/>
      <x:c r="AC346" s="43"/>
      <x:c r="AD346" s="43"/>
      <x:c r="AE346" s="43"/>
      <x:c r="AF346" s="87" t="str">
        <x:f>IF(OR(H346="",I346="",I346&lt;H346),"",(I346-H346)*1440)</x:f>
      </x:c>
      <x:c r="AG346" s="87" t="str">
        <x:f>IF(OR(I346="",M346="",M346&lt;I346),"",(M346-I346)*1440)</x:f>
      </x:c>
      <x:c r="AH346" s="87" t="str">
        <x:f>IF(OR(M346="",N346="",N346&lt;M346),"",(N346-M346)*1440)</x:f>
      </x:c>
      <x:c r="AI346" s="87" t="str">
        <x:f>IF(OR(H346="",N346="",N346&lt;H346),"",(N346-H346)*1440)</x:f>
      </x:c>
      <x:c r="AJ346" s="87" t="str">
        <x:f>IF(OR(I346="",N346="",N346&lt;I346),"",(N346-I346)*1440)</x:f>
      </x:c>
      <x:c r="AK346" s="87" t="str">
        <x:f>IF(OR(N346="",O346="",O346&lt;N346),"",(O346-N346)*1440)</x:f>
      </x:c>
      <x:c r="AL346" s="87" t="str">
        <x:f>IF(OR(O346="",P346="",P346&lt;O346),"",(P346-O346)*1440)</x:f>
      </x:c>
      <x:c r="AM346" s="87" t="str">
        <x:f>IF(OR(Q346="",R346="",R346&lt;Q346),"",(R346-Q346)*1440)</x:f>
      </x:c>
      <x:c r="AN346" s="87" t="str">
        <x:f>IF(OR(S346="",T346="",T346&lt;S346),"",(T346-S346)*1440)</x:f>
      </x:c>
      <x:c r="AO346" s="87" t="str">
        <x:f>IF(OR(U346="",V346=""),"",V346-U346)</x:f>
      </x:c>
      <x:c r="AP346" s="63" t="str">
        <x:f>IF(A346="","",IF(OR(B346="",H346="",N346=""),"Incompleto",IF(N346&lt;H346,"Revisar",IF(OR(G346="",G346="Não observado"),"Qualidade E0 ausente",IF(OR(G346="Sensor",G346="Marcação física"),"Válido — E0 observado",IF(G346="Cálculo","Válido — E0 calculado","Válido — E0 estimado"))))))</x:f>
      </x:c>
      <x:c r="AQ346" s="63" t="str">
        <x:f>IF(A346="","",IF(COUNTA(H346:T346)&lt;13,"Incompleta",IF(OR(I346&lt;H346,J346&lt;I346,K346&lt;J346,L346&lt;K346,M346&lt;L346,N346&lt;M346,O346&lt;N346,P346&lt;O346,Q346&lt;P346,R346&lt;Q346,S346&lt;R346,T346&lt;S346),"Revisar","Completa")))</x:f>
      </x:c>
      <x:c r="AR346" s="87" t="str">
        <x:f>IF(OR(V346="",W346="",Y346=""),"",Y346-(V346-W346))</x:f>
      </x:c>
      <x:c r="AS346" s="63" t="str">
        <x:f>IF(A346="","",IF(AND(E346&lt;&gt;"",F346&lt;&gt;"",G346&lt;&gt;"",Z346&lt;&gt;"",AA346&lt;&gt;"",AB346&lt;&gt;"",AC346&lt;&gt;""),"Completa","Incompleta"))</x:f>
      </x:c>
      <x:c r="AT346" s="63" t="str">
        <x:f>IF(A346="","",IF(COUNTIF($A$11:$A$410,A346)&gt;1,"ID duplicado",IF(AND(AR346&lt;&gt;"",ABS(AR346)&gt;0.01),"Revisar balanço",IF(AND(W346&lt;&gt;"",V346&lt;&gt;"",W346&gt;V346),"Retirada &gt; estoque",IF(AND(U346&lt;&gt;"",U346&lt;'Cenário Base'!$D$8*'Cenário Base'!$D$74),"E0 abaixo do gatilho",IF(AND(V346&lt;&gt;"",V346&gt;XLOOKUP(B346,$A$414:$A$418,$B$414:$B$418)),"Excedeu capacidade","Sem alerta"))))))</x:f>
      </x:c>
    </x:row>
    <x:row r="347">
      <x:c r="A347" s="43"/>
      <x:c r="B347" s="43"/>
      <x:c r="C347" s="43"/>
      <x:c r="D347" s="43"/>
      <x:c r="E347" s="43"/>
      <x:c r="F347" s="43"/>
      <x:c r="G347" s="43"/>
      <x:c r="H347" s="120"/>
      <x:c r="I347" s="120"/>
      <x:c r="J347" s="120"/>
      <x:c r="K347" s="120"/>
      <x:c r="L347" s="120"/>
      <x:c r="M347" s="120"/>
      <x:c r="N347" s="120"/>
      <x:c r="O347" s="120"/>
      <x:c r="P347" s="120"/>
      <x:c r="Q347" s="120"/>
      <x:c r="R347" s="120"/>
      <x:c r="S347" s="120"/>
      <x:c r="T347" s="120"/>
      <x:c r="U347" s="48"/>
      <x:c r="V347" s="48"/>
      <x:c r="W347" s="48"/>
      <x:c r="X347" s="48"/>
      <x:c r="Y347" s="48"/>
      <x:c r="Z347" s="49"/>
      <x:c r="AA347" s="43"/>
      <x:c r="AB347" s="43"/>
      <x:c r="AC347" s="43"/>
      <x:c r="AD347" s="43"/>
      <x:c r="AE347" s="43"/>
      <x:c r="AF347" s="87" t="str">
        <x:f>IF(OR(H347="",I347="",I347&lt;H347),"",(I347-H347)*1440)</x:f>
      </x:c>
      <x:c r="AG347" s="87" t="str">
        <x:f>IF(OR(I347="",M347="",M347&lt;I347),"",(M347-I347)*1440)</x:f>
      </x:c>
      <x:c r="AH347" s="87" t="str">
        <x:f>IF(OR(M347="",N347="",N347&lt;M347),"",(N347-M347)*1440)</x:f>
      </x:c>
      <x:c r="AI347" s="87" t="str">
        <x:f>IF(OR(H347="",N347="",N347&lt;H347),"",(N347-H347)*1440)</x:f>
      </x:c>
      <x:c r="AJ347" s="87" t="str">
        <x:f>IF(OR(I347="",N347="",N347&lt;I347),"",(N347-I347)*1440)</x:f>
      </x:c>
      <x:c r="AK347" s="87" t="str">
        <x:f>IF(OR(N347="",O347="",O347&lt;N347),"",(O347-N347)*1440)</x:f>
      </x:c>
      <x:c r="AL347" s="87" t="str">
        <x:f>IF(OR(O347="",P347="",P347&lt;O347),"",(P347-O347)*1440)</x:f>
      </x:c>
      <x:c r="AM347" s="87" t="str">
        <x:f>IF(OR(Q347="",R347="",R347&lt;Q347),"",(R347-Q347)*1440)</x:f>
      </x:c>
      <x:c r="AN347" s="87" t="str">
        <x:f>IF(OR(S347="",T347="",T347&lt;S347),"",(T347-S347)*1440)</x:f>
      </x:c>
      <x:c r="AO347" s="87" t="str">
        <x:f>IF(OR(U347="",V347=""),"",V347-U347)</x:f>
      </x:c>
      <x:c r="AP347" s="63" t="str">
        <x:f>IF(A347="","",IF(OR(B347="",H347="",N347=""),"Incompleto",IF(N347&lt;H347,"Revisar",IF(OR(G347="",G347="Não observado"),"Qualidade E0 ausente",IF(OR(G347="Sensor",G347="Marcação física"),"Válido — E0 observado",IF(G347="Cálculo","Válido — E0 calculado","Válido — E0 estimado"))))))</x:f>
      </x:c>
      <x:c r="AQ347" s="63" t="str">
        <x:f>IF(A347="","",IF(COUNTA(H347:T347)&lt;13,"Incompleta",IF(OR(I347&lt;H347,J347&lt;I347,K347&lt;J347,L347&lt;K347,M347&lt;L347,N347&lt;M347,O347&lt;N347,P347&lt;O347,Q347&lt;P347,R347&lt;Q347,S347&lt;R347,T347&lt;S347),"Revisar","Completa")))</x:f>
      </x:c>
      <x:c r="AR347" s="87" t="str">
        <x:f>IF(OR(V347="",W347="",Y347=""),"",Y347-(V347-W347))</x:f>
      </x:c>
      <x:c r="AS347" s="63" t="str">
        <x:f>IF(A347="","",IF(AND(E347&lt;&gt;"",F347&lt;&gt;"",G347&lt;&gt;"",Z347&lt;&gt;"",AA347&lt;&gt;"",AB347&lt;&gt;"",AC347&lt;&gt;""),"Completa","Incompleta"))</x:f>
      </x:c>
      <x:c r="AT347" s="63" t="str">
        <x:f>IF(A347="","",IF(COUNTIF($A$11:$A$410,A347)&gt;1,"ID duplicado",IF(AND(AR347&lt;&gt;"",ABS(AR347)&gt;0.01),"Revisar balanço",IF(AND(W347&lt;&gt;"",V347&lt;&gt;"",W347&gt;V347),"Retirada &gt; estoque",IF(AND(U347&lt;&gt;"",U347&lt;'Cenário Base'!$D$8*'Cenário Base'!$D$74),"E0 abaixo do gatilho",IF(AND(V347&lt;&gt;"",V347&gt;XLOOKUP(B347,$A$414:$A$418,$B$414:$B$418)),"Excedeu capacidade","Sem alerta"))))))</x:f>
      </x:c>
    </x:row>
    <x:row r="348">
      <x:c r="A348" s="43"/>
      <x:c r="B348" s="43"/>
      <x:c r="C348" s="43"/>
      <x:c r="D348" s="43"/>
      <x:c r="E348" s="43"/>
      <x:c r="F348" s="43"/>
      <x:c r="G348" s="43"/>
      <x:c r="H348" s="120"/>
      <x:c r="I348" s="120"/>
      <x:c r="J348" s="120"/>
      <x:c r="K348" s="120"/>
      <x:c r="L348" s="120"/>
      <x:c r="M348" s="120"/>
      <x:c r="N348" s="120"/>
      <x:c r="O348" s="120"/>
      <x:c r="P348" s="120"/>
      <x:c r="Q348" s="120"/>
      <x:c r="R348" s="120"/>
      <x:c r="S348" s="120"/>
      <x:c r="T348" s="120"/>
      <x:c r="U348" s="48"/>
      <x:c r="V348" s="48"/>
      <x:c r="W348" s="48"/>
      <x:c r="X348" s="48"/>
      <x:c r="Y348" s="48"/>
      <x:c r="Z348" s="49"/>
      <x:c r="AA348" s="43"/>
      <x:c r="AB348" s="43"/>
      <x:c r="AC348" s="43"/>
      <x:c r="AD348" s="43"/>
      <x:c r="AE348" s="43"/>
      <x:c r="AF348" s="87" t="str">
        <x:f>IF(OR(H348="",I348="",I348&lt;H348),"",(I348-H348)*1440)</x:f>
      </x:c>
      <x:c r="AG348" s="87" t="str">
        <x:f>IF(OR(I348="",M348="",M348&lt;I348),"",(M348-I348)*1440)</x:f>
      </x:c>
      <x:c r="AH348" s="87" t="str">
        <x:f>IF(OR(M348="",N348="",N348&lt;M348),"",(N348-M348)*1440)</x:f>
      </x:c>
      <x:c r="AI348" s="87" t="str">
        <x:f>IF(OR(H348="",N348="",N348&lt;H348),"",(N348-H348)*1440)</x:f>
      </x:c>
      <x:c r="AJ348" s="87" t="str">
        <x:f>IF(OR(I348="",N348="",N348&lt;I348),"",(N348-I348)*1440)</x:f>
      </x:c>
      <x:c r="AK348" s="87" t="str">
        <x:f>IF(OR(N348="",O348="",O348&lt;N348),"",(O348-N348)*1440)</x:f>
      </x:c>
      <x:c r="AL348" s="87" t="str">
        <x:f>IF(OR(O348="",P348="",P348&lt;O348),"",(P348-O348)*1440)</x:f>
      </x:c>
      <x:c r="AM348" s="87" t="str">
        <x:f>IF(OR(Q348="",R348="",R348&lt;Q348),"",(R348-Q348)*1440)</x:f>
      </x:c>
      <x:c r="AN348" s="87" t="str">
        <x:f>IF(OR(S348="",T348="",T348&lt;S348),"",(T348-S348)*1440)</x:f>
      </x:c>
      <x:c r="AO348" s="87" t="str">
        <x:f>IF(OR(U348="",V348=""),"",V348-U348)</x:f>
      </x:c>
      <x:c r="AP348" s="63" t="str">
        <x:f>IF(A348="","",IF(OR(B348="",H348="",N348=""),"Incompleto",IF(N348&lt;H348,"Revisar",IF(OR(G348="",G348="Não observado"),"Qualidade E0 ausente",IF(OR(G348="Sensor",G348="Marcação física"),"Válido — E0 observado",IF(G348="Cálculo","Válido — E0 calculado","Válido — E0 estimado"))))))</x:f>
      </x:c>
      <x:c r="AQ348" s="63" t="str">
        <x:f>IF(A348="","",IF(COUNTA(H348:T348)&lt;13,"Incompleta",IF(OR(I348&lt;H348,J348&lt;I348,K348&lt;J348,L348&lt;K348,M348&lt;L348,N348&lt;M348,O348&lt;N348,P348&lt;O348,Q348&lt;P348,R348&lt;Q348,S348&lt;R348,T348&lt;S348),"Revisar","Completa")))</x:f>
      </x:c>
      <x:c r="AR348" s="87" t="str">
        <x:f>IF(OR(V348="",W348="",Y348=""),"",Y348-(V348-W348))</x:f>
      </x:c>
      <x:c r="AS348" s="63" t="str">
        <x:f>IF(A348="","",IF(AND(E348&lt;&gt;"",F348&lt;&gt;"",G348&lt;&gt;"",Z348&lt;&gt;"",AA348&lt;&gt;"",AB348&lt;&gt;"",AC348&lt;&gt;""),"Completa","Incompleta"))</x:f>
      </x:c>
      <x:c r="AT348" s="63" t="str">
        <x:f>IF(A348="","",IF(COUNTIF($A$11:$A$410,A348)&gt;1,"ID duplicado",IF(AND(AR348&lt;&gt;"",ABS(AR348)&gt;0.01),"Revisar balanço",IF(AND(W348&lt;&gt;"",V348&lt;&gt;"",W348&gt;V348),"Retirada &gt; estoque",IF(AND(U348&lt;&gt;"",U348&lt;'Cenário Base'!$D$8*'Cenário Base'!$D$74),"E0 abaixo do gatilho",IF(AND(V348&lt;&gt;"",V348&gt;XLOOKUP(B348,$A$414:$A$418,$B$414:$B$418)),"Excedeu capacidade","Sem alerta"))))))</x:f>
      </x:c>
    </x:row>
    <x:row r="349">
      <x:c r="A349" s="43"/>
      <x:c r="B349" s="43"/>
      <x:c r="C349" s="43"/>
      <x:c r="D349" s="43"/>
      <x:c r="E349" s="43"/>
      <x:c r="F349" s="43"/>
      <x:c r="G349" s="43"/>
      <x:c r="H349" s="120"/>
      <x:c r="I349" s="120"/>
      <x:c r="J349" s="120"/>
      <x:c r="K349" s="120"/>
      <x:c r="L349" s="120"/>
      <x:c r="M349" s="120"/>
      <x:c r="N349" s="120"/>
      <x:c r="O349" s="120"/>
      <x:c r="P349" s="120"/>
      <x:c r="Q349" s="120"/>
      <x:c r="R349" s="120"/>
      <x:c r="S349" s="120"/>
      <x:c r="T349" s="120"/>
      <x:c r="U349" s="48"/>
      <x:c r="V349" s="48"/>
      <x:c r="W349" s="48"/>
      <x:c r="X349" s="48"/>
      <x:c r="Y349" s="48"/>
      <x:c r="Z349" s="49"/>
      <x:c r="AA349" s="43"/>
      <x:c r="AB349" s="43"/>
      <x:c r="AC349" s="43"/>
      <x:c r="AD349" s="43"/>
      <x:c r="AE349" s="43"/>
      <x:c r="AF349" s="87" t="str">
        <x:f>IF(OR(H349="",I349="",I349&lt;H349),"",(I349-H349)*1440)</x:f>
      </x:c>
      <x:c r="AG349" s="87" t="str">
        <x:f>IF(OR(I349="",M349="",M349&lt;I349),"",(M349-I349)*1440)</x:f>
      </x:c>
      <x:c r="AH349" s="87" t="str">
        <x:f>IF(OR(M349="",N349="",N349&lt;M349),"",(N349-M349)*1440)</x:f>
      </x:c>
      <x:c r="AI349" s="87" t="str">
        <x:f>IF(OR(H349="",N349="",N349&lt;H349),"",(N349-H349)*1440)</x:f>
      </x:c>
      <x:c r="AJ349" s="87" t="str">
        <x:f>IF(OR(I349="",N349="",N349&lt;I349),"",(N349-I349)*1440)</x:f>
      </x:c>
      <x:c r="AK349" s="87" t="str">
        <x:f>IF(OR(N349="",O349="",O349&lt;N349),"",(O349-N349)*1440)</x:f>
      </x:c>
      <x:c r="AL349" s="87" t="str">
        <x:f>IF(OR(O349="",P349="",P349&lt;O349),"",(P349-O349)*1440)</x:f>
      </x:c>
      <x:c r="AM349" s="87" t="str">
        <x:f>IF(OR(Q349="",R349="",R349&lt;Q349),"",(R349-Q349)*1440)</x:f>
      </x:c>
      <x:c r="AN349" s="87" t="str">
        <x:f>IF(OR(S349="",T349="",T349&lt;S349),"",(T349-S349)*1440)</x:f>
      </x:c>
      <x:c r="AO349" s="87" t="str">
        <x:f>IF(OR(U349="",V349=""),"",V349-U349)</x:f>
      </x:c>
      <x:c r="AP349" s="63" t="str">
        <x:f>IF(A349="","",IF(OR(B349="",H349="",N349=""),"Incompleto",IF(N349&lt;H349,"Revisar",IF(OR(G349="",G349="Não observado"),"Qualidade E0 ausente",IF(OR(G349="Sensor",G349="Marcação física"),"Válido — E0 observado",IF(G349="Cálculo","Válido — E0 calculado","Válido — E0 estimado"))))))</x:f>
      </x:c>
      <x:c r="AQ349" s="63" t="str">
        <x:f>IF(A349="","",IF(COUNTA(H349:T349)&lt;13,"Incompleta",IF(OR(I349&lt;H349,J349&lt;I349,K349&lt;J349,L349&lt;K349,M349&lt;L349,N349&lt;M349,O349&lt;N349,P349&lt;O349,Q349&lt;P349,R349&lt;Q349,S349&lt;R349,T349&lt;S349),"Revisar","Completa")))</x:f>
      </x:c>
      <x:c r="AR349" s="87" t="str">
        <x:f>IF(OR(V349="",W349="",Y349=""),"",Y349-(V349-W349))</x:f>
      </x:c>
      <x:c r="AS349" s="63" t="str">
        <x:f>IF(A349="","",IF(AND(E349&lt;&gt;"",F349&lt;&gt;"",G349&lt;&gt;"",Z349&lt;&gt;"",AA349&lt;&gt;"",AB349&lt;&gt;"",AC349&lt;&gt;""),"Completa","Incompleta"))</x:f>
      </x:c>
      <x:c r="AT349" s="63" t="str">
        <x:f>IF(A349="","",IF(COUNTIF($A$11:$A$410,A349)&gt;1,"ID duplicado",IF(AND(AR349&lt;&gt;"",ABS(AR349)&gt;0.01),"Revisar balanço",IF(AND(W349&lt;&gt;"",V349&lt;&gt;"",W349&gt;V349),"Retirada &gt; estoque",IF(AND(U349&lt;&gt;"",U349&lt;'Cenário Base'!$D$8*'Cenário Base'!$D$74),"E0 abaixo do gatilho",IF(AND(V349&lt;&gt;"",V349&gt;XLOOKUP(B349,$A$414:$A$418,$B$414:$B$418)),"Excedeu capacidade","Sem alerta"))))))</x:f>
      </x:c>
    </x:row>
    <x:row r="350">
      <x:c r="A350" s="43"/>
      <x:c r="B350" s="43"/>
      <x:c r="C350" s="43"/>
      <x:c r="D350" s="43"/>
      <x:c r="E350" s="43"/>
      <x:c r="F350" s="43"/>
      <x:c r="G350" s="43"/>
      <x:c r="H350" s="120"/>
      <x:c r="I350" s="120"/>
      <x:c r="J350" s="120"/>
      <x:c r="K350" s="120"/>
      <x:c r="L350" s="120"/>
      <x:c r="M350" s="120"/>
      <x:c r="N350" s="120"/>
      <x:c r="O350" s="120"/>
      <x:c r="P350" s="120"/>
      <x:c r="Q350" s="120"/>
      <x:c r="R350" s="120"/>
      <x:c r="S350" s="120"/>
      <x:c r="T350" s="120"/>
      <x:c r="U350" s="48"/>
      <x:c r="V350" s="48"/>
      <x:c r="W350" s="48"/>
      <x:c r="X350" s="48"/>
      <x:c r="Y350" s="48"/>
      <x:c r="Z350" s="49"/>
      <x:c r="AA350" s="43"/>
      <x:c r="AB350" s="43"/>
      <x:c r="AC350" s="43"/>
      <x:c r="AD350" s="43"/>
      <x:c r="AE350" s="43"/>
      <x:c r="AF350" s="87" t="str">
        <x:f>IF(OR(H350="",I350="",I350&lt;H350),"",(I350-H350)*1440)</x:f>
      </x:c>
      <x:c r="AG350" s="87" t="str">
        <x:f>IF(OR(I350="",M350="",M350&lt;I350),"",(M350-I350)*1440)</x:f>
      </x:c>
      <x:c r="AH350" s="87" t="str">
        <x:f>IF(OR(M350="",N350="",N350&lt;M350),"",(N350-M350)*1440)</x:f>
      </x:c>
      <x:c r="AI350" s="87" t="str">
        <x:f>IF(OR(H350="",N350="",N350&lt;H350),"",(N350-H350)*1440)</x:f>
      </x:c>
      <x:c r="AJ350" s="87" t="str">
        <x:f>IF(OR(I350="",N350="",N350&lt;I350),"",(N350-I350)*1440)</x:f>
      </x:c>
      <x:c r="AK350" s="87" t="str">
        <x:f>IF(OR(N350="",O350="",O350&lt;N350),"",(O350-N350)*1440)</x:f>
      </x:c>
      <x:c r="AL350" s="87" t="str">
        <x:f>IF(OR(O350="",P350="",P350&lt;O350),"",(P350-O350)*1440)</x:f>
      </x:c>
      <x:c r="AM350" s="87" t="str">
        <x:f>IF(OR(Q350="",R350="",R350&lt;Q350),"",(R350-Q350)*1440)</x:f>
      </x:c>
      <x:c r="AN350" s="87" t="str">
        <x:f>IF(OR(S350="",T350="",T350&lt;S350),"",(T350-S350)*1440)</x:f>
      </x:c>
      <x:c r="AO350" s="87" t="str">
        <x:f>IF(OR(U350="",V350=""),"",V350-U350)</x:f>
      </x:c>
      <x:c r="AP350" s="63" t="str">
        <x:f>IF(A350="","",IF(OR(B350="",H350="",N350=""),"Incompleto",IF(N350&lt;H350,"Revisar",IF(OR(G350="",G350="Não observado"),"Qualidade E0 ausente",IF(OR(G350="Sensor",G350="Marcação física"),"Válido — E0 observado",IF(G350="Cálculo","Válido — E0 calculado","Válido — E0 estimado"))))))</x:f>
      </x:c>
      <x:c r="AQ350" s="63" t="str">
        <x:f>IF(A350="","",IF(COUNTA(H350:T350)&lt;13,"Incompleta",IF(OR(I350&lt;H350,J350&lt;I350,K350&lt;J350,L350&lt;K350,M350&lt;L350,N350&lt;M350,O350&lt;N350,P350&lt;O350,Q350&lt;P350,R350&lt;Q350,S350&lt;R350,T350&lt;S350),"Revisar","Completa")))</x:f>
      </x:c>
      <x:c r="AR350" s="87" t="str">
        <x:f>IF(OR(V350="",W350="",Y350=""),"",Y350-(V350-W350))</x:f>
      </x:c>
      <x:c r="AS350" s="63" t="str">
        <x:f>IF(A350="","",IF(AND(E350&lt;&gt;"",F350&lt;&gt;"",G350&lt;&gt;"",Z350&lt;&gt;"",AA350&lt;&gt;"",AB350&lt;&gt;"",AC350&lt;&gt;""),"Completa","Incompleta"))</x:f>
      </x:c>
      <x:c r="AT350" s="63" t="str">
        <x:f>IF(A350="","",IF(COUNTIF($A$11:$A$410,A350)&gt;1,"ID duplicado",IF(AND(AR350&lt;&gt;"",ABS(AR350)&gt;0.01),"Revisar balanço",IF(AND(W350&lt;&gt;"",V350&lt;&gt;"",W350&gt;V350),"Retirada &gt; estoque",IF(AND(U350&lt;&gt;"",U350&lt;'Cenário Base'!$D$8*'Cenário Base'!$D$74),"E0 abaixo do gatilho",IF(AND(V350&lt;&gt;"",V350&gt;XLOOKUP(B350,$A$414:$A$418,$B$414:$B$418)),"Excedeu capacidade","Sem alerta"))))))</x:f>
      </x:c>
    </x:row>
    <x:row r="351">
      <x:c r="A351" s="43"/>
      <x:c r="B351" s="43"/>
      <x:c r="C351" s="43"/>
      <x:c r="D351" s="43"/>
      <x:c r="E351" s="43"/>
      <x:c r="F351" s="43"/>
      <x:c r="G351" s="43"/>
      <x:c r="H351" s="120"/>
      <x:c r="I351" s="120"/>
      <x:c r="J351" s="120"/>
      <x:c r="K351" s="120"/>
      <x:c r="L351" s="120"/>
      <x:c r="M351" s="120"/>
      <x:c r="N351" s="120"/>
      <x:c r="O351" s="120"/>
      <x:c r="P351" s="120"/>
      <x:c r="Q351" s="120"/>
      <x:c r="R351" s="120"/>
      <x:c r="S351" s="120"/>
      <x:c r="T351" s="120"/>
      <x:c r="U351" s="48"/>
      <x:c r="V351" s="48"/>
      <x:c r="W351" s="48"/>
      <x:c r="X351" s="48"/>
      <x:c r="Y351" s="48"/>
      <x:c r="Z351" s="49"/>
      <x:c r="AA351" s="43"/>
      <x:c r="AB351" s="43"/>
      <x:c r="AC351" s="43"/>
      <x:c r="AD351" s="43"/>
      <x:c r="AE351" s="43"/>
      <x:c r="AF351" s="87" t="str">
        <x:f>IF(OR(H351="",I351="",I351&lt;H351),"",(I351-H351)*1440)</x:f>
      </x:c>
      <x:c r="AG351" s="87" t="str">
        <x:f>IF(OR(I351="",M351="",M351&lt;I351),"",(M351-I351)*1440)</x:f>
      </x:c>
      <x:c r="AH351" s="87" t="str">
        <x:f>IF(OR(M351="",N351="",N351&lt;M351),"",(N351-M351)*1440)</x:f>
      </x:c>
      <x:c r="AI351" s="87" t="str">
        <x:f>IF(OR(H351="",N351="",N351&lt;H351),"",(N351-H351)*1440)</x:f>
      </x:c>
      <x:c r="AJ351" s="87" t="str">
        <x:f>IF(OR(I351="",N351="",N351&lt;I351),"",(N351-I351)*1440)</x:f>
      </x:c>
      <x:c r="AK351" s="87" t="str">
        <x:f>IF(OR(N351="",O351="",O351&lt;N351),"",(O351-N351)*1440)</x:f>
      </x:c>
      <x:c r="AL351" s="87" t="str">
        <x:f>IF(OR(O351="",P351="",P351&lt;O351),"",(P351-O351)*1440)</x:f>
      </x:c>
      <x:c r="AM351" s="87" t="str">
        <x:f>IF(OR(Q351="",R351="",R351&lt;Q351),"",(R351-Q351)*1440)</x:f>
      </x:c>
      <x:c r="AN351" s="87" t="str">
        <x:f>IF(OR(S351="",T351="",T351&lt;S351),"",(T351-S351)*1440)</x:f>
      </x:c>
      <x:c r="AO351" s="87" t="str">
        <x:f>IF(OR(U351="",V351=""),"",V351-U351)</x:f>
      </x:c>
      <x:c r="AP351" s="63" t="str">
        <x:f>IF(A351="","",IF(OR(B351="",H351="",N351=""),"Incompleto",IF(N351&lt;H351,"Revisar",IF(OR(G351="",G351="Não observado"),"Qualidade E0 ausente",IF(OR(G351="Sensor",G351="Marcação física"),"Válido — E0 observado",IF(G351="Cálculo","Válido — E0 calculado","Válido — E0 estimado"))))))</x:f>
      </x:c>
      <x:c r="AQ351" s="63" t="str">
        <x:f>IF(A351="","",IF(COUNTA(H351:T351)&lt;13,"Incompleta",IF(OR(I351&lt;H351,J351&lt;I351,K351&lt;J351,L351&lt;K351,M351&lt;L351,N351&lt;M351,O351&lt;N351,P351&lt;O351,Q351&lt;P351,R351&lt;Q351,S351&lt;R351,T351&lt;S351),"Revisar","Completa")))</x:f>
      </x:c>
      <x:c r="AR351" s="87" t="str">
        <x:f>IF(OR(V351="",W351="",Y351=""),"",Y351-(V351-W351))</x:f>
      </x:c>
      <x:c r="AS351" s="63" t="str">
        <x:f>IF(A351="","",IF(AND(E351&lt;&gt;"",F351&lt;&gt;"",G351&lt;&gt;"",Z351&lt;&gt;"",AA351&lt;&gt;"",AB351&lt;&gt;"",AC351&lt;&gt;""),"Completa","Incompleta"))</x:f>
      </x:c>
      <x:c r="AT351" s="63" t="str">
        <x:f>IF(A351="","",IF(COUNTIF($A$11:$A$410,A351)&gt;1,"ID duplicado",IF(AND(AR351&lt;&gt;"",ABS(AR351)&gt;0.01),"Revisar balanço",IF(AND(W351&lt;&gt;"",V351&lt;&gt;"",W351&gt;V351),"Retirada &gt; estoque",IF(AND(U351&lt;&gt;"",U351&lt;'Cenário Base'!$D$8*'Cenário Base'!$D$74),"E0 abaixo do gatilho",IF(AND(V351&lt;&gt;"",V351&gt;XLOOKUP(B351,$A$414:$A$418,$B$414:$B$418)),"Excedeu capacidade","Sem alerta"))))))</x:f>
      </x:c>
    </x:row>
    <x:row r="352">
      <x:c r="A352" s="43"/>
      <x:c r="B352" s="43"/>
      <x:c r="C352" s="43"/>
      <x:c r="D352" s="43"/>
      <x:c r="E352" s="43"/>
      <x:c r="F352" s="43"/>
      <x:c r="G352" s="43"/>
      <x:c r="H352" s="120"/>
      <x:c r="I352" s="120"/>
      <x:c r="J352" s="120"/>
      <x:c r="K352" s="120"/>
      <x:c r="L352" s="120"/>
      <x:c r="M352" s="120"/>
      <x:c r="N352" s="120"/>
      <x:c r="O352" s="120"/>
      <x:c r="P352" s="120"/>
      <x:c r="Q352" s="120"/>
      <x:c r="R352" s="120"/>
      <x:c r="S352" s="120"/>
      <x:c r="T352" s="120"/>
      <x:c r="U352" s="48"/>
      <x:c r="V352" s="48"/>
      <x:c r="W352" s="48"/>
      <x:c r="X352" s="48"/>
      <x:c r="Y352" s="48"/>
      <x:c r="Z352" s="49"/>
      <x:c r="AA352" s="43"/>
      <x:c r="AB352" s="43"/>
      <x:c r="AC352" s="43"/>
      <x:c r="AD352" s="43"/>
      <x:c r="AE352" s="43"/>
      <x:c r="AF352" s="87" t="str">
        <x:f>IF(OR(H352="",I352="",I352&lt;H352),"",(I352-H352)*1440)</x:f>
      </x:c>
      <x:c r="AG352" s="87" t="str">
        <x:f>IF(OR(I352="",M352="",M352&lt;I352),"",(M352-I352)*1440)</x:f>
      </x:c>
      <x:c r="AH352" s="87" t="str">
        <x:f>IF(OR(M352="",N352="",N352&lt;M352),"",(N352-M352)*1440)</x:f>
      </x:c>
      <x:c r="AI352" s="87" t="str">
        <x:f>IF(OR(H352="",N352="",N352&lt;H352),"",(N352-H352)*1440)</x:f>
      </x:c>
      <x:c r="AJ352" s="87" t="str">
        <x:f>IF(OR(I352="",N352="",N352&lt;I352),"",(N352-I352)*1440)</x:f>
      </x:c>
      <x:c r="AK352" s="87" t="str">
        <x:f>IF(OR(N352="",O352="",O352&lt;N352),"",(O352-N352)*1440)</x:f>
      </x:c>
      <x:c r="AL352" s="87" t="str">
        <x:f>IF(OR(O352="",P352="",P352&lt;O352),"",(P352-O352)*1440)</x:f>
      </x:c>
      <x:c r="AM352" s="87" t="str">
        <x:f>IF(OR(Q352="",R352="",R352&lt;Q352),"",(R352-Q352)*1440)</x:f>
      </x:c>
      <x:c r="AN352" s="87" t="str">
        <x:f>IF(OR(S352="",T352="",T352&lt;S352),"",(T352-S352)*1440)</x:f>
      </x:c>
      <x:c r="AO352" s="87" t="str">
        <x:f>IF(OR(U352="",V352=""),"",V352-U352)</x:f>
      </x:c>
      <x:c r="AP352" s="63" t="str">
        <x:f>IF(A352="","",IF(OR(B352="",H352="",N352=""),"Incompleto",IF(N352&lt;H352,"Revisar",IF(OR(G352="",G352="Não observado"),"Qualidade E0 ausente",IF(OR(G352="Sensor",G352="Marcação física"),"Válido — E0 observado",IF(G352="Cálculo","Válido — E0 calculado","Válido — E0 estimado"))))))</x:f>
      </x:c>
      <x:c r="AQ352" s="63" t="str">
        <x:f>IF(A352="","",IF(COUNTA(H352:T352)&lt;13,"Incompleta",IF(OR(I352&lt;H352,J352&lt;I352,K352&lt;J352,L352&lt;K352,M352&lt;L352,N352&lt;M352,O352&lt;N352,P352&lt;O352,Q352&lt;P352,R352&lt;Q352,S352&lt;R352,T352&lt;S352),"Revisar","Completa")))</x:f>
      </x:c>
      <x:c r="AR352" s="87" t="str">
        <x:f>IF(OR(V352="",W352="",Y352=""),"",Y352-(V352-W352))</x:f>
      </x:c>
      <x:c r="AS352" s="63" t="str">
        <x:f>IF(A352="","",IF(AND(E352&lt;&gt;"",F352&lt;&gt;"",G352&lt;&gt;"",Z352&lt;&gt;"",AA352&lt;&gt;"",AB352&lt;&gt;"",AC352&lt;&gt;""),"Completa","Incompleta"))</x:f>
      </x:c>
      <x:c r="AT352" s="63" t="str">
        <x:f>IF(A352="","",IF(COUNTIF($A$11:$A$410,A352)&gt;1,"ID duplicado",IF(AND(AR352&lt;&gt;"",ABS(AR352)&gt;0.01),"Revisar balanço",IF(AND(W352&lt;&gt;"",V352&lt;&gt;"",W352&gt;V352),"Retirada &gt; estoque",IF(AND(U352&lt;&gt;"",U352&lt;'Cenário Base'!$D$8*'Cenário Base'!$D$74),"E0 abaixo do gatilho",IF(AND(V352&lt;&gt;"",V352&gt;XLOOKUP(B352,$A$414:$A$418,$B$414:$B$418)),"Excedeu capacidade","Sem alerta"))))))</x:f>
      </x:c>
    </x:row>
    <x:row r="353">
      <x:c r="A353" s="43"/>
      <x:c r="B353" s="43"/>
      <x:c r="C353" s="43"/>
      <x:c r="D353" s="43"/>
      <x:c r="E353" s="43"/>
      <x:c r="F353" s="43"/>
      <x:c r="G353" s="43"/>
      <x:c r="H353" s="120"/>
      <x:c r="I353" s="120"/>
      <x:c r="J353" s="120"/>
      <x:c r="K353" s="120"/>
      <x:c r="L353" s="120"/>
      <x:c r="M353" s="120"/>
      <x:c r="N353" s="120"/>
      <x:c r="O353" s="120"/>
      <x:c r="P353" s="120"/>
      <x:c r="Q353" s="120"/>
      <x:c r="R353" s="120"/>
      <x:c r="S353" s="120"/>
      <x:c r="T353" s="120"/>
      <x:c r="U353" s="48"/>
      <x:c r="V353" s="48"/>
      <x:c r="W353" s="48"/>
      <x:c r="X353" s="48"/>
      <x:c r="Y353" s="48"/>
      <x:c r="Z353" s="49"/>
      <x:c r="AA353" s="43"/>
      <x:c r="AB353" s="43"/>
      <x:c r="AC353" s="43"/>
      <x:c r="AD353" s="43"/>
      <x:c r="AE353" s="43"/>
      <x:c r="AF353" s="87" t="str">
        <x:f>IF(OR(H353="",I353="",I353&lt;H353),"",(I353-H353)*1440)</x:f>
      </x:c>
      <x:c r="AG353" s="87" t="str">
        <x:f>IF(OR(I353="",M353="",M353&lt;I353),"",(M353-I353)*1440)</x:f>
      </x:c>
      <x:c r="AH353" s="87" t="str">
        <x:f>IF(OR(M353="",N353="",N353&lt;M353),"",(N353-M353)*1440)</x:f>
      </x:c>
      <x:c r="AI353" s="87" t="str">
        <x:f>IF(OR(H353="",N353="",N353&lt;H353),"",(N353-H353)*1440)</x:f>
      </x:c>
      <x:c r="AJ353" s="87" t="str">
        <x:f>IF(OR(I353="",N353="",N353&lt;I353),"",(N353-I353)*1440)</x:f>
      </x:c>
      <x:c r="AK353" s="87" t="str">
        <x:f>IF(OR(N353="",O353="",O353&lt;N353),"",(O353-N353)*1440)</x:f>
      </x:c>
      <x:c r="AL353" s="87" t="str">
        <x:f>IF(OR(O353="",P353="",P353&lt;O353),"",(P353-O353)*1440)</x:f>
      </x:c>
      <x:c r="AM353" s="87" t="str">
        <x:f>IF(OR(Q353="",R353="",R353&lt;Q353),"",(R353-Q353)*1440)</x:f>
      </x:c>
      <x:c r="AN353" s="87" t="str">
        <x:f>IF(OR(S353="",T353="",T353&lt;S353),"",(T353-S353)*1440)</x:f>
      </x:c>
      <x:c r="AO353" s="87" t="str">
        <x:f>IF(OR(U353="",V353=""),"",V353-U353)</x:f>
      </x:c>
      <x:c r="AP353" s="63" t="str">
        <x:f>IF(A353="","",IF(OR(B353="",H353="",N353=""),"Incompleto",IF(N353&lt;H353,"Revisar",IF(OR(G353="",G353="Não observado"),"Qualidade E0 ausente",IF(OR(G353="Sensor",G353="Marcação física"),"Válido — E0 observado",IF(G353="Cálculo","Válido — E0 calculado","Válido — E0 estimado"))))))</x:f>
      </x:c>
      <x:c r="AQ353" s="63" t="str">
        <x:f>IF(A353="","",IF(COUNTA(H353:T353)&lt;13,"Incompleta",IF(OR(I353&lt;H353,J353&lt;I353,K353&lt;J353,L353&lt;K353,M353&lt;L353,N353&lt;M353,O353&lt;N353,P353&lt;O353,Q353&lt;P353,R353&lt;Q353,S353&lt;R353,T353&lt;S353),"Revisar","Completa")))</x:f>
      </x:c>
      <x:c r="AR353" s="87" t="str">
        <x:f>IF(OR(V353="",W353="",Y353=""),"",Y353-(V353-W353))</x:f>
      </x:c>
      <x:c r="AS353" s="63" t="str">
        <x:f>IF(A353="","",IF(AND(E353&lt;&gt;"",F353&lt;&gt;"",G353&lt;&gt;"",Z353&lt;&gt;"",AA353&lt;&gt;"",AB353&lt;&gt;"",AC353&lt;&gt;""),"Completa","Incompleta"))</x:f>
      </x:c>
      <x:c r="AT353" s="63" t="str">
        <x:f>IF(A353="","",IF(COUNTIF($A$11:$A$410,A353)&gt;1,"ID duplicado",IF(AND(AR353&lt;&gt;"",ABS(AR353)&gt;0.01),"Revisar balanço",IF(AND(W353&lt;&gt;"",V353&lt;&gt;"",W353&gt;V353),"Retirada &gt; estoque",IF(AND(U353&lt;&gt;"",U353&lt;'Cenário Base'!$D$8*'Cenário Base'!$D$74),"E0 abaixo do gatilho",IF(AND(V353&lt;&gt;"",V353&gt;XLOOKUP(B353,$A$414:$A$418,$B$414:$B$418)),"Excedeu capacidade","Sem alerta"))))))</x:f>
      </x:c>
    </x:row>
    <x:row r="354">
      <x:c r="A354" s="43"/>
      <x:c r="B354" s="43"/>
      <x:c r="C354" s="43"/>
      <x:c r="D354" s="43"/>
      <x:c r="E354" s="43"/>
      <x:c r="F354" s="43"/>
      <x:c r="G354" s="43"/>
      <x:c r="H354" s="120"/>
      <x:c r="I354" s="120"/>
      <x:c r="J354" s="120"/>
      <x:c r="K354" s="120"/>
      <x:c r="L354" s="120"/>
      <x:c r="M354" s="120"/>
      <x:c r="N354" s="120"/>
      <x:c r="O354" s="120"/>
      <x:c r="P354" s="120"/>
      <x:c r="Q354" s="120"/>
      <x:c r="R354" s="120"/>
      <x:c r="S354" s="120"/>
      <x:c r="T354" s="120"/>
      <x:c r="U354" s="48"/>
      <x:c r="V354" s="48"/>
      <x:c r="W354" s="48"/>
      <x:c r="X354" s="48"/>
      <x:c r="Y354" s="48"/>
      <x:c r="Z354" s="49"/>
      <x:c r="AA354" s="43"/>
      <x:c r="AB354" s="43"/>
      <x:c r="AC354" s="43"/>
      <x:c r="AD354" s="43"/>
      <x:c r="AE354" s="43"/>
      <x:c r="AF354" s="87" t="str">
        <x:f>IF(OR(H354="",I354="",I354&lt;H354),"",(I354-H354)*1440)</x:f>
      </x:c>
      <x:c r="AG354" s="87" t="str">
        <x:f>IF(OR(I354="",M354="",M354&lt;I354),"",(M354-I354)*1440)</x:f>
      </x:c>
      <x:c r="AH354" s="87" t="str">
        <x:f>IF(OR(M354="",N354="",N354&lt;M354),"",(N354-M354)*1440)</x:f>
      </x:c>
      <x:c r="AI354" s="87" t="str">
        <x:f>IF(OR(H354="",N354="",N354&lt;H354),"",(N354-H354)*1440)</x:f>
      </x:c>
      <x:c r="AJ354" s="87" t="str">
        <x:f>IF(OR(I354="",N354="",N354&lt;I354),"",(N354-I354)*1440)</x:f>
      </x:c>
      <x:c r="AK354" s="87" t="str">
        <x:f>IF(OR(N354="",O354="",O354&lt;N354),"",(O354-N354)*1440)</x:f>
      </x:c>
      <x:c r="AL354" s="87" t="str">
        <x:f>IF(OR(O354="",P354="",P354&lt;O354),"",(P354-O354)*1440)</x:f>
      </x:c>
      <x:c r="AM354" s="87" t="str">
        <x:f>IF(OR(Q354="",R354="",R354&lt;Q354),"",(R354-Q354)*1440)</x:f>
      </x:c>
      <x:c r="AN354" s="87" t="str">
        <x:f>IF(OR(S354="",T354="",T354&lt;S354),"",(T354-S354)*1440)</x:f>
      </x:c>
      <x:c r="AO354" s="87" t="str">
        <x:f>IF(OR(U354="",V354=""),"",V354-U354)</x:f>
      </x:c>
      <x:c r="AP354" s="63" t="str">
        <x:f>IF(A354="","",IF(OR(B354="",H354="",N354=""),"Incompleto",IF(N354&lt;H354,"Revisar",IF(OR(G354="",G354="Não observado"),"Qualidade E0 ausente",IF(OR(G354="Sensor",G354="Marcação física"),"Válido — E0 observado",IF(G354="Cálculo","Válido — E0 calculado","Válido — E0 estimado"))))))</x:f>
      </x:c>
      <x:c r="AQ354" s="63" t="str">
        <x:f>IF(A354="","",IF(COUNTA(H354:T354)&lt;13,"Incompleta",IF(OR(I354&lt;H354,J354&lt;I354,K354&lt;J354,L354&lt;K354,M354&lt;L354,N354&lt;M354,O354&lt;N354,P354&lt;O354,Q354&lt;P354,R354&lt;Q354,S354&lt;R354,T354&lt;S354),"Revisar","Completa")))</x:f>
      </x:c>
      <x:c r="AR354" s="87" t="str">
        <x:f>IF(OR(V354="",W354="",Y354=""),"",Y354-(V354-W354))</x:f>
      </x:c>
      <x:c r="AS354" s="63" t="str">
        <x:f>IF(A354="","",IF(AND(E354&lt;&gt;"",F354&lt;&gt;"",G354&lt;&gt;"",Z354&lt;&gt;"",AA354&lt;&gt;"",AB354&lt;&gt;"",AC354&lt;&gt;""),"Completa","Incompleta"))</x:f>
      </x:c>
      <x:c r="AT354" s="63" t="str">
        <x:f>IF(A354="","",IF(COUNTIF($A$11:$A$410,A354)&gt;1,"ID duplicado",IF(AND(AR354&lt;&gt;"",ABS(AR354)&gt;0.01),"Revisar balanço",IF(AND(W354&lt;&gt;"",V354&lt;&gt;"",W354&gt;V354),"Retirada &gt; estoque",IF(AND(U354&lt;&gt;"",U354&lt;'Cenário Base'!$D$8*'Cenário Base'!$D$74),"E0 abaixo do gatilho",IF(AND(V354&lt;&gt;"",V354&gt;XLOOKUP(B354,$A$414:$A$418,$B$414:$B$418)),"Excedeu capacidade","Sem alerta"))))))</x:f>
      </x:c>
    </x:row>
    <x:row r="355">
      <x:c r="A355" s="43"/>
      <x:c r="B355" s="43"/>
      <x:c r="C355" s="43"/>
      <x:c r="D355" s="43"/>
      <x:c r="E355" s="43"/>
      <x:c r="F355" s="43"/>
      <x:c r="G355" s="43"/>
      <x:c r="H355" s="120"/>
      <x:c r="I355" s="120"/>
      <x:c r="J355" s="120"/>
      <x:c r="K355" s="120"/>
      <x:c r="L355" s="120"/>
      <x:c r="M355" s="120"/>
      <x:c r="N355" s="120"/>
      <x:c r="O355" s="120"/>
      <x:c r="P355" s="120"/>
      <x:c r="Q355" s="120"/>
      <x:c r="R355" s="120"/>
      <x:c r="S355" s="120"/>
      <x:c r="T355" s="120"/>
      <x:c r="U355" s="48"/>
      <x:c r="V355" s="48"/>
      <x:c r="W355" s="48"/>
      <x:c r="X355" s="48"/>
      <x:c r="Y355" s="48"/>
      <x:c r="Z355" s="49"/>
      <x:c r="AA355" s="43"/>
      <x:c r="AB355" s="43"/>
      <x:c r="AC355" s="43"/>
      <x:c r="AD355" s="43"/>
      <x:c r="AE355" s="43"/>
      <x:c r="AF355" s="87" t="str">
        <x:f>IF(OR(H355="",I355="",I355&lt;H355),"",(I355-H355)*1440)</x:f>
      </x:c>
      <x:c r="AG355" s="87" t="str">
        <x:f>IF(OR(I355="",M355="",M355&lt;I355),"",(M355-I355)*1440)</x:f>
      </x:c>
      <x:c r="AH355" s="87" t="str">
        <x:f>IF(OR(M355="",N355="",N355&lt;M355),"",(N355-M355)*1440)</x:f>
      </x:c>
      <x:c r="AI355" s="87" t="str">
        <x:f>IF(OR(H355="",N355="",N355&lt;H355),"",(N355-H355)*1440)</x:f>
      </x:c>
      <x:c r="AJ355" s="87" t="str">
        <x:f>IF(OR(I355="",N355="",N355&lt;I355),"",(N355-I355)*1440)</x:f>
      </x:c>
      <x:c r="AK355" s="87" t="str">
        <x:f>IF(OR(N355="",O355="",O355&lt;N355),"",(O355-N355)*1440)</x:f>
      </x:c>
      <x:c r="AL355" s="87" t="str">
        <x:f>IF(OR(O355="",P355="",P355&lt;O355),"",(P355-O355)*1440)</x:f>
      </x:c>
      <x:c r="AM355" s="87" t="str">
        <x:f>IF(OR(Q355="",R355="",R355&lt;Q355),"",(R355-Q355)*1440)</x:f>
      </x:c>
      <x:c r="AN355" s="87" t="str">
        <x:f>IF(OR(S355="",T355="",T355&lt;S355),"",(T355-S355)*1440)</x:f>
      </x:c>
      <x:c r="AO355" s="87" t="str">
        <x:f>IF(OR(U355="",V355=""),"",V355-U355)</x:f>
      </x:c>
      <x:c r="AP355" s="63" t="str">
        <x:f>IF(A355="","",IF(OR(B355="",H355="",N355=""),"Incompleto",IF(N355&lt;H355,"Revisar",IF(OR(G355="",G355="Não observado"),"Qualidade E0 ausente",IF(OR(G355="Sensor",G355="Marcação física"),"Válido — E0 observado",IF(G355="Cálculo","Válido — E0 calculado","Válido — E0 estimado"))))))</x:f>
      </x:c>
      <x:c r="AQ355" s="63" t="str">
        <x:f>IF(A355="","",IF(COUNTA(H355:T355)&lt;13,"Incompleta",IF(OR(I355&lt;H355,J355&lt;I355,K355&lt;J355,L355&lt;K355,M355&lt;L355,N355&lt;M355,O355&lt;N355,P355&lt;O355,Q355&lt;P355,R355&lt;Q355,S355&lt;R355,T355&lt;S355),"Revisar","Completa")))</x:f>
      </x:c>
      <x:c r="AR355" s="87" t="str">
        <x:f>IF(OR(V355="",W355="",Y355=""),"",Y355-(V355-W355))</x:f>
      </x:c>
      <x:c r="AS355" s="63" t="str">
        <x:f>IF(A355="","",IF(AND(E355&lt;&gt;"",F355&lt;&gt;"",G355&lt;&gt;"",Z355&lt;&gt;"",AA355&lt;&gt;"",AB355&lt;&gt;"",AC355&lt;&gt;""),"Completa","Incompleta"))</x:f>
      </x:c>
      <x:c r="AT355" s="63" t="str">
        <x:f>IF(A355="","",IF(COUNTIF($A$11:$A$410,A355)&gt;1,"ID duplicado",IF(AND(AR355&lt;&gt;"",ABS(AR355)&gt;0.01),"Revisar balanço",IF(AND(W355&lt;&gt;"",V355&lt;&gt;"",W355&gt;V355),"Retirada &gt; estoque",IF(AND(U355&lt;&gt;"",U355&lt;'Cenário Base'!$D$8*'Cenário Base'!$D$74),"E0 abaixo do gatilho",IF(AND(V355&lt;&gt;"",V355&gt;XLOOKUP(B355,$A$414:$A$418,$B$414:$B$418)),"Excedeu capacidade","Sem alerta"))))))</x:f>
      </x:c>
    </x:row>
    <x:row r="356">
      <x:c r="A356" s="43"/>
      <x:c r="B356" s="43"/>
      <x:c r="C356" s="43"/>
      <x:c r="D356" s="43"/>
      <x:c r="E356" s="43"/>
      <x:c r="F356" s="43"/>
      <x:c r="G356" s="43"/>
      <x:c r="H356" s="120"/>
      <x:c r="I356" s="120"/>
      <x:c r="J356" s="120"/>
      <x:c r="K356" s="120"/>
      <x:c r="L356" s="120"/>
      <x:c r="M356" s="120"/>
      <x:c r="N356" s="120"/>
      <x:c r="O356" s="120"/>
      <x:c r="P356" s="120"/>
      <x:c r="Q356" s="120"/>
      <x:c r="R356" s="120"/>
      <x:c r="S356" s="120"/>
      <x:c r="T356" s="120"/>
      <x:c r="U356" s="48"/>
      <x:c r="V356" s="48"/>
      <x:c r="W356" s="48"/>
      <x:c r="X356" s="48"/>
      <x:c r="Y356" s="48"/>
      <x:c r="Z356" s="49"/>
      <x:c r="AA356" s="43"/>
      <x:c r="AB356" s="43"/>
      <x:c r="AC356" s="43"/>
      <x:c r="AD356" s="43"/>
      <x:c r="AE356" s="43"/>
      <x:c r="AF356" s="87" t="str">
        <x:f>IF(OR(H356="",I356="",I356&lt;H356),"",(I356-H356)*1440)</x:f>
      </x:c>
      <x:c r="AG356" s="87" t="str">
        <x:f>IF(OR(I356="",M356="",M356&lt;I356),"",(M356-I356)*1440)</x:f>
      </x:c>
      <x:c r="AH356" s="87" t="str">
        <x:f>IF(OR(M356="",N356="",N356&lt;M356),"",(N356-M356)*1440)</x:f>
      </x:c>
      <x:c r="AI356" s="87" t="str">
        <x:f>IF(OR(H356="",N356="",N356&lt;H356),"",(N356-H356)*1440)</x:f>
      </x:c>
      <x:c r="AJ356" s="87" t="str">
        <x:f>IF(OR(I356="",N356="",N356&lt;I356),"",(N356-I356)*1440)</x:f>
      </x:c>
      <x:c r="AK356" s="87" t="str">
        <x:f>IF(OR(N356="",O356="",O356&lt;N356),"",(O356-N356)*1440)</x:f>
      </x:c>
      <x:c r="AL356" s="87" t="str">
        <x:f>IF(OR(O356="",P356="",P356&lt;O356),"",(P356-O356)*1440)</x:f>
      </x:c>
      <x:c r="AM356" s="87" t="str">
        <x:f>IF(OR(Q356="",R356="",R356&lt;Q356),"",(R356-Q356)*1440)</x:f>
      </x:c>
      <x:c r="AN356" s="87" t="str">
        <x:f>IF(OR(S356="",T356="",T356&lt;S356),"",(T356-S356)*1440)</x:f>
      </x:c>
      <x:c r="AO356" s="87" t="str">
        <x:f>IF(OR(U356="",V356=""),"",V356-U356)</x:f>
      </x:c>
      <x:c r="AP356" s="63" t="str">
        <x:f>IF(A356="","",IF(OR(B356="",H356="",N356=""),"Incompleto",IF(N356&lt;H356,"Revisar",IF(OR(G356="",G356="Não observado"),"Qualidade E0 ausente",IF(OR(G356="Sensor",G356="Marcação física"),"Válido — E0 observado",IF(G356="Cálculo","Válido — E0 calculado","Válido — E0 estimado"))))))</x:f>
      </x:c>
      <x:c r="AQ356" s="63" t="str">
        <x:f>IF(A356="","",IF(COUNTA(H356:T356)&lt;13,"Incompleta",IF(OR(I356&lt;H356,J356&lt;I356,K356&lt;J356,L356&lt;K356,M356&lt;L356,N356&lt;M356,O356&lt;N356,P356&lt;O356,Q356&lt;P356,R356&lt;Q356,S356&lt;R356,T356&lt;S356),"Revisar","Completa")))</x:f>
      </x:c>
      <x:c r="AR356" s="87" t="str">
        <x:f>IF(OR(V356="",W356="",Y356=""),"",Y356-(V356-W356))</x:f>
      </x:c>
      <x:c r="AS356" s="63" t="str">
        <x:f>IF(A356="","",IF(AND(E356&lt;&gt;"",F356&lt;&gt;"",G356&lt;&gt;"",Z356&lt;&gt;"",AA356&lt;&gt;"",AB356&lt;&gt;"",AC356&lt;&gt;""),"Completa","Incompleta"))</x:f>
      </x:c>
      <x:c r="AT356" s="63" t="str">
        <x:f>IF(A356="","",IF(COUNTIF($A$11:$A$410,A356)&gt;1,"ID duplicado",IF(AND(AR356&lt;&gt;"",ABS(AR356)&gt;0.01),"Revisar balanço",IF(AND(W356&lt;&gt;"",V356&lt;&gt;"",W356&gt;V356),"Retirada &gt; estoque",IF(AND(U356&lt;&gt;"",U356&lt;'Cenário Base'!$D$8*'Cenário Base'!$D$74),"E0 abaixo do gatilho",IF(AND(V356&lt;&gt;"",V356&gt;XLOOKUP(B356,$A$414:$A$418,$B$414:$B$418)),"Excedeu capacidade","Sem alerta"))))))</x:f>
      </x:c>
    </x:row>
    <x:row r="357">
      <x:c r="A357" s="43"/>
      <x:c r="B357" s="43"/>
      <x:c r="C357" s="43"/>
      <x:c r="D357" s="43"/>
      <x:c r="E357" s="43"/>
      <x:c r="F357" s="43"/>
      <x:c r="G357" s="43"/>
      <x:c r="H357" s="120"/>
      <x:c r="I357" s="120"/>
      <x:c r="J357" s="120"/>
      <x:c r="K357" s="120"/>
      <x:c r="L357" s="120"/>
      <x:c r="M357" s="120"/>
      <x:c r="N357" s="120"/>
      <x:c r="O357" s="120"/>
      <x:c r="P357" s="120"/>
      <x:c r="Q357" s="120"/>
      <x:c r="R357" s="120"/>
      <x:c r="S357" s="120"/>
      <x:c r="T357" s="120"/>
      <x:c r="U357" s="48"/>
      <x:c r="V357" s="48"/>
      <x:c r="W357" s="48"/>
      <x:c r="X357" s="48"/>
      <x:c r="Y357" s="48"/>
      <x:c r="Z357" s="49"/>
      <x:c r="AA357" s="43"/>
      <x:c r="AB357" s="43"/>
      <x:c r="AC357" s="43"/>
      <x:c r="AD357" s="43"/>
      <x:c r="AE357" s="43"/>
      <x:c r="AF357" s="87" t="str">
        <x:f>IF(OR(H357="",I357="",I357&lt;H357),"",(I357-H357)*1440)</x:f>
      </x:c>
      <x:c r="AG357" s="87" t="str">
        <x:f>IF(OR(I357="",M357="",M357&lt;I357),"",(M357-I357)*1440)</x:f>
      </x:c>
      <x:c r="AH357" s="87" t="str">
        <x:f>IF(OR(M357="",N357="",N357&lt;M357),"",(N357-M357)*1440)</x:f>
      </x:c>
      <x:c r="AI357" s="87" t="str">
        <x:f>IF(OR(H357="",N357="",N357&lt;H357),"",(N357-H357)*1440)</x:f>
      </x:c>
      <x:c r="AJ357" s="87" t="str">
        <x:f>IF(OR(I357="",N357="",N357&lt;I357),"",(N357-I357)*1440)</x:f>
      </x:c>
      <x:c r="AK357" s="87" t="str">
        <x:f>IF(OR(N357="",O357="",O357&lt;N357),"",(O357-N357)*1440)</x:f>
      </x:c>
      <x:c r="AL357" s="87" t="str">
        <x:f>IF(OR(O357="",P357="",P357&lt;O357),"",(P357-O357)*1440)</x:f>
      </x:c>
      <x:c r="AM357" s="87" t="str">
        <x:f>IF(OR(Q357="",R357="",R357&lt;Q357),"",(R357-Q357)*1440)</x:f>
      </x:c>
      <x:c r="AN357" s="87" t="str">
        <x:f>IF(OR(S357="",T357="",T357&lt;S357),"",(T357-S357)*1440)</x:f>
      </x:c>
      <x:c r="AO357" s="87" t="str">
        <x:f>IF(OR(U357="",V357=""),"",V357-U357)</x:f>
      </x:c>
      <x:c r="AP357" s="63" t="str">
        <x:f>IF(A357="","",IF(OR(B357="",H357="",N357=""),"Incompleto",IF(N357&lt;H357,"Revisar",IF(OR(G357="",G357="Não observado"),"Qualidade E0 ausente",IF(OR(G357="Sensor",G357="Marcação física"),"Válido — E0 observado",IF(G357="Cálculo","Válido — E0 calculado","Válido — E0 estimado"))))))</x:f>
      </x:c>
      <x:c r="AQ357" s="63" t="str">
        <x:f>IF(A357="","",IF(COUNTA(H357:T357)&lt;13,"Incompleta",IF(OR(I357&lt;H357,J357&lt;I357,K357&lt;J357,L357&lt;K357,M357&lt;L357,N357&lt;M357,O357&lt;N357,P357&lt;O357,Q357&lt;P357,R357&lt;Q357,S357&lt;R357,T357&lt;S357),"Revisar","Completa")))</x:f>
      </x:c>
      <x:c r="AR357" s="87" t="str">
        <x:f>IF(OR(V357="",W357="",Y357=""),"",Y357-(V357-W357))</x:f>
      </x:c>
      <x:c r="AS357" s="63" t="str">
        <x:f>IF(A357="","",IF(AND(E357&lt;&gt;"",F357&lt;&gt;"",G357&lt;&gt;"",Z357&lt;&gt;"",AA357&lt;&gt;"",AB357&lt;&gt;"",AC357&lt;&gt;""),"Completa","Incompleta"))</x:f>
      </x:c>
      <x:c r="AT357" s="63" t="str">
        <x:f>IF(A357="","",IF(COUNTIF($A$11:$A$410,A357)&gt;1,"ID duplicado",IF(AND(AR357&lt;&gt;"",ABS(AR357)&gt;0.01),"Revisar balanço",IF(AND(W357&lt;&gt;"",V357&lt;&gt;"",W357&gt;V357),"Retirada &gt; estoque",IF(AND(U357&lt;&gt;"",U357&lt;'Cenário Base'!$D$8*'Cenário Base'!$D$74),"E0 abaixo do gatilho",IF(AND(V357&lt;&gt;"",V357&gt;XLOOKUP(B357,$A$414:$A$418,$B$414:$B$418)),"Excedeu capacidade","Sem alerta"))))))</x:f>
      </x:c>
    </x:row>
    <x:row r="358">
      <x:c r="A358" s="43"/>
      <x:c r="B358" s="43"/>
      <x:c r="C358" s="43"/>
      <x:c r="D358" s="43"/>
      <x:c r="E358" s="43"/>
      <x:c r="F358" s="43"/>
      <x:c r="G358" s="43"/>
      <x:c r="H358" s="120"/>
      <x:c r="I358" s="120"/>
      <x:c r="J358" s="120"/>
      <x:c r="K358" s="120"/>
      <x:c r="L358" s="120"/>
      <x:c r="M358" s="120"/>
      <x:c r="N358" s="120"/>
      <x:c r="O358" s="120"/>
      <x:c r="P358" s="120"/>
      <x:c r="Q358" s="120"/>
      <x:c r="R358" s="120"/>
      <x:c r="S358" s="120"/>
      <x:c r="T358" s="120"/>
      <x:c r="U358" s="48"/>
      <x:c r="V358" s="48"/>
      <x:c r="W358" s="48"/>
      <x:c r="X358" s="48"/>
      <x:c r="Y358" s="48"/>
      <x:c r="Z358" s="49"/>
      <x:c r="AA358" s="43"/>
      <x:c r="AB358" s="43"/>
      <x:c r="AC358" s="43"/>
      <x:c r="AD358" s="43"/>
      <x:c r="AE358" s="43"/>
      <x:c r="AF358" s="87" t="str">
        <x:f>IF(OR(H358="",I358="",I358&lt;H358),"",(I358-H358)*1440)</x:f>
      </x:c>
      <x:c r="AG358" s="87" t="str">
        <x:f>IF(OR(I358="",M358="",M358&lt;I358),"",(M358-I358)*1440)</x:f>
      </x:c>
      <x:c r="AH358" s="87" t="str">
        <x:f>IF(OR(M358="",N358="",N358&lt;M358),"",(N358-M358)*1440)</x:f>
      </x:c>
      <x:c r="AI358" s="87" t="str">
        <x:f>IF(OR(H358="",N358="",N358&lt;H358),"",(N358-H358)*1440)</x:f>
      </x:c>
      <x:c r="AJ358" s="87" t="str">
        <x:f>IF(OR(I358="",N358="",N358&lt;I358),"",(N358-I358)*1440)</x:f>
      </x:c>
      <x:c r="AK358" s="87" t="str">
        <x:f>IF(OR(N358="",O358="",O358&lt;N358),"",(O358-N358)*1440)</x:f>
      </x:c>
      <x:c r="AL358" s="87" t="str">
        <x:f>IF(OR(O358="",P358="",P358&lt;O358),"",(P358-O358)*1440)</x:f>
      </x:c>
      <x:c r="AM358" s="87" t="str">
        <x:f>IF(OR(Q358="",R358="",R358&lt;Q358),"",(R358-Q358)*1440)</x:f>
      </x:c>
      <x:c r="AN358" s="87" t="str">
        <x:f>IF(OR(S358="",T358="",T358&lt;S358),"",(T358-S358)*1440)</x:f>
      </x:c>
      <x:c r="AO358" s="87" t="str">
        <x:f>IF(OR(U358="",V358=""),"",V358-U358)</x:f>
      </x:c>
      <x:c r="AP358" s="63" t="str">
        <x:f>IF(A358="","",IF(OR(B358="",H358="",N358=""),"Incompleto",IF(N358&lt;H358,"Revisar",IF(OR(G358="",G358="Não observado"),"Qualidade E0 ausente",IF(OR(G358="Sensor",G358="Marcação física"),"Válido — E0 observado",IF(G358="Cálculo","Válido — E0 calculado","Válido — E0 estimado"))))))</x:f>
      </x:c>
      <x:c r="AQ358" s="63" t="str">
        <x:f>IF(A358="","",IF(COUNTA(H358:T358)&lt;13,"Incompleta",IF(OR(I358&lt;H358,J358&lt;I358,K358&lt;J358,L358&lt;K358,M358&lt;L358,N358&lt;M358,O358&lt;N358,P358&lt;O358,Q358&lt;P358,R358&lt;Q358,S358&lt;R358,T358&lt;S358),"Revisar","Completa")))</x:f>
      </x:c>
      <x:c r="AR358" s="87" t="str">
        <x:f>IF(OR(V358="",W358="",Y358=""),"",Y358-(V358-W358))</x:f>
      </x:c>
      <x:c r="AS358" s="63" t="str">
        <x:f>IF(A358="","",IF(AND(E358&lt;&gt;"",F358&lt;&gt;"",G358&lt;&gt;"",Z358&lt;&gt;"",AA358&lt;&gt;"",AB358&lt;&gt;"",AC358&lt;&gt;""),"Completa","Incompleta"))</x:f>
      </x:c>
      <x:c r="AT358" s="63" t="str">
        <x:f>IF(A358="","",IF(COUNTIF($A$11:$A$410,A358)&gt;1,"ID duplicado",IF(AND(AR358&lt;&gt;"",ABS(AR358)&gt;0.01),"Revisar balanço",IF(AND(W358&lt;&gt;"",V358&lt;&gt;"",W358&gt;V358),"Retirada &gt; estoque",IF(AND(U358&lt;&gt;"",U358&lt;'Cenário Base'!$D$8*'Cenário Base'!$D$74),"E0 abaixo do gatilho",IF(AND(V358&lt;&gt;"",V358&gt;XLOOKUP(B358,$A$414:$A$418,$B$414:$B$418)),"Excedeu capacidade","Sem alerta"))))))</x:f>
      </x:c>
    </x:row>
    <x:row r="359">
      <x:c r="A359" s="43"/>
      <x:c r="B359" s="43"/>
      <x:c r="C359" s="43"/>
      <x:c r="D359" s="43"/>
      <x:c r="E359" s="43"/>
      <x:c r="F359" s="43"/>
      <x:c r="G359" s="43"/>
      <x:c r="H359" s="120"/>
      <x:c r="I359" s="120"/>
      <x:c r="J359" s="120"/>
      <x:c r="K359" s="120"/>
      <x:c r="L359" s="120"/>
      <x:c r="M359" s="120"/>
      <x:c r="N359" s="120"/>
      <x:c r="O359" s="120"/>
      <x:c r="P359" s="120"/>
      <x:c r="Q359" s="120"/>
      <x:c r="R359" s="120"/>
      <x:c r="S359" s="120"/>
      <x:c r="T359" s="120"/>
      <x:c r="U359" s="48"/>
      <x:c r="V359" s="48"/>
      <x:c r="W359" s="48"/>
      <x:c r="X359" s="48"/>
      <x:c r="Y359" s="48"/>
      <x:c r="Z359" s="49"/>
      <x:c r="AA359" s="43"/>
      <x:c r="AB359" s="43"/>
      <x:c r="AC359" s="43"/>
      <x:c r="AD359" s="43"/>
      <x:c r="AE359" s="43"/>
      <x:c r="AF359" s="87" t="str">
        <x:f>IF(OR(H359="",I359="",I359&lt;H359),"",(I359-H359)*1440)</x:f>
      </x:c>
      <x:c r="AG359" s="87" t="str">
        <x:f>IF(OR(I359="",M359="",M359&lt;I359),"",(M359-I359)*1440)</x:f>
      </x:c>
      <x:c r="AH359" s="87" t="str">
        <x:f>IF(OR(M359="",N359="",N359&lt;M359),"",(N359-M359)*1440)</x:f>
      </x:c>
      <x:c r="AI359" s="87" t="str">
        <x:f>IF(OR(H359="",N359="",N359&lt;H359),"",(N359-H359)*1440)</x:f>
      </x:c>
      <x:c r="AJ359" s="87" t="str">
        <x:f>IF(OR(I359="",N359="",N359&lt;I359),"",(N359-I359)*1440)</x:f>
      </x:c>
      <x:c r="AK359" s="87" t="str">
        <x:f>IF(OR(N359="",O359="",O359&lt;N359),"",(O359-N359)*1440)</x:f>
      </x:c>
      <x:c r="AL359" s="87" t="str">
        <x:f>IF(OR(O359="",P359="",P359&lt;O359),"",(P359-O359)*1440)</x:f>
      </x:c>
      <x:c r="AM359" s="87" t="str">
        <x:f>IF(OR(Q359="",R359="",R359&lt;Q359),"",(R359-Q359)*1440)</x:f>
      </x:c>
      <x:c r="AN359" s="87" t="str">
        <x:f>IF(OR(S359="",T359="",T359&lt;S359),"",(T359-S359)*1440)</x:f>
      </x:c>
      <x:c r="AO359" s="87" t="str">
        <x:f>IF(OR(U359="",V359=""),"",V359-U359)</x:f>
      </x:c>
      <x:c r="AP359" s="63" t="str">
        <x:f>IF(A359="","",IF(OR(B359="",H359="",N359=""),"Incompleto",IF(N359&lt;H359,"Revisar",IF(OR(G359="",G359="Não observado"),"Qualidade E0 ausente",IF(OR(G359="Sensor",G359="Marcação física"),"Válido — E0 observado",IF(G359="Cálculo","Válido — E0 calculado","Válido — E0 estimado"))))))</x:f>
      </x:c>
      <x:c r="AQ359" s="63" t="str">
        <x:f>IF(A359="","",IF(COUNTA(H359:T359)&lt;13,"Incompleta",IF(OR(I359&lt;H359,J359&lt;I359,K359&lt;J359,L359&lt;K359,M359&lt;L359,N359&lt;M359,O359&lt;N359,P359&lt;O359,Q359&lt;P359,R359&lt;Q359,S359&lt;R359,T359&lt;S359),"Revisar","Completa")))</x:f>
      </x:c>
      <x:c r="AR359" s="87" t="str">
        <x:f>IF(OR(V359="",W359="",Y359=""),"",Y359-(V359-W359))</x:f>
      </x:c>
      <x:c r="AS359" s="63" t="str">
        <x:f>IF(A359="","",IF(AND(E359&lt;&gt;"",F359&lt;&gt;"",G359&lt;&gt;"",Z359&lt;&gt;"",AA359&lt;&gt;"",AB359&lt;&gt;"",AC359&lt;&gt;""),"Completa","Incompleta"))</x:f>
      </x:c>
      <x:c r="AT359" s="63" t="str">
        <x:f>IF(A359="","",IF(COUNTIF($A$11:$A$410,A359)&gt;1,"ID duplicado",IF(AND(AR359&lt;&gt;"",ABS(AR359)&gt;0.01),"Revisar balanço",IF(AND(W359&lt;&gt;"",V359&lt;&gt;"",W359&gt;V359),"Retirada &gt; estoque",IF(AND(U359&lt;&gt;"",U359&lt;'Cenário Base'!$D$8*'Cenário Base'!$D$74),"E0 abaixo do gatilho",IF(AND(V359&lt;&gt;"",V359&gt;XLOOKUP(B359,$A$414:$A$418,$B$414:$B$418)),"Excedeu capacidade","Sem alerta"))))))</x:f>
      </x:c>
    </x:row>
    <x:row r="360">
      <x:c r="A360" s="43"/>
      <x:c r="B360" s="43"/>
      <x:c r="C360" s="43"/>
      <x:c r="D360" s="43"/>
      <x:c r="E360" s="43"/>
      <x:c r="F360" s="43"/>
      <x:c r="G360" s="43"/>
      <x:c r="H360" s="120"/>
      <x:c r="I360" s="120"/>
      <x:c r="J360" s="120"/>
      <x:c r="K360" s="120"/>
      <x:c r="L360" s="120"/>
      <x:c r="M360" s="120"/>
      <x:c r="N360" s="120"/>
      <x:c r="O360" s="120"/>
      <x:c r="P360" s="120"/>
      <x:c r="Q360" s="120"/>
      <x:c r="R360" s="120"/>
      <x:c r="S360" s="120"/>
      <x:c r="T360" s="120"/>
      <x:c r="U360" s="48"/>
      <x:c r="V360" s="48"/>
      <x:c r="W360" s="48"/>
      <x:c r="X360" s="48"/>
      <x:c r="Y360" s="48"/>
      <x:c r="Z360" s="49"/>
      <x:c r="AA360" s="43"/>
      <x:c r="AB360" s="43"/>
      <x:c r="AC360" s="43"/>
      <x:c r="AD360" s="43"/>
      <x:c r="AE360" s="43"/>
      <x:c r="AF360" s="87" t="str">
        <x:f>IF(OR(H360="",I360="",I360&lt;H360),"",(I360-H360)*1440)</x:f>
      </x:c>
      <x:c r="AG360" s="87" t="str">
        <x:f>IF(OR(I360="",M360="",M360&lt;I360),"",(M360-I360)*1440)</x:f>
      </x:c>
      <x:c r="AH360" s="87" t="str">
        <x:f>IF(OR(M360="",N360="",N360&lt;M360),"",(N360-M360)*1440)</x:f>
      </x:c>
      <x:c r="AI360" s="87" t="str">
        <x:f>IF(OR(H360="",N360="",N360&lt;H360),"",(N360-H360)*1440)</x:f>
      </x:c>
      <x:c r="AJ360" s="87" t="str">
        <x:f>IF(OR(I360="",N360="",N360&lt;I360),"",(N360-I360)*1440)</x:f>
      </x:c>
      <x:c r="AK360" s="87" t="str">
        <x:f>IF(OR(N360="",O360="",O360&lt;N360),"",(O360-N360)*1440)</x:f>
      </x:c>
      <x:c r="AL360" s="87" t="str">
        <x:f>IF(OR(O360="",P360="",P360&lt;O360),"",(P360-O360)*1440)</x:f>
      </x:c>
      <x:c r="AM360" s="87" t="str">
        <x:f>IF(OR(Q360="",R360="",R360&lt;Q360),"",(R360-Q360)*1440)</x:f>
      </x:c>
      <x:c r="AN360" s="87" t="str">
        <x:f>IF(OR(S360="",T360="",T360&lt;S360),"",(T360-S360)*1440)</x:f>
      </x:c>
      <x:c r="AO360" s="87" t="str">
        <x:f>IF(OR(U360="",V360=""),"",V360-U360)</x:f>
      </x:c>
      <x:c r="AP360" s="63" t="str">
        <x:f>IF(A360="","",IF(OR(B360="",H360="",N360=""),"Incompleto",IF(N360&lt;H360,"Revisar",IF(OR(G360="",G360="Não observado"),"Qualidade E0 ausente",IF(OR(G360="Sensor",G360="Marcação física"),"Válido — E0 observado",IF(G360="Cálculo","Válido — E0 calculado","Válido — E0 estimado"))))))</x:f>
      </x:c>
      <x:c r="AQ360" s="63" t="str">
        <x:f>IF(A360="","",IF(COUNTA(H360:T360)&lt;13,"Incompleta",IF(OR(I360&lt;H360,J360&lt;I360,K360&lt;J360,L360&lt;K360,M360&lt;L360,N360&lt;M360,O360&lt;N360,P360&lt;O360,Q360&lt;P360,R360&lt;Q360,S360&lt;R360,T360&lt;S360),"Revisar","Completa")))</x:f>
      </x:c>
      <x:c r="AR360" s="87" t="str">
        <x:f>IF(OR(V360="",W360="",Y360=""),"",Y360-(V360-W360))</x:f>
      </x:c>
      <x:c r="AS360" s="63" t="str">
        <x:f>IF(A360="","",IF(AND(E360&lt;&gt;"",F360&lt;&gt;"",G360&lt;&gt;"",Z360&lt;&gt;"",AA360&lt;&gt;"",AB360&lt;&gt;"",AC360&lt;&gt;""),"Completa","Incompleta"))</x:f>
      </x:c>
      <x:c r="AT360" s="63" t="str">
        <x:f>IF(A360="","",IF(COUNTIF($A$11:$A$410,A360)&gt;1,"ID duplicado",IF(AND(AR360&lt;&gt;"",ABS(AR360)&gt;0.01),"Revisar balanço",IF(AND(W360&lt;&gt;"",V360&lt;&gt;"",W360&gt;V360),"Retirada &gt; estoque",IF(AND(U360&lt;&gt;"",U360&lt;'Cenário Base'!$D$8*'Cenário Base'!$D$74),"E0 abaixo do gatilho",IF(AND(V360&lt;&gt;"",V360&gt;XLOOKUP(B360,$A$414:$A$418,$B$414:$B$418)),"Excedeu capacidade","Sem alerta"))))))</x:f>
      </x:c>
    </x:row>
    <x:row r="361">
      <x:c r="A361" s="43"/>
      <x:c r="B361" s="43"/>
      <x:c r="C361" s="43"/>
      <x:c r="D361" s="43"/>
      <x:c r="E361" s="43"/>
      <x:c r="F361" s="43"/>
      <x:c r="G361" s="43"/>
      <x:c r="H361" s="120"/>
      <x:c r="I361" s="120"/>
      <x:c r="J361" s="120"/>
      <x:c r="K361" s="120"/>
      <x:c r="L361" s="120"/>
      <x:c r="M361" s="120"/>
      <x:c r="N361" s="120"/>
      <x:c r="O361" s="120"/>
      <x:c r="P361" s="120"/>
      <x:c r="Q361" s="120"/>
      <x:c r="R361" s="120"/>
      <x:c r="S361" s="120"/>
      <x:c r="T361" s="120"/>
      <x:c r="U361" s="48"/>
      <x:c r="V361" s="48"/>
      <x:c r="W361" s="48"/>
      <x:c r="X361" s="48"/>
      <x:c r="Y361" s="48"/>
      <x:c r="Z361" s="49"/>
      <x:c r="AA361" s="43"/>
      <x:c r="AB361" s="43"/>
      <x:c r="AC361" s="43"/>
      <x:c r="AD361" s="43"/>
      <x:c r="AE361" s="43"/>
      <x:c r="AF361" s="87" t="str">
        <x:f>IF(OR(H361="",I361="",I361&lt;H361),"",(I361-H361)*1440)</x:f>
      </x:c>
      <x:c r="AG361" s="87" t="str">
        <x:f>IF(OR(I361="",M361="",M361&lt;I361),"",(M361-I361)*1440)</x:f>
      </x:c>
      <x:c r="AH361" s="87" t="str">
        <x:f>IF(OR(M361="",N361="",N361&lt;M361),"",(N361-M361)*1440)</x:f>
      </x:c>
      <x:c r="AI361" s="87" t="str">
        <x:f>IF(OR(H361="",N361="",N361&lt;H361),"",(N361-H361)*1440)</x:f>
      </x:c>
      <x:c r="AJ361" s="87" t="str">
        <x:f>IF(OR(I361="",N361="",N361&lt;I361),"",(N361-I361)*1440)</x:f>
      </x:c>
      <x:c r="AK361" s="87" t="str">
        <x:f>IF(OR(N361="",O361="",O361&lt;N361),"",(O361-N361)*1440)</x:f>
      </x:c>
      <x:c r="AL361" s="87" t="str">
        <x:f>IF(OR(O361="",P361="",P361&lt;O361),"",(P361-O361)*1440)</x:f>
      </x:c>
      <x:c r="AM361" s="87" t="str">
        <x:f>IF(OR(Q361="",R361="",R361&lt;Q361),"",(R361-Q361)*1440)</x:f>
      </x:c>
      <x:c r="AN361" s="87" t="str">
        <x:f>IF(OR(S361="",T361="",T361&lt;S361),"",(T361-S361)*1440)</x:f>
      </x:c>
      <x:c r="AO361" s="87" t="str">
        <x:f>IF(OR(U361="",V361=""),"",V361-U361)</x:f>
      </x:c>
      <x:c r="AP361" s="63" t="str">
        <x:f>IF(A361="","",IF(OR(B361="",H361="",N361=""),"Incompleto",IF(N361&lt;H361,"Revisar",IF(OR(G361="",G361="Não observado"),"Qualidade E0 ausente",IF(OR(G361="Sensor",G361="Marcação física"),"Válido — E0 observado",IF(G361="Cálculo","Válido — E0 calculado","Válido — E0 estimado"))))))</x:f>
      </x:c>
      <x:c r="AQ361" s="63" t="str">
        <x:f>IF(A361="","",IF(COUNTA(H361:T361)&lt;13,"Incompleta",IF(OR(I361&lt;H361,J361&lt;I361,K361&lt;J361,L361&lt;K361,M361&lt;L361,N361&lt;M361,O361&lt;N361,P361&lt;O361,Q361&lt;P361,R361&lt;Q361,S361&lt;R361,T361&lt;S361),"Revisar","Completa")))</x:f>
      </x:c>
      <x:c r="AR361" s="87" t="str">
        <x:f>IF(OR(V361="",W361="",Y361=""),"",Y361-(V361-W361))</x:f>
      </x:c>
      <x:c r="AS361" s="63" t="str">
        <x:f>IF(A361="","",IF(AND(E361&lt;&gt;"",F361&lt;&gt;"",G361&lt;&gt;"",Z361&lt;&gt;"",AA361&lt;&gt;"",AB361&lt;&gt;"",AC361&lt;&gt;""),"Completa","Incompleta"))</x:f>
      </x:c>
      <x:c r="AT361" s="63" t="str">
        <x:f>IF(A361="","",IF(COUNTIF($A$11:$A$410,A361)&gt;1,"ID duplicado",IF(AND(AR361&lt;&gt;"",ABS(AR361)&gt;0.01),"Revisar balanço",IF(AND(W361&lt;&gt;"",V361&lt;&gt;"",W361&gt;V361),"Retirada &gt; estoque",IF(AND(U361&lt;&gt;"",U361&lt;'Cenário Base'!$D$8*'Cenário Base'!$D$74),"E0 abaixo do gatilho",IF(AND(V361&lt;&gt;"",V361&gt;XLOOKUP(B361,$A$414:$A$418,$B$414:$B$418)),"Excedeu capacidade","Sem alerta"))))))</x:f>
      </x:c>
    </x:row>
    <x:row r="362">
      <x:c r="A362" s="43"/>
      <x:c r="B362" s="43"/>
      <x:c r="C362" s="43"/>
      <x:c r="D362" s="43"/>
      <x:c r="E362" s="43"/>
      <x:c r="F362" s="43"/>
      <x:c r="G362" s="43"/>
      <x:c r="H362" s="120"/>
      <x:c r="I362" s="120"/>
      <x:c r="J362" s="120"/>
      <x:c r="K362" s="120"/>
      <x:c r="L362" s="120"/>
      <x:c r="M362" s="120"/>
      <x:c r="N362" s="120"/>
      <x:c r="O362" s="120"/>
      <x:c r="P362" s="120"/>
      <x:c r="Q362" s="120"/>
      <x:c r="R362" s="120"/>
      <x:c r="S362" s="120"/>
      <x:c r="T362" s="120"/>
      <x:c r="U362" s="48"/>
      <x:c r="V362" s="48"/>
      <x:c r="W362" s="48"/>
      <x:c r="X362" s="48"/>
      <x:c r="Y362" s="48"/>
      <x:c r="Z362" s="49"/>
      <x:c r="AA362" s="43"/>
      <x:c r="AB362" s="43"/>
      <x:c r="AC362" s="43"/>
      <x:c r="AD362" s="43"/>
      <x:c r="AE362" s="43"/>
      <x:c r="AF362" s="87" t="str">
        <x:f>IF(OR(H362="",I362="",I362&lt;H362),"",(I362-H362)*1440)</x:f>
      </x:c>
      <x:c r="AG362" s="87" t="str">
        <x:f>IF(OR(I362="",M362="",M362&lt;I362),"",(M362-I362)*1440)</x:f>
      </x:c>
      <x:c r="AH362" s="87" t="str">
        <x:f>IF(OR(M362="",N362="",N362&lt;M362),"",(N362-M362)*1440)</x:f>
      </x:c>
      <x:c r="AI362" s="87" t="str">
        <x:f>IF(OR(H362="",N362="",N362&lt;H362),"",(N362-H362)*1440)</x:f>
      </x:c>
      <x:c r="AJ362" s="87" t="str">
        <x:f>IF(OR(I362="",N362="",N362&lt;I362),"",(N362-I362)*1440)</x:f>
      </x:c>
      <x:c r="AK362" s="87" t="str">
        <x:f>IF(OR(N362="",O362="",O362&lt;N362),"",(O362-N362)*1440)</x:f>
      </x:c>
      <x:c r="AL362" s="87" t="str">
        <x:f>IF(OR(O362="",P362="",P362&lt;O362),"",(P362-O362)*1440)</x:f>
      </x:c>
      <x:c r="AM362" s="87" t="str">
        <x:f>IF(OR(Q362="",R362="",R362&lt;Q362),"",(R362-Q362)*1440)</x:f>
      </x:c>
      <x:c r="AN362" s="87" t="str">
        <x:f>IF(OR(S362="",T362="",T362&lt;S362),"",(T362-S362)*1440)</x:f>
      </x:c>
      <x:c r="AO362" s="87" t="str">
        <x:f>IF(OR(U362="",V362=""),"",V362-U362)</x:f>
      </x:c>
      <x:c r="AP362" s="63" t="str">
        <x:f>IF(A362="","",IF(OR(B362="",H362="",N362=""),"Incompleto",IF(N362&lt;H362,"Revisar",IF(OR(G362="",G362="Não observado"),"Qualidade E0 ausente",IF(OR(G362="Sensor",G362="Marcação física"),"Válido — E0 observado",IF(G362="Cálculo","Válido — E0 calculado","Válido — E0 estimado"))))))</x:f>
      </x:c>
      <x:c r="AQ362" s="63" t="str">
        <x:f>IF(A362="","",IF(COUNTA(H362:T362)&lt;13,"Incompleta",IF(OR(I362&lt;H362,J362&lt;I362,K362&lt;J362,L362&lt;K362,M362&lt;L362,N362&lt;M362,O362&lt;N362,P362&lt;O362,Q362&lt;P362,R362&lt;Q362,S362&lt;R362,T362&lt;S362),"Revisar","Completa")))</x:f>
      </x:c>
      <x:c r="AR362" s="87" t="str">
        <x:f>IF(OR(V362="",W362="",Y362=""),"",Y362-(V362-W362))</x:f>
      </x:c>
      <x:c r="AS362" s="63" t="str">
        <x:f>IF(A362="","",IF(AND(E362&lt;&gt;"",F362&lt;&gt;"",G362&lt;&gt;"",Z362&lt;&gt;"",AA362&lt;&gt;"",AB362&lt;&gt;"",AC362&lt;&gt;""),"Completa","Incompleta"))</x:f>
      </x:c>
      <x:c r="AT362" s="63" t="str">
        <x:f>IF(A362="","",IF(COUNTIF($A$11:$A$410,A362)&gt;1,"ID duplicado",IF(AND(AR362&lt;&gt;"",ABS(AR362)&gt;0.01),"Revisar balanço",IF(AND(W362&lt;&gt;"",V362&lt;&gt;"",W362&gt;V362),"Retirada &gt; estoque",IF(AND(U362&lt;&gt;"",U362&lt;'Cenário Base'!$D$8*'Cenário Base'!$D$74),"E0 abaixo do gatilho",IF(AND(V362&lt;&gt;"",V362&gt;XLOOKUP(B362,$A$414:$A$418,$B$414:$B$418)),"Excedeu capacidade","Sem alerta"))))))</x:f>
      </x:c>
    </x:row>
    <x:row r="363">
      <x:c r="A363" s="43"/>
      <x:c r="B363" s="43"/>
      <x:c r="C363" s="43"/>
      <x:c r="D363" s="43"/>
      <x:c r="E363" s="43"/>
      <x:c r="F363" s="43"/>
      <x:c r="G363" s="43"/>
      <x:c r="H363" s="120"/>
      <x:c r="I363" s="120"/>
      <x:c r="J363" s="120"/>
      <x:c r="K363" s="120"/>
      <x:c r="L363" s="120"/>
      <x:c r="M363" s="120"/>
      <x:c r="N363" s="120"/>
      <x:c r="O363" s="120"/>
      <x:c r="P363" s="120"/>
      <x:c r="Q363" s="120"/>
      <x:c r="R363" s="120"/>
      <x:c r="S363" s="120"/>
      <x:c r="T363" s="120"/>
      <x:c r="U363" s="48"/>
      <x:c r="V363" s="48"/>
      <x:c r="W363" s="48"/>
      <x:c r="X363" s="48"/>
      <x:c r="Y363" s="48"/>
      <x:c r="Z363" s="49"/>
      <x:c r="AA363" s="43"/>
      <x:c r="AB363" s="43"/>
      <x:c r="AC363" s="43"/>
      <x:c r="AD363" s="43"/>
      <x:c r="AE363" s="43"/>
      <x:c r="AF363" s="87" t="str">
        <x:f>IF(OR(H363="",I363="",I363&lt;H363),"",(I363-H363)*1440)</x:f>
      </x:c>
      <x:c r="AG363" s="87" t="str">
        <x:f>IF(OR(I363="",M363="",M363&lt;I363),"",(M363-I363)*1440)</x:f>
      </x:c>
      <x:c r="AH363" s="87" t="str">
        <x:f>IF(OR(M363="",N363="",N363&lt;M363),"",(N363-M363)*1440)</x:f>
      </x:c>
      <x:c r="AI363" s="87" t="str">
        <x:f>IF(OR(H363="",N363="",N363&lt;H363),"",(N363-H363)*1440)</x:f>
      </x:c>
      <x:c r="AJ363" s="87" t="str">
        <x:f>IF(OR(I363="",N363="",N363&lt;I363),"",(N363-I363)*1440)</x:f>
      </x:c>
      <x:c r="AK363" s="87" t="str">
        <x:f>IF(OR(N363="",O363="",O363&lt;N363),"",(O363-N363)*1440)</x:f>
      </x:c>
      <x:c r="AL363" s="87" t="str">
        <x:f>IF(OR(O363="",P363="",P363&lt;O363),"",(P363-O363)*1440)</x:f>
      </x:c>
      <x:c r="AM363" s="87" t="str">
        <x:f>IF(OR(Q363="",R363="",R363&lt;Q363),"",(R363-Q363)*1440)</x:f>
      </x:c>
      <x:c r="AN363" s="87" t="str">
        <x:f>IF(OR(S363="",T363="",T363&lt;S363),"",(T363-S363)*1440)</x:f>
      </x:c>
      <x:c r="AO363" s="87" t="str">
        <x:f>IF(OR(U363="",V363=""),"",V363-U363)</x:f>
      </x:c>
      <x:c r="AP363" s="63" t="str">
        <x:f>IF(A363="","",IF(OR(B363="",H363="",N363=""),"Incompleto",IF(N363&lt;H363,"Revisar",IF(OR(G363="",G363="Não observado"),"Qualidade E0 ausente",IF(OR(G363="Sensor",G363="Marcação física"),"Válido — E0 observado",IF(G363="Cálculo","Válido — E0 calculado","Válido — E0 estimado"))))))</x:f>
      </x:c>
      <x:c r="AQ363" s="63" t="str">
        <x:f>IF(A363="","",IF(COUNTA(H363:T363)&lt;13,"Incompleta",IF(OR(I363&lt;H363,J363&lt;I363,K363&lt;J363,L363&lt;K363,M363&lt;L363,N363&lt;M363,O363&lt;N363,P363&lt;O363,Q363&lt;P363,R363&lt;Q363,S363&lt;R363,T363&lt;S363),"Revisar","Completa")))</x:f>
      </x:c>
      <x:c r="AR363" s="87" t="str">
        <x:f>IF(OR(V363="",W363="",Y363=""),"",Y363-(V363-W363))</x:f>
      </x:c>
      <x:c r="AS363" s="63" t="str">
        <x:f>IF(A363="","",IF(AND(E363&lt;&gt;"",F363&lt;&gt;"",G363&lt;&gt;"",Z363&lt;&gt;"",AA363&lt;&gt;"",AB363&lt;&gt;"",AC363&lt;&gt;""),"Completa","Incompleta"))</x:f>
      </x:c>
      <x:c r="AT363" s="63" t="str">
        <x:f>IF(A363="","",IF(COUNTIF($A$11:$A$410,A363)&gt;1,"ID duplicado",IF(AND(AR363&lt;&gt;"",ABS(AR363)&gt;0.01),"Revisar balanço",IF(AND(W363&lt;&gt;"",V363&lt;&gt;"",W363&gt;V363),"Retirada &gt; estoque",IF(AND(U363&lt;&gt;"",U363&lt;'Cenário Base'!$D$8*'Cenário Base'!$D$74),"E0 abaixo do gatilho",IF(AND(V363&lt;&gt;"",V363&gt;XLOOKUP(B363,$A$414:$A$418,$B$414:$B$418)),"Excedeu capacidade","Sem alerta"))))))</x:f>
      </x:c>
    </x:row>
    <x:row r="364">
      <x:c r="A364" s="43"/>
      <x:c r="B364" s="43"/>
      <x:c r="C364" s="43"/>
      <x:c r="D364" s="43"/>
      <x:c r="E364" s="43"/>
      <x:c r="F364" s="43"/>
      <x:c r="G364" s="43"/>
      <x:c r="H364" s="120"/>
      <x:c r="I364" s="120"/>
      <x:c r="J364" s="120"/>
      <x:c r="K364" s="120"/>
      <x:c r="L364" s="120"/>
      <x:c r="M364" s="120"/>
      <x:c r="N364" s="120"/>
      <x:c r="O364" s="120"/>
      <x:c r="P364" s="120"/>
      <x:c r="Q364" s="120"/>
      <x:c r="R364" s="120"/>
      <x:c r="S364" s="120"/>
      <x:c r="T364" s="120"/>
      <x:c r="U364" s="48"/>
      <x:c r="V364" s="48"/>
      <x:c r="W364" s="48"/>
      <x:c r="X364" s="48"/>
      <x:c r="Y364" s="48"/>
      <x:c r="Z364" s="49"/>
      <x:c r="AA364" s="43"/>
      <x:c r="AB364" s="43"/>
      <x:c r="AC364" s="43"/>
      <x:c r="AD364" s="43"/>
      <x:c r="AE364" s="43"/>
      <x:c r="AF364" s="87" t="str">
        <x:f>IF(OR(H364="",I364="",I364&lt;H364),"",(I364-H364)*1440)</x:f>
      </x:c>
      <x:c r="AG364" s="87" t="str">
        <x:f>IF(OR(I364="",M364="",M364&lt;I364),"",(M364-I364)*1440)</x:f>
      </x:c>
      <x:c r="AH364" s="87" t="str">
        <x:f>IF(OR(M364="",N364="",N364&lt;M364),"",(N364-M364)*1440)</x:f>
      </x:c>
      <x:c r="AI364" s="87" t="str">
        <x:f>IF(OR(H364="",N364="",N364&lt;H364),"",(N364-H364)*1440)</x:f>
      </x:c>
      <x:c r="AJ364" s="87" t="str">
        <x:f>IF(OR(I364="",N364="",N364&lt;I364),"",(N364-I364)*1440)</x:f>
      </x:c>
      <x:c r="AK364" s="87" t="str">
        <x:f>IF(OR(N364="",O364="",O364&lt;N364),"",(O364-N364)*1440)</x:f>
      </x:c>
      <x:c r="AL364" s="87" t="str">
        <x:f>IF(OR(O364="",P364="",P364&lt;O364),"",(P364-O364)*1440)</x:f>
      </x:c>
      <x:c r="AM364" s="87" t="str">
        <x:f>IF(OR(Q364="",R364="",R364&lt;Q364),"",(R364-Q364)*1440)</x:f>
      </x:c>
      <x:c r="AN364" s="87" t="str">
        <x:f>IF(OR(S364="",T364="",T364&lt;S364),"",(T364-S364)*1440)</x:f>
      </x:c>
      <x:c r="AO364" s="87" t="str">
        <x:f>IF(OR(U364="",V364=""),"",V364-U364)</x:f>
      </x:c>
      <x:c r="AP364" s="63" t="str">
        <x:f>IF(A364="","",IF(OR(B364="",H364="",N364=""),"Incompleto",IF(N364&lt;H364,"Revisar",IF(OR(G364="",G364="Não observado"),"Qualidade E0 ausente",IF(OR(G364="Sensor",G364="Marcação física"),"Válido — E0 observado",IF(G364="Cálculo","Válido — E0 calculado","Válido — E0 estimado"))))))</x:f>
      </x:c>
      <x:c r="AQ364" s="63" t="str">
        <x:f>IF(A364="","",IF(COUNTA(H364:T364)&lt;13,"Incompleta",IF(OR(I364&lt;H364,J364&lt;I364,K364&lt;J364,L364&lt;K364,M364&lt;L364,N364&lt;M364,O364&lt;N364,P364&lt;O364,Q364&lt;P364,R364&lt;Q364,S364&lt;R364,T364&lt;S364),"Revisar","Completa")))</x:f>
      </x:c>
      <x:c r="AR364" s="87" t="str">
        <x:f>IF(OR(V364="",W364="",Y364=""),"",Y364-(V364-W364))</x:f>
      </x:c>
      <x:c r="AS364" s="63" t="str">
        <x:f>IF(A364="","",IF(AND(E364&lt;&gt;"",F364&lt;&gt;"",G364&lt;&gt;"",Z364&lt;&gt;"",AA364&lt;&gt;"",AB364&lt;&gt;"",AC364&lt;&gt;""),"Completa","Incompleta"))</x:f>
      </x:c>
      <x:c r="AT364" s="63" t="str">
        <x:f>IF(A364="","",IF(COUNTIF($A$11:$A$410,A364)&gt;1,"ID duplicado",IF(AND(AR364&lt;&gt;"",ABS(AR364)&gt;0.01),"Revisar balanço",IF(AND(W364&lt;&gt;"",V364&lt;&gt;"",W364&gt;V364),"Retirada &gt; estoque",IF(AND(U364&lt;&gt;"",U364&lt;'Cenário Base'!$D$8*'Cenário Base'!$D$74),"E0 abaixo do gatilho",IF(AND(V364&lt;&gt;"",V364&gt;XLOOKUP(B364,$A$414:$A$418,$B$414:$B$418)),"Excedeu capacidade","Sem alerta"))))))</x:f>
      </x:c>
    </x:row>
    <x:row r="365">
      <x:c r="A365" s="43"/>
      <x:c r="B365" s="43"/>
      <x:c r="C365" s="43"/>
      <x:c r="D365" s="43"/>
      <x:c r="E365" s="43"/>
      <x:c r="F365" s="43"/>
      <x:c r="G365" s="43"/>
      <x:c r="H365" s="120"/>
      <x:c r="I365" s="120"/>
      <x:c r="J365" s="120"/>
      <x:c r="K365" s="120"/>
      <x:c r="L365" s="120"/>
      <x:c r="M365" s="120"/>
      <x:c r="N365" s="120"/>
      <x:c r="O365" s="120"/>
      <x:c r="P365" s="120"/>
      <x:c r="Q365" s="120"/>
      <x:c r="R365" s="120"/>
      <x:c r="S365" s="120"/>
      <x:c r="T365" s="120"/>
      <x:c r="U365" s="48"/>
      <x:c r="V365" s="48"/>
      <x:c r="W365" s="48"/>
      <x:c r="X365" s="48"/>
      <x:c r="Y365" s="48"/>
      <x:c r="Z365" s="49"/>
      <x:c r="AA365" s="43"/>
      <x:c r="AB365" s="43"/>
      <x:c r="AC365" s="43"/>
      <x:c r="AD365" s="43"/>
      <x:c r="AE365" s="43"/>
      <x:c r="AF365" s="87" t="str">
        <x:f>IF(OR(H365="",I365="",I365&lt;H365),"",(I365-H365)*1440)</x:f>
      </x:c>
      <x:c r="AG365" s="87" t="str">
        <x:f>IF(OR(I365="",M365="",M365&lt;I365),"",(M365-I365)*1440)</x:f>
      </x:c>
      <x:c r="AH365" s="87" t="str">
        <x:f>IF(OR(M365="",N365="",N365&lt;M365),"",(N365-M365)*1440)</x:f>
      </x:c>
      <x:c r="AI365" s="87" t="str">
        <x:f>IF(OR(H365="",N365="",N365&lt;H365),"",(N365-H365)*1440)</x:f>
      </x:c>
      <x:c r="AJ365" s="87" t="str">
        <x:f>IF(OR(I365="",N365="",N365&lt;I365),"",(N365-I365)*1440)</x:f>
      </x:c>
      <x:c r="AK365" s="87" t="str">
        <x:f>IF(OR(N365="",O365="",O365&lt;N365),"",(O365-N365)*1440)</x:f>
      </x:c>
      <x:c r="AL365" s="87" t="str">
        <x:f>IF(OR(O365="",P365="",P365&lt;O365),"",(P365-O365)*1440)</x:f>
      </x:c>
      <x:c r="AM365" s="87" t="str">
        <x:f>IF(OR(Q365="",R365="",R365&lt;Q365),"",(R365-Q365)*1440)</x:f>
      </x:c>
      <x:c r="AN365" s="87" t="str">
        <x:f>IF(OR(S365="",T365="",T365&lt;S365),"",(T365-S365)*1440)</x:f>
      </x:c>
      <x:c r="AO365" s="87" t="str">
        <x:f>IF(OR(U365="",V365=""),"",V365-U365)</x:f>
      </x:c>
      <x:c r="AP365" s="63" t="str">
        <x:f>IF(A365="","",IF(OR(B365="",H365="",N365=""),"Incompleto",IF(N365&lt;H365,"Revisar",IF(OR(G365="",G365="Não observado"),"Qualidade E0 ausente",IF(OR(G365="Sensor",G365="Marcação física"),"Válido — E0 observado",IF(G365="Cálculo","Válido — E0 calculado","Válido — E0 estimado"))))))</x:f>
      </x:c>
      <x:c r="AQ365" s="63" t="str">
        <x:f>IF(A365="","",IF(COUNTA(H365:T365)&lt;13,"Incompleta",IF(OR(I365&lt;H365,J365&lt;I365,K365&lt;J365,L365&lt;K365,M365&lt;L365,N365&lt;M365,O365&lt;N365,P365&lt;O365,Q365&lt;P365,R365&lt;Q365,S365&lt;R365,T365&lt;S365),"Revisar","Completa")))</x:f>
      </x:c>
      <x:c r="AR365" s="87" t="str">
        <x:f>IF(OR(V365="",W365="",Y365=""),"",Y365-(V365-W365))</x:f>
      </x:c>
      <x:c r="AS365" s="63" t="str">
        <x:f>IF(A365="","",IF(AND(E365&lt;&gt;"",F365&lt;&gt;"",G365&lt;&gt;"",Z365&lt;&gt;"",AA365&lt;&gt;"",AB365&lt;&gt;"",AC365&lt;&gt;""),"Completa","Incompleta"))</x:f>
      </x:c>
      <x:c r="AT365" s="63" t="str">
        <x:f>IF(A365="","",IF(COUNTIF($A$11:$A$410,A365)&gt;1,"ID duplicado",IF(AND(AR365&lt;&gt;"",ABS(AR365)&gt;0.01),"Revisar balanço",IF(AND(W365&lt;&gt;"",V365&lt;&gt;"",W365&gt;V365),"Retirada &gt; estoque",IF(AND(U365&lt;&gt;"",U365&lt;'Cenário Base'!$D$8*'Cenário Base'!$D$74),"E0 abaixo do gatilho",IF(AND(V365&lt;&gt;"",V365&gt;XLOOKUP(B365,$A$414:$A$418,$B$414:$B$418)),"Excedeu capacidade","Sem alerta"))))))</x:f>
      </x:c>
    </x:row>
    <x:row r="366">
      <x:c r="A366" s="43"/>
      <x:c r="B366" s="43"/>
      <x:c r="C366" s="43"/>
      <x:c r="D366" s="43"/>
      <x:c r="E366" s="43"/>
      <x:c r="F366" s="43"/>
      <x:c r="G366" s="43"/>
      <x:c r="H366" s="120"/>
      <x:c r="I366" s="120"/>
      <x:c r="J366" s="120"/>
      <x:c r="K366" s="120"/>
      <x:c r="L366" s="120"/>
      <x:c r="M366" s="120"/>
      <x:c r="N366" s="120"/>
      <x:c r="O366" s="120"/>
      <x:c r="P366" s="120"/>
      <x:c r="Q366" s="120"/>
      <x:c r="R366" s="120"/>
      <x:c r="S366" s="120"/>
      <x:c r="T366" s="120"/>
      <x:c r="U366" s="48"/>
      <x:c r="V366" s="48"/>
      <x:c r="W366" s="48"/>
      <x:c r="X366" s="48"/>
      <x:c r="Y366" s="48"/>
      <x:c r="Z366" s="49"/>
      <x:c r="AA366" s="43"/>
      <x:c r="AB366" s="43"/>
      <x:c r="AC366" s="43"/>
      <x:c r="AD366" s="43"/>
      <x:c r="AE366" s="43"/>
      <x:c r="AF366" s="87" t="str">
        <x:f>IF(OR(H366="",I366="",I366&lt;H366),"",(I366-H366)*1440)</x:f>
      </x:c>
      <x:c r="AG366" s="87" t="str">
        <x:f>IF(OR(I366="",M366="",M366&lt;I366),"",(M366-I366)*1440)</x:f>
      </x:c>
      <x:c r="AH366" s="87" t="str">
        <x:f>IF(OR(M366="",N366="",N366&lt;M366),"",(N366-M366)*1440)</x:f>
      </x:c>
      <x:c r="AI366" s="87" t="str">
        <x:f>IF(OR(H366="",N366="",N366&lt;H366),"",(N366-H366)*1440)</x:f>
      </x:c>
      <x:c r="AJ366" s="87" t="str">
        <x:f>IF(OR(I366="",N366="",N366&lt;I366),"",(N366-I366)*1440)</x:f>
      </x:c>
      <x:c r="AK366" s="87" t="str">
        <x:f>IF(OR(N366="",O366="",O366&lt;N366),"",(O366-N366)*1440)</x:f>
      </x:c>
      <x:c r="AL366" s="87" t="str">
        <x:f>IF(OR(O366="",P366="",P366&lt;O366),"",(P366-O366)*1440)</x:f>
      </x:c>
      <x:c r="AM366" s="87" t="str">
        <x:f>IF(OR(Q366="",R366="",R366&lt;Q366),"",(R366-Q366)*1440)</x:f>
      </x:c>
      <x:c r="AN366" s="87" t="str">
        <x:f>IF(OR(S366="",T366="",T366&lt;S366),"",(T366-S366)*1440)</x:f>
      </x:c>
      <x:c r="AO366" s="87" t="str">
        <x:f>IF(OR(U366="",V366=""),"",V366-U366)</x:f>
      </x:c>
      <x:c r="AP366" s="63" t="str">
        <x:f>IF(A366="","",IF(OR(B366="",H366="",N366=""),"Incompleto",IF(N366&lt;H366,"Revisar",IF(OR(G366="",G366="Não observado"),"Qualidade E0 ausente",IF(OR(G366="Sensor",G366="Marcação física"),"Válido — E0 observado",IF(G366="Cálculo","Válido — E0 calculado","Válido — E0 estimado"))))))</x:f>
      </x:c>
      <x:c r="AQ366" s="63" t="str">
        <x:f>IF(A366="","",IF(COUNTA(H366:T366)&lt;13,"Incompleta",IF(OR(I366&lt;H366,J366&lt;I366,K366&lt;J366,L366&lt;K366,M366&lt;L366,N366&lt;M366,O366&lt;N366,P366&lt;O366,Q366&lt;P366,R366&lt;Q366,S366&lt;R366,T366&lt;S366),"Revisar","Completa")))</x:f>
      </x:c>
      <x:c r="AR366" s="87" t="str">
        <x:f>IF(OR(V366="",W366="",Y366=""),"",Y366-(V366-W366))</x:f>
      </x:c>
      <x:c r="AS366" s="63" t="str">
        <x:f>IF(A366="","",IF(AND(E366&lt;&gt;"",F366&lt;&gt;"",G366&lt;&gt;"",Z366&lt;&gt;"",AA366&lt;&gt;"",AB366&lt;&gt;"",AC366&lt;&gt;""),"Completa","Incompleta"))</x:f>
      </x:c>
      <x:c r="AT366" s="63" t="str">
        <x:f>IF(A366="","",IF(COUNTIF($A$11:$A$410,A366)&gt;1,"ID duplicado",IF(AND(AR366&lt;&gt;"",ABS(AR366)&gt;0.01),"Revisar balanço",IF(AND(W366&lt;&gt;"",V366&lt;&gt;"",W366&gt;V366),"Retirada &gt; estoque",IF(AND(U366&lt;&gt;"",U366&lt;'Cenário Base'!$D$8*'Cenário Base'!$D$74),"E0 abaixo do gatilho",IF(AND(V366&lt;&gt;"",V366&gt;XLOOKUP(B366,$A$414:$A$418,$B$414:$B$418)),"Excedeu capacidade","Sem alerta"))))))</x:f>
      </x:c>
    </x:row>
    <x:row r="367">
      <x:c r="A367" s="43"/>
      <x:c r="B367" s="43"/>
      <x:c r="C367" s="43"/>
      <x:c r="D367" s="43"/>
      <x:c r="E367" s="43"/>
      <x:c r="F367" s="43"/>
      <x:c r="G367" s="43"/>
      <x:c r="H367" s="120"/>
      <x:c r="I367" s="120"/>
      <x:c r="J367" s="120"/>
      <x:c r="K367" s="120"/>
      <x:c r="L367" s="120"/>
      <x:c r="M367" s="120"/>
      <x:c r="N367" s="120"/>
      <x:c r="O367" s="120"/>
      <x:c r="P367" s="120"/>
      <x:c r="Q367" s="120"/>
      <x:c r="R367" s="120"/>
      <x:c r="S367" s="120"/>
      <x:c r="T367" s="120"/>
      <x:c r="U367" s="48"/>
      <x:c r="V367" s="48"/>
      <x:c r="W367" s="48"/>
      <x:c r="X367" s="48"/>
      <x:c r="Y367" s="48"/>
      <x:c r="Z367" s="49"/>
      <x:c r="AA367" s="43"/>
      <x:c r="AB367" s="43"/>
      <x:c r="AC367" s="43"/>
      <x:c r="AD367" s="43"/>
      <x:c r="AE367" s="43"/>
      <x:c r="AF367" s="87" t="str">
        <x:f>IF(OR(H367="",I367="",I367&lt;H367),"",(I367-H367)*1440)</x:f>
      </x:c>
      <x:c r="AG367" s="87" t="str">
        <x:f>IF(OR(I367="",M367="",M367&lt;I367),"",(M367-I367)*1440)</x:f>
      </x:c>
      <x:c r="AH367" s="87" t="str">
        <x:f>IF(OR(M367="",N367="",N367&lt;M367),"",(N367-M367)*1440)</x:f>
      </x:c>
      <x:c r="AI367" s="87" t="str">
        <x:f>IF(OR(H367="",N367="",N367&lt;H367),"",(N367-H367)*1440)</x:f>
      </x:c>
      <x:c r="AJ367" s="87" t="str">
        <x:f>IF(OR(I367="",N367="",N367&lt;I367),"",(N367-I367)*1440)</x:f>
      </x:c>
      <x:c r="AK367" s="87" t="str">
        <x:f>IF(OR(N367="",O367="",O367&lt;N367),"",(O367-N367)*1440)</x:f>
      </x:c>
      <x:c r="AL367" s="87" t="str">
        <x:f>IF(OR(O367="",P367="",P367&lt;O367),"",(P367-O367)*1440)</x:f>
      </x:c>
      <x:c r="AM367" s="87" t="str">
        <x:f>IF(OR(Q367="",R367="",R367&lt;Q367),"",(R367-Q367)*1440)</x:f>
      </x:c>
      <x:c r="AN367" s="87" t="str">
        <x:f>IF(OR(S367="",T367="",T367&lt;S367),"",(T367-S367)*1440)</x:f>
      </x:c>
      <x:c r="AO367" s="87" t="str">
        <x:f>IF(OR(U367="",V367=""),"",V367-U367)</x:f>
      </x:c>
      <x:c r="AP367" s="63" t="str">
        <x:f>IF(A367="","",IF(OR(B367="",H367="",N367=""),"Incompleto",IF(N367&lt;H367,"Revisar",IF(OR(G367="",G367="Não observado"),"Qualidade E0 ausente",IF(OR(G367="Sensor",G367="Marcação física"),"Válido — E0 observado",IF(G367="Cálculo","Válido — E0 calculado","Válido — E0 estimado"))))))</x:f>
      </x:c>
      <x:c r="AQ367" s="63" t="str">
        <x:f>IF(A367="","",IF(COUNTA(H367:T367)&lt;13,"Incompleta",IF(OR(I367&lt;H367,J367&lt;I367,K367&lt;J367,L367&lt;K367,M367&lt;L367,N367&lt;M367,O367&lt;N367,P367&lt;O367,Q367&lt;P367,R367&lt;Q367,S367&lt;R367,T367&lt;S367),"Revisar","Completa")))</x:f>
      </x:c>
      <x:c r="AR367" s="87" t="str">
        <x:f>IF(OR(V367="",W367="",Y367=""),"",Y367-(V367-W367))</x:f>
      </x:c>
      <x:c r="AS367" s="63" t="str">
        <x:f>IF(A367="","",IF(AND(E367&lt;&gt;"",F367&lt;&gt;"",G367&lt;&gt;"",Z367&lt;&gt;"",AA367&lt;&gt;"",AB367&lt;&gt;"",AC367&lt;&gt;""),"Completa","Incompleta"))</x:f>
      </x:c>
      <x:c r="AT367" s="63" t="str">
        <x:f>IF(A367="","",IF(COUNTIF($A$11:$A$410,A367)&gt;1,"ID duplicado",IF(AND(AR367&lt;&gt;"",ABS(AR367)&gt;0.01),"Revisar balanço",IF(AND(W367&lt;&gt;"",V367&lt;&gt;"",W367&gt;V367),"Retirada &gt; estoque",IF(AND(U367&lt;&gt;"",U367&lt;'Cenário Base'!$D$8*'Cenário Base'!$D$74),"E0 abaixo do gatilho",IF(AND(V367&lt;&gt;"",V367&gt;XLOOKUP(B367,$A$414:$A$418,$B$414:$B$418)),"Excedeu capacidade","Sem alerta"))))))</x:f>
      </x:c>
    </x:row>
    <x:row r="368">
      <x:c r="A368" s="43"/>
      <x:c r="B368" s="43"/>
      <x:c r="C368" s="43"/>
      <x:c r="D368" s="43"/>
      <x:c r="E368" s="43"/>
      <x:c r="F368" s="43"/>
      <x:c r="G368" s="43"/>
      <x:c r="H368" s="120"/>
      <x:c r="I368" s="120"/>
      <x:c r="J368" s="120"/>
      <x:c r="K368" s="120"/>
      <x:c r="L368" s="120"/>
      <x:c r="M368" s="120"/>
      <x:c r="N368" s="120"/>
      <x:c r="O368" s="120"/>
      <x:c r="P368" s="120"/>
      <x:c r="Q368" s="120"/>
      <x:c r="R368" s="120"/>
      <x:c r="S368" s="120"/>
      <x:c r="T368" s="120"/>
      <x:c r="U368" s="48"/>
      <x:c r="V368" s="48"/>
      <x:c r="W368" s="48"/>
      <x:c r="X368" s="48"/>
      <x:c r="Y368" s="48"/>
      <x:c r="Z368" s="49"/>
      <x:c r="AA368" s="43"/>
      <x:c r="AB368" s="43"/>
      <x:c r="AC368" s="43"/>
      <x:c r="AD368" s="43"/>
      <x:c r="AE368" s="43"/>
      <x:c r="AF368" s="87" t="str">
        <x:f>IF(OR(H368="",I368="",I368&lt;H368),"",(I368-H368)*1440)</x:f>
      </x:c>
      <x:c r="AG368" s="87" t="str">
        <x:f>IF(OR(I368="",M368="",M368&lt;I368),"",(M368-I368)*1440)</x:f>
      </x:c>
      <x:c r="AH368" s="87" t="str">
        <x:f>IF(OR(M368="",N368="",N368&lt;M368),"",(N368-M368)*1440)</x:f>
      </x:c>
      <x:c r="AI368" s="87" t="str">
        <x:f>IF(OR(H368="",N368="",N368&lt;H368),"",(N368-H368)*1440)</x:f>
      </x:c>
      <x:c r="AJ368" s="87" t="str">
        <x:f>IF(OR(I368="",N368="",N368&lt;I368),"",(N368-I368)*1440)</x:f>
      </x:c>
      <x:c r="AK368" s="87" t="str">
        <x:f>IF(OR(N368="",O368="",O368&lt;N368),"",(O368-N368)*1440)</x:f>
      </x:c>
      <x:c r="AL368" s="87" t="str">
        <x:f>IF(OR(O368="",P368="",P368&lt;O368),"",(P368-O368)*1440)</x:f>
      </x:c>
      <x:c r="AM368" s="87" t="str">
        <x:f>IF(OR(Q368="",R368="",R368&lt;Q368),"",(R368-Q368)*1440)</x:f>
      </x:c>
      <x:c r="AN368" s="87" t="str">
        <x:f>IF(OR(S368="",T368="",T368&lt;S368),"",(T368-S368)*1440)</x:f>
      </x:c>
      <x:c r="AO368" s="87" t="str">
        <x:f>IF(OR(U368="",V368=""),"",V368-U368)</x:f>
      </x:c>
      <x:c r="AP368" s="63" t="str">
        <x:f>IF(A368="","",IF(OR(B368="",H368="",N368=""),"Incompleto",IF(N368&lt;H368,"Revisar",IF(OR(G368="",G368="Não observado"),"Qualidade E0 ausente",IF(OR(G368="Sensor",G368="Marcação física"),"Válido — E0 observado",IF(G368="Cálculo","Válido — E0 calculado","Válido — E0 estimado"))))))</x:f>
      </x:c>
      <x:c r="AQ368" s="63" t="str">
        <x:f>IF(A368="","",IF(COUNTA(H368:T368)&lt;13,"Incompleta",IF(OR(I368&lt;H368,J368&lt;I368,K368&lt;J368,L368&lt;K368,M368&lt;L368,N368&lt;M368,O368&lt;N368,P368&lt;O368,Q368&lt;P368,R368&lt;Q368,S368&lt;R368,T368&lt;S368),"Revisar","Completa")))</x:f>
      </x:c>
      <x:c r="AR368" s="87" t="str">
        <x:f>IF(OR(V368="",W368="",Y368=""),"",Y368-(V368-W368))</x:f>
      </x:c>
      <x:c r="AS368" s="63" t="str">
        <x:f>IF(A368="","",IF(AND(E368&lt;&gt;"",F368&lt;&gt;"",G368&lt;&gt;"",Z368&lt;&gt;"",AA368&lt;&gt;"",AB368&lt;&gt;"",AC368&lt;&gt;""),"Completa","Incompleta"))</x:f>
      </x:c>
      <x:c r="AT368" s="63" t="str">
        <x:f>IF(A368="","",IF(COUNTIF($A$11:$A$410,A368)&gt;1,"ID duplicado",IF(AND(AR368&lt;&gt;"",ABS(AR368)&gt;0.01),"Revisar balanço",IF(AND(W368&lt;&gt;"",V368&lt;&gt;"",W368&gt;V368),"Retirada &gt; estoque",IF(AND(U368&lt;&gt;"",U368&lt;'Cenário Base'!$D$8*'Cenário Base'!$D$74),"E0 abaixo do gatilho",IF(AND(V368&lt;&gt;"",V368&gt;XLOOKUP(B368,$A$414:$A$418,$B$414:$B$418)),"Excedeu capacidade","Sem alerta"))))))</x:f>
      </x:c>
    </x:row>
    <x:row r="369">
      <x:c r="A369" s="43"/>
      <x:c r="B369" s="43"/>
      <x:c r="C369" s="43"/>
      <x:c r="D369" s="43"/>
      <x:c r="E369" s="43"/>
      <x:c r="F369" s="43"/>
      <x:c r="G369" s="43"/>
      <x:c r="H369" s="120"/>
      <x:c r="I369" s="120"/>
      <x:c r="J369" s="120"/>
      <x:c r="K369" s="120"/>
      <x:c r="L369" s="120"/>
      <x:c r="M369" s="120"/>
      <x:c r="N369" s="120"/>
      <x:c r="O369" s="120"/>
      <x:c r="P369" s="120"/>
      <x:c r="Q369" s="120"/>
      <x:c r="R369" s="120"/>
      <x:c r="S369" s="120"/>
      <x:c r="T369" s="120"/>
      <x:c r="U369" s="48"/>
      <x:c r="V369" s="48"/>
      <x:c r="W369" s="48"/>
      <x:c r="X369" s="48"/>
      <x:c r="Y369" s="48"/>
      <x:c r="Z369" s="49"/>
      <x:c r="AA369" s="43"/>
      <x:c r="AB369" s="43"/>
      <x:c r="AC369" s="43"/>
      <x:c r="AD369" s="43"/>
      <x:c r="AE369" s="43"/>
      <x:c r="AF369" s="87" t="str">
        <x:f>IF(OR(H369="",I369="",I369&lt;H369),"",(I369-H369)*1440)</x:f>
      </x:c>
      <x:c r="AG369" s="87" t="str">
        <x:f>IF(OR(I369="",M369="",M369&lt;I369),"",(M369-I369)*1440)</x:f>
      </x:c>
      <x:c r="AH369" s="87" t="str">
        <x:f>IF(OR(M369="",N369="",N369&lt;M369),"",(N369-M369)*1440)</x:f>
      </x:c>
      <x:c r="AI369" s="87" t="str">
        <x:f>IF(OR(H369="",N369="",N369&lt;H369),"",(N369-H369)*1440)</x:f>
      </x:c>
      <x:c r="AJ369" s="87" t="str">
        <x:f>IF(OR(I369="",N369="",N369&lt;I369),"",(N369-I369)*1440)</x:f>
      </x:c>
      <x:c r="AK369" s="87" t="str">
        <x:f>IF(OR(N369="",O369="",O369&lt;N369),"",(O369-N369)*1440)</x:f>
      </x:c>
      <x:c r="AL369" s="87" t="str">
        <x:f>IF(OR(O369="",P369="",P369&lt;O369),"",(P369-O369)*1440)</x:f>
      </x:c>
      <x:c r="AM369" s="87" t="str">
        <x:f>IF(OR(Q369="",R369="",R369&lt;Q369),"",(R369-Q369)*1440)</x:f>
      </x:c>
      <x:c r="AN369" s="87" t="str">
        <x:f>IF(OR(S369="",T369="",T369&lt;S369),"",(T369-S369)*1440)</x:f>
      </x:c>
      <x:c r="AO369" s="87" t="str">
        <x:f>IF(OR(U369="",V369=""),"",V369-U369)</x:f>
      </x:c>
      <x:c r="AP369" s="63" t="str">
        <x:f>IF(A369="","",IF(OR(B369="",H369="",N369=""),"Incompleto",IF(N369&lt;H369,"Revisar",IF(OR(G369="",G369="Não observado"),"Qualidade E0 ausente",IF(OR(G369="Sensor",G369="Marcação física"),"Válido — E0 observado",IF(G369="Cálculo","Válido — E0 calculado","Válido — E0 estimado"))))))</x:f>
      </x:c>
      <x:c r="AQ369" s="63" t="str">
        <x:f>IF(A369="","",IF(COUNTA(H369:T369)&lt;13,"Incompleta",IF(OR(I369&lt;H369,J369&lt;I369,K369&lt;J369,L369&lt;K369,M369&lt;L369,N369&lt;M369,O369&lt;N369,P369&lt;O369,Q369&lt;P369,R369&lt;Q369,S369&lt;R369,T369&lt;S369),"Revisar","Completa")))</x:f>
      </x:c>
      <x:c r="AR369" s="87" t="str">
        <x:f>IF(OR(V369="",W369="",Y369=""),"",Y369-(V369-W369))</x:f>
      </x:c>
      <x:c r="AS369" s="63" t="str">
        <x:f>IF(A369="","",IF(AND(E369&lt;&gt;"",F369&lt;&gt;"",G369&lt;&gt;"",Z369&lt;&gt;"",AA369&lt;&gt;"",AB369&lt;&gt;"",AC369&lt;&gt;""),"Completa","Incompleta"))</x:f>
      </x:c>
      <x:c r="AT369" s="63" t="str">
        <x:f>IF(A369="","",IF(COUNTIF($A$11:$A$410,A369)&gt;1,"ID duplicado",IF(AND(AR369&lt;&gt;"",ABS(AR369)&gt;0.01),"Revisar balanço",IF(AND(W369&lt;&gt;"",V369&lt;&gt;"",W369&gt;V369),"Retirada &gt; estoque",IF(AND(U369&lt;&gt;"",U369&lt;'Cenário Base'!$D$8*'Cenário Base'!$D$74),"E0 abaixo do gatilho",IF(AND(V369&lt;&gt;"",V369&gt;XLOOKUP(B369,$A$414:$A$418,$B$414:$B$418)),"Excedeu capacidade","Sem alerta"))))))</x:f>
      </x:c>
    </x:row>
    <x:row r="370">
      <x:c r="A370" s="43"/>
      <x:c r="B370" s="43"/>
      <x:c r="C370" s="43"/>
      <x:c r="D370" s="43"/>
      <x:c r="E370" s="43"/>
      <x:c r="F370" s="43"/>
      <x:c r="G370" s="43"/>
      <x:c r="H370" s="120"/>
      <x:c r="I370" s="120"/>
      <x:c r="J370" s="120"/>
      <x:c r="K370" s="120"/>
      <x:c r="L370" s="120"/>
      <x:c r="M370" s="120"/>
      <x:c r="N370" s="120"/>
      <x:c r="O370" s="120"/>
      <x:c r="P370" s="120"/>
      <x:c r="Q370" s="120"/>
      <x:c r="R370" s="120"/>
      <x:c r="S370" s="120"/>
      <x:c r="T370" s="120"/>
      <x:c r="U370" s="48"/>
      <x:c r="V370" s="48"/>
      <x:c r="W370" s="48"/>
      <x:c r="X370" s="48"/>
      <x:c r="Y370" s="48"/>
      <x:c r="Z370" s="49"/>
      <x:c r="AA370" s="43"/>
      <x:c r="AB370" s="43"/>
      <x:c r="AC370" s="43"/>
      <x:c r="AD370" s="43"/>
      <x:c r="AE370" s="43"/>
      <x:c r="AF370" s="87" t="str">
        <x:f>IF(OR(H370="",I370="",I370&lt;H370),"",(I370-H370)*1440)</x:f>
      </x:c>
      <x:c r="AG370" s="87" t="str">
        <x:f>IF(OR(I370="",M370="",M370&lt;I370),"",(M370-I370)*1440)</x:f>
      </x:c>
      <x:c r="AH370" s="87" t="str">
        <x:f>IF(OR(M370="",N370="",N370&lt;M370),"",(N370-M370)*1440)</x:f>
      </x:c>
      <x:c r="AI370" s="87" t="str">
        <x:f>IF(OR(H370="",N370="",N370&lt;H370),"",(N370-H370)*1440)</x:f>
      </x:c>
      <x:c r="AJ370" s="87" t="str">
        <x:f>IF(OR(I370="",N370="",N370&lt;I370),"",(N370-I370)*1440)</x:f>
      </x:c>
      <x:c r="AK370" s="87" t="str">
        <x:f>IF(OR(N370="",O370="",O370&lt;N370),"",(O370-N370)*1440)</x:f>
      </x:c>
      <x:c r="AL370" s="87" t="str">
        <x:f>IF(OR(O370="",P370="",P370&lt;O370),"",(P370-O370)*1440)</x:f>
      </x:c>
      <x:c r="AM370" s="87" t="str">
        <x:f>IF(OR(Q370="",R370="",R370&lt;Q370),"",(R370-Q370)*1440)</x:f>
      </x:c>
      <x:c r="AN370" s="87" t="str">
        <x:f>IF(OR(S370="",T370="",T370&lt;S370),"",(T370-S370)*1440)</x:f>
      </x:c>
      <x:c r="AO370" s="87" t="str">
        <x:f>IF(OR(U370="",V370=""),"",V370-U370)</x:f>
      </x:c>
      <x:c r="AP370" s="63" t="str">
        <x:f>IF(A370="","",IF(OR(B370="",H370="",N370=""),"Incompleto",IF(N370&lt;H370,"Revisar",IF(OR(G370="",G370="Não observado"),"Qualidade E0 ausente",IF(OR(G370="Sensor",G370="Marcação física"),"Válido — E0 observado",IF(G370="Cálculo","Válido — E0 calculado","Válido — E0 estimado"))))))</x:f>
      </x:c>
      <x:c r="AQ370" s="63" t="str">
        <x:f>IF(A370="","",IF(COUNTA(H370:T370)&lt;13,"Incompleta",IF(OR(I370&lt;H370,J370&lt;I370,K370&lt;J370,L370&lt;K370,M370&lt;L370,N370&lt;M370,O370&lt;N370,P370&lt;O370,Q370&lt;P370,R370&lt;Q370,S370&lt;R370,T370&lt;S370),"Revisar","Completa")))</x:f>
      </x:c>
      <x:c r="AR370" s="87" t="str">
        <x:f>IF(OR(V370="",W370="",Y370=""),"",Y370-(V370-W370))</x:f>
      </x:c>
      <x:c r="AS370" s="63" t="str">
        <x:f>IF(A370="","",IF(AND(E370&lt;&gt;"",F370&lt;&gt;"",G370&lt;&gt;"",Z370&lt;&gt;"",AA370&lt;&gt;"",AB370&lt;&gt;"",AC370&lt;&gt;""),"Completa","Incompleta"))</x:f>
      </x:c>
      <x:c r="AT370" s="63" t="str">
        <x:f>IF(A370="","",IF(COUNTIF($A$11:$A$410,A370)&gt;1,"ID duplicado",IF(AND(AR370&lt;&gt;"",ABS(AR370)&gt;0.01),"Revisar balanço",IF(AND(W370&lt;&gt;"",V370&lt;&gt;"",W370&gt;V370),"Retirada &gt; estoque",IF(AND(U370&lt;&gt;"",U370&lt;'Cenário Base'!$D$8*'Cenário Base'!$D$74),"E0 abaixo do gatilho",IF(AND(V370&lt;&gt;"",V370&gt;XLOOKUP(B370,$A$414:$A$418,$B$414:$B$418)),"Excedeu capacidade","Sem alerta"))))))</x:f>
      </x:c>
    </x:row>
    <x:row r="371">
      <x:c r="A371" s="43"/>
      <x:c r="B371" s="43"/>
      <x:c r="C371" s="43"/>
      <x:c r="D371" s="43"/>
      <x:c r="E371" s="43"/>
      <x:c r="F371" s="43"/>
      <x:c r="G371" s="43"/>
      <x:c r="H371" s="120"/>
      <x:c r="I371" s="120"/>
      <x:c r="J371" s="120"/>
      <x:c r="K371" s="120"/>
      <x:c r="L371" s="120"/>
      <x:c r="M371" s="120"/>
      <x:c r="N371" s="120"/>
      <x:c r="O371" s="120"/>
      <x:c r="P371" s="120"/>
      <x:c r="Q371" s="120"/>
      <x:c r="R371" s="120"/>
      <x:c r="S371" s="120"/>
      <x:c r="T371" s="120"/>
      <x:c r="U371" s="48"/>
      <x:c r="V371" s="48"/>
      <x:c r="W371" s="48"/>
      <x:c r="X371" s="48"/>
      <x:c r="Y371" s="48"/>
      <x:c r="Z371" s="49"/>
      <x:c r="AA371" s="43"/>
      <x:c r="AB371" s="43"/>
      <x:c r="AC371" s="43"/>
      <x:c r="AD371" s="43"/>
      <x:c r="AE371" s="43"/>
      <x:c r="AF371" s="87" t="str">
        <x:f>IF(OR(H371="",I371="",I371&lt;H371),"",(I371-H371)*1440)</x:f>
      </x:c>
      <x:c r="AG371" s="87" t="str">
        <x:f>IF(OR(I371="",M371="",M371&lt;I371),"",(M371-I371)*1440)</x:f>
      </x:c>
      <x:c r="AH371" s="87" t="str">
        <x:f>IF(OR(M371="",N371="",N371&lt;M371),"",(N371-M371)*1440)</x:f>
      </x:c>
      <x:c r="AI371" s="87" t="str">
        <x:f>IF(OR(H371="",N371="",N371&lt;H371),"",(N371-H371)*1440)</x:f>
      </x:c>
      <x:c r="AJ371" s="87" t="str">
        <x:f>IF(OR(I371="",N371="",N371&lt;I371),"",(N371-I371)*1440)</x:f>
      </x:c>
      <x:c r="AK371" s="87" t="str">
        <x:f>IF(OR(N371="",O371="",O371&lt;N371),"",(O371-N371)*1440)</x:f>
      </x:c>
      <x:c r="AL371" s="87" t="str">
        <x:f>IF(OR(O371="",P371="",P371&lt;O371),"",(P371-O371)*1440)</x:f>
      </x:c>
      <x:c r="AM371" s="87" t="str">
        <x:f>IF(OR(Q371="",R371="",R371&lt;Q371),"",(R371-Q371)*1440)</x:f>
      </x:c>
      <x:c r="AN371" s="87" t="str">
        <x:f>IF(OR(S371="",T371="",T371&lt;S371),"",(T371-S371)*1440)</x:f>
      </x:c>
      <x:c r="AO371" s="87" t="str">
        <x:f>IF(OR(U371="",V371=""),"",V371-U371)</x:f>
      </x:c>
      <x:c r="AP371" s="63" t="str">
        <x:f>IF(A371="","",IF(OR(B371="",H371="",N371=""),"Incompleto",IF(N371&lt;H371,"Revisar",IF(OR(G371="",G371="Não observado"),"Qualidade E0 ausente",IF(OR(G371="Sensor",G371="Marcação física"),"Válido — E0 observado",IF(G371="Cálculo","Válido — E0 calculado","Válido — E0 estimado"))))))</x:f>
      </x:c>
      <x:c r="AQ371" s="63" t="str">
        <x:f>IF(A371="","",IF(COUNTA(H371:T371)&lt;13,"Incompleta",IF(OR(I371&lt;H371,J371&lt;I371,K371&lt;J371,L371&lt;K371,M371&lt;L371,N371&lt;M371,O371&lt;N371,P371&lt;O371,Q371&lt;P371,R371&lt;Q371,S371&lt;R371,T371&lt;S371),"Revisar","Completa")))</x:f>
      </x:c>
      <x:c r="AR371" s="87" t="str">
        <x:f>IF(OR(V371="",W371="",Y371=""),"",Y371-(V371-W371))</x:f>
      </x:c>
      <x:c r="AS371" s="63" t="str">
        <x:f>IF(A371="","",IF(AND(E371&lt;&gt;"",F371&lt;&gt;"",G371&lt;&gt;"",Z371&lt;&gt;"",AA371&lt;&gt;"",AB371&lt;&gt;"",AC371&lt;&gt;""),"Completa","Incompleta"))</x:f>
      </x:c>
      <x:c r="AT371" s="63" t="str">
        <x:f>IF(A371="","",IF(COUNTIF($A$11:$A$410,A371)&gt;1,"ID duplicado",IF(AND(AR371&lt;&gt;"",ABS(AR371)&gt;0.01),"Revisar balanço",IF(AND(W371&lt;&gt;"",V371&lt;&gt;"",W371&gt;V371),"Retirada &gt; estoque",IF(AND(U371&lt;&gt;"",U371&lt;'Cenário Base'!$D$8*'Cenário Base'!$D$74),"E0 abaixo do gatilho",IF(AND(V371&lt;&gt;"",V371&gt;XLOOKUP(B371,$A$414:$A$418,$B$414:$B$418)),"Excedeu capacidade","Sem alerta"))))))</x:f>
      </x:c>
    </x:row>
    <x:row r="372">
      <x:c r="A372" s="43"/>
      <x:c r="B372" s="43"/>
      <x:c r="C372" s="43"/>
      <x:c r="D372" s="43"/>
      <x:c r="E372" s="43"/>
      <x:c r="F372" s="43"/>
      <x:c r="G372" s="43"/>
      <x:c r="H372" s="120"/>
      <x:c r="I372" s="120"/>
      <x:c r="J372" s="120"/>
      <x:c r="K372" s="120"/>
      <x:c r="L372" s="120"/>
      <x:c r="M372" s="120"/>
      <x:c r="N372" s="120"/>
      <x:c r="O372" s="120"/>
      <x:c r="P372" s="120"/>
      <x:c r="Q372" s="120"/>
      <x:c r="R372" s="120"/>
      <x:c r="S372" s="120"/>
      <x:c r="T372" s="120"/>
      <x:c r="U372" s="48"/>
      <x:c r="V372" s="48"/>
      <x:c r="W372" s="48"/>
      <x:c r="X372" s="48"/>
      <x:c r="Y372" s="48"/>
      <x:c r="Z372" s="49"/>
      <x:c r="AA372" s="43"/>
      <x:c r="AB372" s="43"/>
      <x:c r="AC372" s="43"/>
      <x:c r="AD372" s="43"/>
      <x:c r="AE372" s="43"/>
      <x:c r="AF372" s="87" t="str">
        <x:f>IF(OR(H372="",I372="",I372&lt;H372),"",(I372-H372)*1440)</x:f>
      </x:c>
      <x:c r="AG372" s="87" t="str">
        <x:f>IF(OR(I372="",M372="",M372&lt;I372),"",(M372-I372)*1440)</x:f>
      </x:c>
      <x:c r="AH372" s="87" t="str">
        <x:f>IF(OR(M372="",N372="",N372&lt;M372),"",(N372-M372)*1440)</x:f>
      </x:c>
      <x:c r="AI372" s="87" t="str">
        <x:f>IF(OR(H372="",N372="",N372&lt;H372),"",(N372-H372)*1440)</x:f>
      </x:c>
      <x:c r="AJ372" s="87" t="str">
        <x:f>IF(OR(I372="",N372="",N372&lt;I372),"",(N372-I372)*1440)</x:f>
      </x:c>
      <x:c r="AK372" s="87" t="str">
        <x:f>IF(OR(N372="",O372="",O372&lt;N372),"",(O372-N372)*1440)</x:f>
      </x:c>
      <x:c r="AL372" s="87" t="str">
        <x:f>IF(OR(O372="",P372="",P372&lt;O372),"",(P372-O372)*1440)</x:f>
      </x:c>
      <x:c r="AM372" s="87" t="str">
        <x:f>IF(OR(Q372="",R372="",R372&lt;Q372),"",(R372-Q372)*1440)</x:f>
      </x:c>
      <x:c r="AN372" s="87" t="str">
        <x:f>IF(OR(S372="",T372="",T372&lt;S372),"",(T372-S372)*1440)</x:f>
      </x:c>
      <x:c r="AO372" s="87" t="str">
        <x:f>IF(OR(U372="",V372=""),"",V372-U372)</x:f>
      </x:c>
      <x:c r="AP372" s="63" t="str">
        <x:f>IF(A372="","",IF(OR(B372="",H372="",N372=""),"Incompleto",IF(N372&lt;H372,"Revisar",IF(OR(G372="",G372="Não observado"),"Qualidade E0 ausente",IF(OR(G372="Sensor",G372="Marcação física"),"Válido — E0 observado",IF(G372="Cálculo","Válido — E0 calculado","Válido — E0 estimado"))))))</x:f>
      </x:c>
      <x:c r="AQ372" s="63" t="str">
        <x:f>IF(A372="","",IF(COUNTA(H372:T372)&lt;13,"Incompleta",IF(OR(I372&lt;H372,J372&lt;I372,K372&lt;J372,L372&lt;K372,M372&lt;L372,N372&lt;M372,O372&lt;N372,P372&lt;O372,Q372&lt;P372,R372&lt;Q372,S372&lt;R372,T372&lt;S372),"Revisar","Completa")))</x:f>
      </x:c>
      <x:c r="AR372" s="87" t="str">
        <x:f>IF(OR(V372="",W372="",Y372=""),"",Y372-(V372-W372))</x:f>
      </x:c>
      <x:c r="AS372" s="63" t="str">
        <x:f>IF(A372="","",IF(AND(E372&lt;&gt;"",F372&lt;&gt;"",G372&lt;&gt;"",Z372&lt;&gt;"",AA372&lt;&gt;"",AB372&lt;&gt;"",AC372&lt;&gt;""),"Completa","Incompleta"))</x:f>
      </x:c>
      <x:c r="AT372" s="63" t="str">
        <x:f>IF(A372="","",IF(COUNTIF($A$11:$A$410,A372)&gt;1,"ID duplicado",IF(AND(AR372&lt;&gt;"",ABS(AR372)&gt;0.01),"Revisar balanço",IF(AND(W372&lt;&gt;"",V372&lt;&gt;"",W372&gt;V372),"Retirada &gt; estoque",IF(AND(U372&lt;&gt;"",U372&lt;'Cenário Base'!$D$8*'Cenário Base'!$D$74),"E0 abaixo do gatilho",IF(AND(V372&lt;&gt;"",V372&gt;XLOOKUP(B372,$A$414:$A$418,$B$414:$B$418)),"Excedeu capacidade","Sem alerta"))))))</x:f>
      </x:c>
    </x:row>
    <x:row r="373">
      <x:c r="A373" s="43"/>
      <x:c r="B373" s="43"/>
      <x:c r="C373" s="43"/>
      <x:c r="D373" s="43"/>
      <x:c r="E373" s="43"/>
      <x:c r="F373" s="43"/>
      <x:c r="G373" s="43"/>
      <x:c r="H373" s="120"/>
      <x:c r="I373" s="120"/>
      <x:c r="J373" s="120"/>
      <x:c r="K373" s="120"/>
      <x:c r="L373" s="120"/>
      <x:c r="M373" s="120"/>
      <x:c r="N373" s="120"/>
      <x:c r="O373" s="120"/>
      <x:c r="P373" s="120"/>
      <x:c r="Q373" s="120"/>
      <x:c r="R373" s="120"/>
      <x:c r="S373" s="120"/>
      <x:c r="T373" s="120"/>
      <x:c r="U373" s="48"/>
      <x:c r="V373" s="48"/>
      <x:c r="W373" s="48"/>
      <x:c r="X373" s="48"/>
      <x:c r="Y373" s="48"/>
      <x:c r="Z373" s="49"/>
      <x:c r="AA373" s="43"/>
      <x:c r="AB373" s="43"/>
      <x:c r="AC373" s="43"/>
      <x:c r="AD373" s="43"/>
      <x:c r="AE373" s="43"/>
      <x:c r="AF373" s="87" t="str">
        <x:f>IF(OR(H373="",I373="",I373&lt;H373),"",(I373-H373)*1440)</x:f>
      </x:c>
      <x:c r="AG373" s="87" t="str">
        <x:f>IF(OR(I373="",M373="",M373&lt;I373),"",(M373-I373)*1440)</x:f>
      </x:c>
      <x:c r="AH373" s="87" t="str">
        <x:f>IF(OR(M373="",N373="",N373&lt;M373),"",(N373-M373)*1440)</x:f>
      </x:c>
      <x:c r="AI373" s="87" t="str">
        <x:f>IF(OR(H373="",N373="",N373&lt;H373),"",(N373-H373)*1440)</x:f>
      </x:c>
      <x:c r="AJ373" s="87" t="str">
        <x:f>IF(OR(I373="",N373="",N373&lt;I373),"",(N373-I373)*1440)</x:f>
      </x:c>
      <x:c r="AK373" s="87" t="str">
        <x:f>IF(OR(N373="",O373="",O373&lt;N373),"",(O373-N373)*1440)</x:f>
      </x:c>
      <x:c r="AL373" s="87" t="str">
        <x:f>IF(OR(O373="",P373="",P373&lt;O373),"",(P373-O373)*1440)</x:f>
      </x:c>
      <x:c r="AM373" s="87" t="str">
        <x:f>IF(OR(Q373="",R373="",R373&lt;Q373),"",(R373-Q373)*1440)</x:f>
      </x:c>
      <x:c r="AN373" s="87" t="str">
        <x:f>IF(OR(S373="",T373="",T373&lt;S373),"",(T373-S373)*1440)</x:f>
      </x:c>
      <x:c r="AO373" s="87" t="str">
        <x:f>IF(OR(U373="",V373=""),"",V373-U373)</x:f>
      </x:c>
      <x:c r="AP373" s="63" t="str">
        <x:f>IF(A373="","",IF(OR(B373="",H373="",N373=""),"Incompleto",IF(N373&lt;H373,"Revisar",IF(OR(G373="",G373="Não observado"),"Qualidade E0 ausente",IF(OR(G373="Sensor",G373="Marcação física"),"Válido — E0 observado",IF(G373="Cálculo","Válido — E0 calculado","Válido — E0 estimado"))))))</x:f>
      </x:c>
      <x:c r="AQ373" s="63" t="str">
        <x:f>IF(A373="","",IF(COUNTA(H373:T373)&lt;13,"Incompleta",IF(OR(I373&lt;H373,J373&lt;I373,K373&lt;J373,L373&lt;K373,M373&lt;L373,N373&lt;M373,O373&lt;N373,P373&lt;O373,Q373&lt;P373,R373&lt;Q373,S373&lt;R373,T373&lt;S373),"Revisar","Completa")))</x:f>
      </x:c>
      <x:c r="AR373" s="87" t="str">
        <x:f>IF(OR(V373="",W373="",Y373=""),"",Y373-(V373-W373))</x:f>
      </x:c>
      <x:c r="AS373" s="63" t="str">
        <x:f>IF(A373="","",IF(AND(E373&lt;&gt;"",F373&lt;&gt;"",G373&lt;&gt;"",Z373&lt;&gt;"",AA373&lt;&gt;"",AB373&lt;&gt;"",AC373&lt;&gt;""),"Completa","Incompleta"))</x:f>
      </x:c>
      <x:c r="AT373" s="63" t="str">
        <x:f>IF(A373="","",IF(COUNTIF($A$11:$A$410,A373)&gt;1,"ID duplicado",IF(AND(AR373&lt;&gt;"",ABS(AR373)&gt;0.01),"Revisar balanço",IF(AND(W373&lt;&gt;"",V373&lt;&gt;"",W373&gt;V373),"Retirada &gt; estoque",IF(AND(U373&lt;&gt;"",U373&lt;'Cenário Base'!$D$8*'Cenário Base'!$D$74),"E0 abaixo do gatilho",IF(AND(V373&lt;&gt;"",V373&gt;XLOOKUP(B373,$A$414:$A$418,$B$414:$B$418)),"Excedeu capacidade","Sem alerta"))))))</x:f>
      </x:c>
    </x:row>
    <x:row r="374">
      <x:c r="A374" s="43"/>
      <x:c r="B374" s="43"/>
      <x:c r="C374" s="43"/>
      <x:c r="D374" s="43"/>
      <x:c r="E374" s="43"/>
      <x:c r="F374" s="43"/>
      <x:c r="G374" s="43"/>
      <x:c r="H374" s="120"/>
      <x:c r="I374" s="120"/>
      <x:c r="J374" s="120"/>
      <x:c r="K374" s="120"/>
      <x:c r="L374" s="120"/>
      <x:c r="M374" s="120"/>
      <x:c r="N374" s="120"/>
      <x:c r="O374" s="120"/>
      <x:c r="P374" s="120"/>
      <x:c r="Q374" s="120"/>
      <x:c r="R374" s="120"/>
      <x:c r="S374" s="120"/>
      <x:c r="T374" s="120"/>
      <x:c r="U374" s="48"/>
      <x:c r="V374" s="48"/>
      <x:c r="W374" s="48"/>
      <x:c r="X374" s="48"/>
      <x:c r="Y374" s="48"/>
      <x:c r="Z374" s="49"/>
      <x:c r="AA374" s="43"/>
      <x:c r="AB374" s="43"/>
      <x:c r="AC374" s="43"/>
      <x:c r="AD374" s="43"/>
      <x:c r="AE374" s="43"/>
      <x:c r="AF374" s="87" t="str">
        <x:f>IF(OR(H374="",I374="",I374&lt;H374),"",(I374-H374)*1440)</x:f>
      </x:c>
      <x:c r="AG374" s="87" t="str">
        <x:f>IF(OR(I374="",M374="",M374&lt;I374),"",(M374-I374)*1440)</x:f>
      </x:c>
      <x:c r="AH374" s="87" t="str">
        <x:f>IF(OR(M374="",N374="",N374&lt;M374),"",(N374-M374)*1440)</x:f>
      </x:c>
      <x:c r="AI374" s="87" t="str">
        <x:f>IF(OR(H374="",N374="",N374&lt;H374),"",(N374-H374)*1440)</x:f>
      </x:c>
      <x:c r="AJ374" s="87" t="str">
        <x:f>IF(OR(I374="",N374="",N374&lt;I374),"",(N374-I374)*1440)</x:f>
      </x:c>
      <x:c r="AK374" s="87" t="str">
        <x:f>IF(OR(N374="",O374="",O374&lt;N374),"",(O374-N374)*1440)</x:f>
      </x:c>
      <x:c r="AL374" s="87" t="str">
        <x:f>IF(OR(O374="",P374="",P374&lt;O374),"",(P374-O374)*1440)</x:f>
      </x:c>
      <x:c r="AM374" s="87" t="str">
        <x:f>IF(OR(Q374="",R374="",R374&lt;Q374),"",(R374-Q374)*1440)</x:f>
      </x:c>
      <x:c r="AN374" s="87" t="str">
        <x:f>IF(OR(S374="",T374="",T374&lt;S374),"",(T374-S374)*1440)</x:f>
      </x:c>
      <x:c r="AO374" s="87" t="str">
        <x:f>IF(OR(U374="",V374=""),"",V374-U374)</x:f>
      </x:c>
      <x:c r="AP374" s="63" t="str">
        <x:f>IF(A374="","",IF(OR(B374="",H374="",N374=""),"Incompleto",IF(N374&lt;H374,"Revisar",IF(OR(G374="",G374="Não observado"),"Qualidade E0 ausente",IF(OR(G374="Sensor",G374="Marcação física"),"Válido — E0 observado",IF(G374="Cálculo","Válido — E0 calculado","Válido — E0 estimado"))))))</x:f>
      </x:c>
      <x:c r="AQ374" s="63" t="str">
        <x:f>IF(A374="","",IF(COUNTA(H374:T374)&lt;13,"Incompleta",IF(OR(I374&lt;H374,J374&lt;I374,K374&lt;J374,L374&lt;K374,M374&lt;L374,N374&lt;M374,O374&lt;N374,P374&lt;O374,Q374&lt;P374,R374&lt;Q374,S374&lt;R374,T374&lt;S374),"Revisar","Completa")))</x:f>
      </x:c>
      <x:c r="AR374" s="87" t="str">
        <x:f>IF(OR(V374="",W374="",Y374=""),"",Y374-(V374-W374))</x:f>
      </x:c>
      <x:c r="AS374" s="63" t="str">
        <x:f>IF(A374="","",IF(AND(E374&lt;&gt;"",F374&lt;&gt;"",G374&lt;&gt;"",Z374&lt;&gt;"",AA374&lt;&gt;"",AB374&lt;&gt;"",AC374&lt;&gt;""),"Completa","Incompleta"))</x:f>
      </x:c>
      <x:c r="AT374" s="63" t="str">
        <x:f>IF(A374="","",IF(COUNTIF($A$11:$A$410,A374)&gt;1,"ID duplicado",IF(AND(AR374&lt;&gt;"",ABS(AR374)&gt;0.01),"Revisar balanço",IF(AND(W374&lt;&gt;"",V374&lt;&gt;"",W374&gt;V374),"Retirada &gt; estoque",IF(AND(U374&lt;&gt;"",U374&lt;'Cenário Base'!$D$8*'Cenário Base'!$D$74),"E0 abaixo do gatilho",IF(AND(V374&lt;&gt;"",V374&gt;XLOOKUP(B374,$A$414:$A$418,$B$414:$B$418)),"Excedeu capacidade","Sem alerta"))))))</x:f>
      </x:c>
    </x:row>
    <x:row r="375">
      <x:c r="A375" s="43"/>
      <x:c r="B375" s="43"/>
      <x:c r="C375" s="43"/>
      <x:c r="D375" s="43"/>
      <x:c r="E375" s="43"/>
      <x:c r="F375" s="43"/>
      <x:c r="G375" s="43"/>
      <x:c r="H375" s="120"/>
      <x:c r="I375" s="120"/>
      <x:c r="J375" s="120"/>
      <x:c r="K375" s="120"/>
      <x:c r="L375" s="120"/>
      <x:c r="M375" s="120"/>
      <x:c r="N375" s="120"/>
      <x:c r="O375" s="120"/>
      <x:c r="P375" s="120"/>
      <x:c r="Q375" s="120"/>
      <x:c r="R375" s="120"/>
      <x:c r="S375" s="120"/>
      <x:c r="T375" s="120"/>
      <x:c r="U375" s="48"/>
      <x:c r="V375" s="48"/>
      <x:c r="W375" s="48"/>
      <x:c r="X375" s="48"/>
      <x:c r="Y375" s="48"/>
      <x:c r="Z375" s="49"/>
      <x:c r="AA375" s="43"/>
      <x:c r="AB375" s="43"/>
      <x:c r="AC375" s="43"/>
      <x:c r="AD375" s="43"/>
      <x:c r="AE375" s="43"/>
      <x:c r="AF375" s="87" t="str">
        <x:f>IF(OR(H375="",I375="",I375&lt;H375),"",(I375-H375)*1440)</x:f>
      </x:c>
      <x:c r="AG375" s="87" t="str">
        <x:f>IF(OR(I375="",M375="",M375&lt;I375),"",(M375-I375)*1440)</x:f>
      </x:c>
      <x:c r="AH375" s="87" t="str">
        <x:f>IF(OR(M375="",N375="",N375&lt;M375),"",(N375-M375)*1440)</x:f>
      </x:c>
      <x:c r="AI375" s="87" t="str">
        <x:f>IF(OR(H375="",N375="",N375&lt;H375),"",(N375-H375)*1440)</x:f>
      </x:c>
      <x:c r="AJ375" s="87" t="str">
        <x:f>IF(OR(I375="",N375="",N375&lt;I375),"",(N375-I375)*1440)</x:f>
      </x:c>
      <x:c r="AK375" s="87" t="str">
        <x:f>IF(OR(N375="",O375="",O375&lt;N375),"",(O375-N375)*1440)</x:f>
      </x:c>
      <x:c r="AL375" s="87" t="str">
        <x:f>IF(OR(O375="",P375="",P375&lt;O375),"",(P375-O375)*1440)</x:f>
      </x:c>
      <x:c r="AM375" s="87" t="str">
        <x:f>IF(OR(Q375="",R375="",R375&lt;Q375),"",(R375-Q375)*1440)</x:f>
      </x:c>
      <x:c r="AN375" s="87" t="str">
        <x:f>IF(OR(S375="",T375="",T375&lt;S375),"",(T375-S375)*1440)</x:f>
      </x:c>
      <x:c r="AO375" s="87" t="str">
        <x:f>IF(OR(U375="",V375=""),"",V375-U375)</x:f>
      </x:c>
      <x:c r="AP375" s="63" t="str">
        <x:f>IF(A375="","",IF(OR(B375="",H375="",N375=""),"Incompleto",IF(N375&lt;H375,"Revisar",IF(OR(G375="",G375="Não observado"),"Qualidade E0 ausente",IF(OR(G375="Sensor",G375="Marcação física"),"Válido — E0 observado",IF(G375="Cálculo","Válido — E0 calculado","Válido — E0 estimado"))))))</x:f>
      </x:c>
      <x:c r="AQ375" s="63" t="str">
        <x:f>IF(A375="","",IF(COUNTA(H375:T375)&lt;13,"Incompleta",IF(OR(I375&lt;H375,J375&lt;I375,K375&lt;J375,L375&lt;K375,M375&lt;L375,N375&lt;M375,O375&lt;N375,P375&lt;O375,Q375&lt;P375,R375&lt;Q375,S375&lt;R375,T375&lt;S375),"Revisar","Completa")))</x:f>
      </x:c>
      <x:c r="AR375" s="87" t="str">
        <x:f>IF(OR(V375="",W375="",Y375=""),"",Y375-(V375-W375))</x:f>
      </x:c>
      <x:c r="AS375" s="63" t="str">
        <x:f>IF(A375="","",IF(AND(E375&lt;&gt;"",F375&lt;&gt;"",G375&lt;&gt;"",Z375&lt;&gt;"",AA375&lt;&gt;"",AB375&lt;&gt;"",AC375&lt;&gt;""),"Completa","Incompleta"))</x:f>
      </x:c>
      <x:c r="AT375" s="63" t="str">
        <x:f>IF(A375="","",IF(COUNTIF($A$11:$A$410,A375)&gt;1,"ID duplicado",IF(AND(AR375&lt;&gt;"",ABS(AR375)&gt;0.01),"Revisar balanço",IF(AND(W375&lt;&gt;"",V375&lt;&gt;"",W375&gt;V375),"Retirada &gt; estoque",IF(AND(U375&lt;&gt;"",U375&lt;'Cenário Base'!$D$8*'Cenário Base'!$D$74),"E0 abaixo do gatilho",IF(AND(V375&lt;&gt;"",V375&gt;XLOOKUP(B375,$A$414:$A$418,$B$414:$B$418)),"Excedeu capacidade","Sem alerta"))))))</x:f>
      </x:c>
    </x:row>
    <x:row r="376">
      <x:c r="A376" s="43"/>
      <x:c r="B376" s="43"/>
      <x:c r="C376" s="43"/>
      <x:c r="D376" s="43"/>
      <x:c r="E376" s="43"/>
      <x:c r="F376" s="43"/>
      <x:c r="G376" s="43"/>
      <x:c r="H376" s="120"/>
      <x:c r="I376" s="120"/>
      <x:c r="J376" s="120"/>
      <x:c r="K376" s="120"/>
      <x:c r="L376" s="120"/>
      <x:c r="M376" s="120"/>
      <x:c r="N376" s="120"/>
      <x:c r="O376" s="120"/>
      <x:c r="P376" s="120"/>
      <x:c r="Q376" s="120"/>
      <x:c r="R376" s="120"/>
      <x:c r="S376" s="120"/>
      <x:c r="T376" s="120"/>
      <x:c r="U376" s="48"/>
      <x:c r="V376" s="48"/>
      <x:c r="W376" s="48"/>
      <x:c r="X376" s="48"/>
      <x:c r="Y376" s="48"/>
      <x:c r="Z376" s="49"/>
      <x:c r="AA376" s="43"/>
      <x:c r="AB376" s="43"/>
      <x:c r="AC376" s="43"/>
      <x:c r="AD376" s="43"/>
      <x:c r="AE376" s="43"/>
      <x:c r="AF376" s="87" t="str">
        <x:f>IF(OR(H376="",I376="",I376&lt;H376),"",(I376-H376)*1440)</x:f>
      </x:c>
      <x:c r="AG376" s="87" t="str">
        <x:f>IF(OR(I376="",M376="",M376&lt;I376),"",(M376-I376)*1440)</x:f>
      </x:c>
      <x:c r="AH376" s="87" t="str">
        <x:f>IF(OR(M376="",N376="",N376&lt;M376),"",(N376-M376)*1440)</x:f>
      </x:c>
      <x:c r="AI376" s="87" t="str">
        <x:f>IF(OR(H376="",N376="",N376&lt;H376),"",(N376-H376)*1440)</x:f>
      </x:c>
      <x:c r="AJ376" s="87" t="str">
        <x:f>IF(OR(I376="",N376="",N376&lt;I376),"",(N376-I376)*1440)</x:f>
      </x:c>
      <x:c r="AK376" s="87" t="str">
        <x:f>IF(OR(N376="",O376="",O376&lt;N376),"",(O376-N376)*1440)</x:f>
      </x:c>
      <x:c r="AL376" s="87" t="str">
        <x:f>IF(OR(O376="",P376="",P376&lt;O376),"",(P376-O376)*1440)</x:f>
      </x:c>
      <x:c r="AM376" s="87" t="str">
        <x:f>IF(OR(Q376="",R376="",R376&lt;Q376),"",(R376-Q376)*1440)</x:f>
      </x:c>
      <x:c r="AN376" s="87" t="str">
        <x:f>IF(OR(S376="",T376="",T376&lt;S376),"",(T376-S376)*1440)</x:f>
      </x:c>
      <x:c r="AO376" s="87" t="str">
        <x:f>IF(OR(U376="",V376=""),"",V376-U376)</x:f>
      </x:c>
      <x:c r="AP376" s="63" t="str">
        <x:f>IF(A376="","",IF(OR(B376="",H376="",N376=""),"Incompleto",IF(N376&lt;H376,"Revisar",IF(OR(G376="",G376="Não observado"),"Qualidade E0 ausente",IF(OR(G376="Sensor",G376="Marcação física"),"Válido — E0 observado",IF(G376="Cálculo","Válido — E0 calculado","Válido — E0 estimado"))))))</x:f>
      </x:c>
      <x:c r="AQ376" s="63" t="str">
        <x:f>IF(A376="","",IF(COUNTA(H376:T376)&lt;13,"Incompleta",IF(OR(I376&lt;H376,J376&lt;I376,K376&lt;J376,L376&lt;K376,M376&lt;L376,N376&lt;M376,O376&lt;N376,P376&lt;O376,Q376&lt;P376,R376&lt;Q376,S376&lt;R376,T376&lt;S376),"Revisar","Completa")))</x:f>
      </x:c>
      <x:c r="AR376" s="87" t="str">
        <x:f>IF(OR(V376="",W376="",Y376=""),"",Y376-(V376-W376))</x:f>
      </x:c>
      <x:c r="AS376" s="63" t="str">
        <x:f>IF(A376="","",IF(AND(E376&lt;&gt;"",F376&lt;&gt;"",G376&lt;&gt;"",Z376&lt;&gt;"",AA376&lt;&gt;"",AB376&lt;&gt;"",AC376&lt;&gt;""),"Completa","Incompleta"))</x:f>
      </x:c>
      <x:c r="AT376" s="63" t="str">
        <x:f>IF(A376="","",IF(COUNTIF($A$11:$A$410,A376)&gt;1,"ID duplicado",IF(AND(AR376&lt;&gt;"",ABS(AR376)&gt;0.01),"Revisar balanço",IF(AND(W376&lt;&gt;"",V376&lt;&gt;"",W376&gt;V376),"Retirada &gt; estoque",IF(AND(U376&lt;&gt;"",U376&lt;'Cenário Base'!$D$8*'Cenário Base'!$D$74),"E0 abaixo do gatilho",IF(AND(V376&lt;&gt;"",V376&gt;XLOOKUP(B376,$A$414:$A$418,$B$414:$B$418)),"Excedeu capacidade","Sem alerta"))))))</x:f>
      </x:c>
    </x:row>
    <x:row r="377">
      <x:c r="A377" s="43"/>
      <x:c r="B377" s="43"/>
      <x:c r="C377" s="43"/>
      <x:c r="D377" s="43"/>
      <x:c r="E377" s="43"/>
      <x:c r="F377" s="43"/>
      <x:c r="G377" s="43"/>
      <x:c r="H377" s="120"/>
      <x:c r="I377" s="120"/>
      <x:c r="J377" s="120"/>
      <x:c r="K377" s="120"/>
      <x:c r="L377" s="120"/>
      <x:c r="M377" s="120"/>
      <x:c r="N377" s="120"/>
      <x:c r="O377" s="120"/>
      <x:c r="P377" s="120"/>
      <x:c r="Q377" s="120"/>
      <x:c r="R377" s="120"/>
      <x:c r="S377" s="120"/>
      <x:c r="T377" s="120"/>
      <x:c r="U377" s="48"/>
      <x:c r="V377" s="48"/>
      <x:c r="W377" s="48"/>
      <x:c r="X377" s="48"/>
      <x:c r="Y377" s="48"/>
      <x:c r="Z377" s="49"/>
      <x:c r="AA377" s="43"/>
      <x:c r="AB377" s="43"/>
      <x:c r="AC377" s="43"/>
      <x:c r="AD377" s="43"/>
      <x:c r="AE377" s="43"/>
      <x:c r="AF377" s="87" t="str">
        <x:f>IF(OR(H377="",I377="",I377&lt;H377),"",(I377-H377)*1440)</x:f>
      </x:c>
      <x:c r="AG377" s="87" t="str">
        <x:f>IF(OR(I377="",M377="",M377&lt;I377),"",(M377-I377)*1440)</x:f>
      </x:c>
      <x:c r="AH377" s="87" t="str">
        <x:f>IF(OR(M377="",N377="",N377&lt;M377),"",(N377-M377)*1440)</x:f>
      </x:c>
      <x:c r="AI377" s="87" t="str">
        <x:f>IF(OR(H377="",N377="",N377&lt;H377),"",(N377-H377)*1440)</x:f>
      </x:c>
      <x:c r="AJ377" s="87" t="str">
        <x:f>IF(OR(I377="",N377="",N377&lt;I377),"",(N377-I377)*1440)</x:f>
      </x:c>
      <x:c r="AK377" s="87" t="str">
        <x:f>IF(OR(N377="",O377="",O377&lt;N377),"",(O377-N377)*1440)</x:f>
      </x:c>
      <x:c r="AL377" s="87" t="str">
        <x:f>IF(OR(O377="",P377="",P377&lt;O377),"",(P377-O377)*1440)</x:f>
      </x:c>
      <x:c r="AM377" s="87" t="str">
        <x:f>IF(OR(Q377="",R377="",R377&lt;Q377),"",(R377-Q377)*1440)</x:f>
      </x:c>
      <x:c r="AN377" s="87" t="str">
        <x:f>IF(OR(S377="",T377="",T377&lt;S377),"",(T377-S377)*1440)</x:f>
      </x:c>
      <x:c r="AO377" s="87" t="str">
        <x:f>IF(OR(U377="",V377=""),"",V377-U377)</x:f>
      </x:c>
      <x:c r="AP377" s="63" t="str">
        <x:f>IF(A377="","",IF(OR(B377="",H377="",N377=""),"Incompleto",IF(N377&lt;H377,"Revisar",IF(OR(G377="",G377="Não observado"),"Qualidade E0 ausente",IF(OR(G377="Sensor",G377="Marcação física"),"Válido — E0 observado",IF(G377="Cálculo","Válido — E0 calculado","Válido — E0 estimado"))))))</x:f>
      </x:c>
      <x:c r="AQ377" s="63" t="str">
        <x:f>IF(A377="","",IF(COUNTA(H377:T377)&lt;13,"Incompleta",IF(OR(I377&lt;H377,J377&lt;I377,K377&lt;J377,L377&lt;K377,M377&lt;L377,N377&lt;M377,O377&lt;N377,P377&lt;O377,Q377&lt;P377,R377&lt;Q377,S377&lt;R377,T377&lt;S377),"Revisar","Completa")))</x:f>
      </x:c>
      <x:c r="AR377" s="87" t="str">
        <x:f>IF(OR(V377="",W377="",Y377=""),"",Y377-(V377-W377))</x:f>
      </x:c>
      <x:c r="AS377" s="63" t="str">
        <x:f>IF(A377="","",IF(AND(E377&lt;&gt;"",F377&lt;&gt;"",G377&lt;&gt;"",Z377&lt;&gt;"",AA377&lt;&gt;"",AB377&lt;&gt;"",AC377&lt;&gt;""),"Completa","Incompleta"))</x:f>
      </x:c>
      <x:c r="AT377" s="63" t="str">
        <x:f>IF(A377="","",IF(COUNTIF($A$11:$A$410,A377)&gt;1,"ID duplicado",IF(AND(AR377&lt;&gt;"",ABS(AR377)&gt;0.01),"Revisar balanço",IF(AND(W377&lt;&gt;"",V377&lt;&gt;"",W377&gt;V377),"Retirada &gt; estoque",IF(AND(U377&lt;&gt;"",U377&lt;'Cenário Base'!$D$8*'Cenário Base'!$D$74),"E0 abaixo do gatilho",IF(AND(V377&lt;&gt;"",V377&gt;XLOOKUP(B377,$A$414:$A$418,$B$414:$B$418)),"Excedeu capacidade","Sem alerta"))))))</x:f>
      </x:c>
    </x:row>
    <x:row r="378">
      <x:c r="A378" s="43"/>
      <x:c r="B378" s="43"/>
      <x:c r="C378" s="43"/>
      <x:c r="D378" s="43"/>
      <x:c r="E378" s="43"/>
      <x:c r="F378" s="43"/>
      <x:c r="G378" s="43"/>
      <x:c r="H378" s="120"/>
      <x:c r="I378" s="120"/>
      <x:c r="J378" s="120"/>
      <x:c r="K378" s="120"/>
      <x:c r="L378" s="120"/>
      <x:c r="M378" s="120"/>
      <x:c r="N378" s="120"/>
      <x:c r="O378" s="120"/>
      <x:c r="P378" s="120"/>
      <x:c r="Q378" s="120"/>
      <x:c r="R378" s="120"/>
      <x:c r="S378" s="120"/>
      <x:c r="T378" s="120"/>
      <x:c r="U378" s="48"/>
      <x:c r="V378" s="48"/>
      <x:c r="W378" s="48"/>
      <x:c r="X378" s="48"/>
      <x:c r="Y378" s="48"/>
      <x:c r="Z378" s="49"/>
      <x:c r="AA378" s="43"/>
      <x:c r="AB378" s="43"/>
      <x:c r="AC378" s="43"/>
      <x:c r="AD378" s="43"/>
      <x:c r="AE378" s="43"/>
      <x:c r="AF378" s="87" t="str">
        <x:f>IF(OR(H378="",I378="",I378&lt;H378),"",(I378-H378)*1440)</x:f>
      </x:c>
      <x:c r="AG378" s="87" t="str">
        <x:f>IF(OR(I378="",M378="",M378&lt;I378),"",(M378-I378)*1440)</x:f>
      </x:c>
      <x:c r="AH378" s="87" t="str">
        <x:f>IF(OR(M378="",N378="",N378&lt;M378),"",(N378-M378)*1440)</x:f>
      </x:c>
      <x:c r="AI378" s="87" t="str">
        <x:f>IF(OR(H378="",N378="",N378&lt;H378),"",(N378-H378)*1440)</x:f>
      </x:c>
      <x:c r="AJ378" s="87" t="str">
        <x:f>IF(OR(I378="",N378="",N378&lt;I378),"",(N378-I378)*1440)</x:f>
      </x:c>
      <x:c r="AK378" s="87" t="str">
        <x:f>IF(OR(N378="",O378="",O378&lt;N378),"",(O378-N378)*1440)</x:f>
      </x:c>
      <x:c r="AL378" s="87" t="str">
        <x:f>IF(OR(O378="",P378="",P378&lt;O378),"",(P378-O378)*1440)</x:f>
      </x:c>
      <x:c r="AM378" s="87" t="str">
        <x:f>IF(OR(Q378="",R378="",R378&lt;Q378),"",(R378-Q378)*1440)</x:f>
      </x:c>
      <x:c r="AN378" s="87" t="str">
        <x:f>IF(OR(S378="",T378="",T378&lt;S378),"",(T378-S378)*1440)</x:f>
      </x:c>
      <x:c r="AO378" s="87" t="str">
        <x:f>IF(OR(U378="",V378=""),"",V378-U378)</x:f>
      </x:c>
      <x:c r="AP378" s="63" t="str">
        <x:f>IF(A378="","",IF(OR(B378="",H378="",N378=""),"Incompleto",IF(N378&lt;H378,"Revisar",IF(OR(G378="",G378="Não observado"),"Qualidade E0 ausente",IF(OR(G378="Sensor",G378="Marcação física"),"Válido — E0 observado",IF(G378="Cálculo","Válido — E0 calculado","Válido — E0 estimado"))))))</x:f>
      </x:c>
      <x:c r="AQ378" s="63" t="str">
        <x:f>IF(A378="","",IF(COUNTA(H378:T378)&lt;13,"Incompleta",IF(OR(I378&lt;H378,J378&lt;I378,K378&lt;J378,L378&lt;K378,M378&lt;L378,N378&lt;M378,O378&lt;N378,P378&lt;O378,Q378&lt;P378,R378&lt;Q378,S378&lt;R378,T378&lt;S378),"Revisar","Completa")))</x:f>
      </x:c>
      <x:c r="AR378" s="87" t="str">
        <x:f>IF(OR(V378="",W378="",Y378=""),"",Y378-(V378-W378))</x:f>
      </x:c>
      <x:c r="AS378" s="63" t="str">
        <x:f>IF(A378="","",IF(AND(E378&lt;&gt;"",F378&lt;&gt;"",G378&lt;&gt;"",Z378&lt;&gt;"",AA378&lt;&gt;"",AB378&lt;&gt;"",AC378&lt;&gt;""),"Completa","Incompleta"))</x:f>
      </x:c>
      <x:c r="AT378" s="63" t="str">
        <x:f>IF(A378="","",IF(COUNTIF($A$11:$A$410,A378)&gt;1,"ID duplicado",IF(AND(AR378&lt;&gt;"",ABS(AR378)&gt;0.01),"Revisar balanço",IF(AND(W378&lt;&gt;"",V378&lt;&gt;"",W378&gt;V378),"Retirada &gt; estoque",IF(AND(U378&lt;&gt;"",U378&lt;'Cenário Base'!$D$8*'Cenário Base'!$D$74),"E0 abaixo do gatilho",IF(AND(V378&lt;&gt;"",V378&gt;XLOOKUP(B378,$A$414:$A$418,$B$414:$B$418)),"Excedeu capacidade","Sem alerta"))))))</x:f>
      </x:c>
    </x:row>
    <x:row r="379">
      <x:c r="A379" s="43"/>
      <x:c r="B379" s="43"/>
      <x:c r="C379" s="43"/>
      <x:c r="D379" s="43"/>
      <x:c r="E379" s="43"/>
      <x:c r="F379" s="43"/>
      <x:c r="G379" s="43"/>
      <x:c r="H379" s="120"/>
      <x:c r="I379" s="120"/>
      <x:c r="J379" s="120"/>
      <x:c r="K379" s="120"/>
      <x:c r="L379" s="120"/>
      <x:c r="M379" s="120"/>
      <x:c r="N379" s="120"/>
      <x:c r="O379" s="120"/>
      <x:c r="P379" s="120"/>
      <x:c r="Q379" s="120"/>
      <x:c r="R379" s="120"/>
      <x:c r="S379" s="120"/>
      <x:c r="T379" s="120"/>
      <x:c r="U379" s="48"/>
      <x:c r="V379" s="48"/>
      <x:c r="W379" s="48"/>
      <x:c r="X379" s="48"/>
      <x:c r="Y379" s="48"/>
      <x:c r="Z379" s="49"/>
      <x:c r="AA379" s="43"/>
      <x:c r="AB379" s="43"/>
      <x:c r="AC379" s="43"/>
      <x:c r="AD379" s="43"/>
      <x:c r="AE379" s="43"/>
      <x:c r="AF379" s="87" t="str">
        <x:f>IF(OR(H379="",I379="",I379&lt;H379),"",(I379-H379)*1440)</x:f>
      </x:c>
      <x:c r="AG379" s="87" t="str">
        <x:f>IF(OR(I379="",M379="",M379&lt;I379),"",(M379-I379)*1440)</x:f>
      </x:c>
      <x:c r="AH379" s="87" t="str">
        <x:f>IF(OR(M379="",N379="",N379&lt;M379),"",(N379-M379)*1440)</x:f>
      </x:c>
      <x:c r="AI379" s="87" t="str">
        <x:f>IF(OR(H379="",N379="",N379&lt;H379),"",(N379-H379)*1440)</x:f>
      </x:c>
      <x:c r="AJ379" s="87" t="str">
        <x:f>IF(OR(I379="",N379="",N379&lt;I379),"",(N379-I379)*1440)</x:f>
      </x:c>
      <x:c r="AK379" s="87" t="str">
        <x:f>IF(OR(N379="",O379="",O379&lt;N379),"",(O379-N379)*1440)</x:f>
      </x:c>
      <x:c r="AL379" s="87" t="str">
        <x:f>IF(OR(O379="",P379="",P379&lt;O379),"",(P379-O379)*1440)</x:f>
      </x:c>
      <x:c r="AM379" s="87" t="str">
        <x:f>IF(OR(Q379="",R379="",R379&lt;Q379),"",(R379-Q379)*1440)</x:f>
      </x:c>
      <x:c r="AN379" s="87" t="str">
        <x:f>IF(OR(S379="",T379="",T379&lt;S379),"",(T379-S379)*1440)</x:f>
      </x:c>
      <x:c r="AO379" s="87" t="str">
        <x:f>IF(OR(U379="",V379=""),"",V379-U379)</x:f>
      </x:c>
      <x:c r="AP379" s="63" t="str">
        <x:f>IF(A379="","",IF(OR(B379="",H379="",N379=""),"Incompleto",IF(N379&lt;H379,"Revisar",IF(OR(G379="",G379="Não observado"),"Qualidade E0 ausente",IF(OR(G379="Sensor",G379="Marcação física"),"Válido — E0 observado",IF(G379="Cálculo","Válido — E0 calculado","Válido — E0 estimado"))))))</x:f>
      </x:c>
      <x:c r="AQ379" s="63" t="str">
        <x:f>IF(A379="","",IF(COUNTA(H379:T379)&lt;13,"Incompleta",IF(OR(I379&lt;H379,J379&lt;I379,K379&lt;J379,L379&lt;K379,M379&lt;L379,N379&lt;M379,O379&lt;N379,P379&lt;O379,Q379&lt;P379,R379&lt;Q379,S379&lt;R379,T379&lt;S379),"Revisar","Completa")))</x:f>
      </x:c>
      <x:c r="AR379" s="87" t="str">
        <x:f>IF(OR(V379="",W379="",Y379=""),"",Y379-(V379-W379))</x:f>
      </x:c>
      <x:c r="AS379" s="63" t="str">
        <x:f>IF(A379="","",IF(AND(E379&lt;&gt;"",F379&lt;&gt;"",G379&lt;&gt;"",Z379&lt;&gt;"",AA379&lt;&gt;"",AB379&lt;&gt;"",AC379&lt;&gt;""),"Completa","Incompleta"))</x:f>
      </x:c>
      <x:c r="AT379" s="63" t="str">
        <x:f>IF(A379="","",IF(COUNTIF($A$11:$A$410,A379)&gt;1,"ID duplicado",IF(AND(AR379&lt;&gt;"",ABS(AR379)&gt;0.01),"Revisar balanço",IF(AND(W379&lt;&gt;"",V379&lt;&gt;"",W379&gt;V379),"Retirada &gt; estoque",IF(AND(U379&lt;&gt;"",U379&lt;'Cenário Base'!$D$8*'Cenário Base'!$D$74),"E0 abaixo do gatilho",IF(AND(V379&lt;&gt;"",V379&gt;XLOOKUP(B379,$A$414:$A$418,$B$414:$B$418)),"Excedeu capacidade","Sem alerta"))))))</x:f>
      </x:c>
    </x:row>
    <x:row r="380">
      <x:c r="A380" s="43"/>
      <x:c r="B380" s="43"/>
      <x:c r="C380" s="43"/>
      <x:c r="D380" s="43"/>
      <x:c r="E380" s="43"/>
      <x:c r="F380" s="43"/>
      <x:c r="G380" s="43"/>
      <x:c r="H380" s="120"/>
      <x:c r="I380" s="120"/>
      <x:c r="J380" s="120"/>
      <x:c r="K380" s="120"/>
      <x:c r="L380" s="120"/>
      <x:c r="M380" s="120"/>
      <x:c r="N380" s="120"/>
      <x:c r="O380" s="120"/>
      <x:c r="P380" s="120"/>
      <x:c r="Q380" s="120"/>
      <x:c r="R380" s="120"/>
      <x:c r="S380" s="120"/>
      <x:c r="T380" s="120"/>
      <x:c r="U380" s="48"/>
      <x:c r="V380" s="48"/>
      <x:c r="W380" s="48"/>
      <x:c r="X380" s="48"/>
      <x:c r="Y380" s="48"/>
      <x:c r="Z380" s="49"/>
      <x:c r="AA380" s="43"/>
      <x:c r="AB380" s="43"/>
      <x:c r="AC380" s="43"/>
      <x:c r="AD380" s="43"/>
      <x:c r="AE380" s="43"/>
      <x:c r="AF380" s="87" t="str">
        <x:f>IF(OR(H380="",I380="",I380&lt;H380),"",(I380-H380)*1440)</x:f>
      </x:c>
      <x:c r="AG380" s="87" t="str">
        <x:f>IF(OR(I380="",M380="",M380&lt;I380),"",(M380-I380)*1440)</x:f>
      </x:c>
      <x:c r="AH380" s="87" t="str">
        <x:f>IF(OR(M380="",N380="",N380&lt;M380),"",(N380-M380)*1440)</x:f>
      </x:c>
      <x:c r="AI380" s="87" t="str">
        <x:f>IF(OR(H380="",N380="",N380&lt;H380),"",(N380-H380)*1440)</x:f>
      </x:c>
      <x:c r="AJ380" s="87" t="str">
        <x:f>IF(OR(I380="",N380="",N380&lt;I380),"",(N380-I380)*1440)</x:f>
      </x:c>
      <x:c r="AK380" s="87" t="str">
        <x:f>IF(OR(N380="",O380="",O380&lt;N380),"",(O380-N380)*1440)</x:f>
      </x:c>
      <x:c r="AL380" s="87" t="str">
        <x:f>IF(OR(O380="",P380="",P380&lt;O380),"",(P380-O380)*1440)</x:f>
      </x:c>
      <x:c r="AM380" s="87" t="str">
        <x:f>IF(OR(Q380="",R380="",R380&lt;Q380),"",(R380-Q380)*1440)</x:f>
      </x:c>
      <x:c r="AN380" s="87" t="str">
        <x:f>IF(OR(S380="",T380="",T380&lt;S380),"",(T380-S380)*1440)</x:f>
      </x:c>
      <x:c r="AO380" s="87" t="str">
        <x:f>IF(OR(U380="",V380=""),"",V380-U380)</x:f>
      </x:c>
      <x:c r="AP380" s="63" t="str">
        <x:f>IF(A380="","",IF(OR(B380="",H380="",N380=""),"Incompleto",IF(N380&lt;H380,"Revisar",IF(OR(G380="",G380="Não observado"),"Qualidade E0 ausente",IF(OR(G380="Sensor",G380="Marcação física"),"Válido — E0 observado",IF(G380="Cálculo","Válido — E0 calculado","Válido — E0 estimado"))))))</x:f>
      </x:c>
      <x:c r="AQ380" s="63" t="str">
        <x:f>IF(A380="","",IF(COUNTA(H380:T380)&lt;13,"Incompleta",IF(OR(I380&lt;H380,J380&lt;I380,K380&lt;J380,L380&lt;K380,M380&lt;L380,N380&lt;M380,O380&lt;N380,P380&lt;O380,Q380&lt;P380,R380&lt;Q380,S380&lt;R380,T380&lt;S380),"Revisar","Completa")))</x:f>
      </x:c>
      <x:c r="AR380" s="87" t="str">
        <x:f>IF(OR(V380="",W380="",Y380=""),"",Y380-(V380-W380))</x:f>
      </x:c>
      <x:c r="AS380" s="63" t="str">
        <x:f>IF(A380="","",IF(AND(E380&lt;&gt;"",F380&lt;&gt;"",G380&lt;&gt;"",Z380&lt;&gt;"",AA380&lt;&gt;"",AB380&lt;&gt;"",AC380&lt;&gt;""),"Completa","Incompleta"))</x:f>
      </x:c>
      <x:c r="AT380" s="63" t="str">
        <x:f>IF(A380="","",IF(COUNTIF($A$11:$A$410,A380)&gt;1,"ID duplicado",IF(AND(AR380&lt;&gt;"",ABS(AR380)&gt;0.01),"Revisar balanço",IF(AND(W380&lt;&gt;"",V380&lt;&gt;"",W380&gt;V380),"Retirada &gt; estoque",IF(AND(U380&lt;&gt;"",U380&lt;'Cenário Base'!$D$8*'Cenário Base'!$D$74),"E0 abaixo do gatilho",IF(AND(V380&lt;&gt;"",V380&gt;XLOOKUP(B380,$A$414:$A$418,$B$414:$B$418)),"Excedeu capacidade","Sem alerta"))))))</x:f>
      </x:c>
    </x:row>
    <x:row r="381">
      <x:c r="A381" s="43"/>
      <x:c r="B381" s="43"/>
      <x:c r="C381" s="43"/>
      <x:c r="D381" s="43"/>
      <x:c r="E381" s="43"/>
      <x:c r="F381" s="43"/>
      <x:c r="G381" s="43"/>
      <x:c r="H381" s="120"/>
      <x:c r="I381" s="120"/>
      <x:c r="J381" s="120"/>
      <x:c r="K381" s="120"/>
      <x:c r="L381" s="120"/>
      <x:c r="M381" s="120"/>
      <x:c r="N381" s="120"/>
      <x:c r="O381" s="120"/>
      <x:c r="P381" s="120"/>
      <x:c r="Q381" s="120"/>
      <x:c r="R381" s="120"/>
      <x:c r="S381" s="120"/>
      <x:c r="T381" s="120"/>
      <x:c r="U381" s="48"/>
      <x:c r="V381" s="48"/>
      <x:c r="W381" s="48"/>
      <x:c r="X381" s="48"/>
      <x:c r="Y381" s="48"/>
      <x:c r="Z381" s="49"/>
      <x:c r="AA381" s="43"/>
      <x:c r="AB381" s="43"/>
      <x:c r="AC381" s="43"/>
      <x:c r="AD381" s="43"/>
      <x:c r="AE381" s="43"/>
      <x:c r="AF381" s="87" t="str">
        <x:f>IF(OR(H381="",I381="",I381&lt;H381),"",(I381-H381)*1440)</x:f>
      </x:c>
      <x:c r="AG381" s="87" t="str">
        <x:f>IF(OR(I381="",M381="",M381&lt;I381),"",(M381-I381)*1440)</x:f>
      </x:c>
      <x:c r="AH381" s="87" t="str">
        <x:f>IF(OR(M381="",N381="",N381&lt;M381),"",(N381-M381)*1440)</x:f>
      </x:c>
      <x:c r="AI381" s="87" t="str">
        <x:f>IF(OR(H381="",N381="",N381&lt;H381),"",(N381-H381)*1440)</x:f>
      </x:c>
      <x:c r="AJ381" s="87" t="str">
        <x:f>IF(OR(I381="",N381="",N381&lt;I381),"",(N381-I381)*1440)</x:f>
      </x:c>
      <x:c r="AK381" s="87" t="str">
        <x:f>IF(OR(N381="",O381="",O381&lt;N381),"",(O381-N381)*1440)</x:f>
      </x:c>
      <x:c r="AL381" s="87" t="str">
        <x:f>IF(OR(O381="",P381="",P381&lt;O381),"",(P381-O381)*1440)</x:f>
      </x:c>
      <x:c r="AM381" s="87" t="str">
        <x:f>IF(OR(Q381="",R381="",R381&lt;Q381),"",(R381-Q381)*1440)</x:f>
      </x:c>
      <x:c r="AN381" s="87" t="str">
        <x:f>IF(OR(S381="",T381="",T381&lt;S381),"",(T381-S381)*1440)</x:f>
      </x:c>
      <x:c r="AO381" s="87" t="str">
        <x:f>IF(OR(U381="",V381=""),"",V381-U381)</x:f>
      </x:c>
      <x:c r="AP381" s="63" t="str">
        <x:f>IF(A381="","",IF(OR(B381="",H381="",N381=""),"Incompleto",IF(N381&lt;H381,"Revisar",IF(OR(G381="",G381="Não observado"),"Qualidade E0 ausente",IF(OR(G381="Sensor",G381="Marcação física"),"Válido — E0 observado",IF(G381="Cálculo","Válido — E0 calculado","Válido — E0 estimado"))))))</x:f>
      </x:c>
      <x:c r="AQ381" s="63" t="str">
        <x:f>IF(A381="","",IF(COUNTA(H381:T381)&lt;13,"Incompleta",IF(OR(I381&lt;H381,J381&lt;I381,K381&lt;J381,L381&lt;K381,M381&lt;L381,N381&lt;M381,O381&lt;N381,P381&lt;O381,Q381&lt;P381,R381&lt;Q381,S381&lt;R381,T381&lt;S381),"Revisar","Completa")))</x:f>
      </x:c>
      <x:c r="AR381" s="87" t="str">
        <x:f>IF(OR(V381="",W381="",Y381=""),"",Y381-(V381-W381))</x:f>
      </x:c>
      <x:c r="AS381" s="63" t="str">
        <x:f>IF(A381="","",IF(AND(E381&lt;&gt;"",F381&lt;&gt;"",G381&lt;&gt;"",Z381&lt;&gt;"",AA381&lt;&gt;"",AB381&lt;&gt;"",AC381&lt;&gt;""),"Completa","Incompleta"))</x:f>
      </x:c>
      <x:c r="AT381" s="63" t="str">
        <x:f>IF(A381="","",IF(COUNTIF($A$11:$A$410,A381)&gt;1,"ID duplicado",IF(AND(AR381&lt;&gt;"",ABS(AR381)&gt;0.01),"Revisar balanço",IF(AND(W381&lt;&gt;"",V381&lt;&gt;"",W381&gt;V381),"Retirada &gt; estoque",IF(AND(U381&lt;&gt;"",U381&lt;'Cenário Base'!$D$8*'Cenário Base'!$D$74),"E0 abaixo do gatilho",IF(AND(V381&lt;&gt;"",V381&gt;XLOOKUP(B381,$A$414:$A$418,$B$414:$B$418)),"Excedeu capacidade","Sem alerta"))))))</x:f>
      </x:c>
    </x:row>
    <x:row r="382">
      <x:c r="A382" s="43"/>
      <x:c r="B382" s="43"/>
      <x:c r="C382" s="43"/>
      <x:c r="D382" s="43"/>
      <x:c r="E382" s="43"/>
      <x:c r="F382" s="43"/>
      <x:c r="G382" s="43"/>
      <x:c r="H382" s="120"/>
      <x:c r="I382" s="120"/>
      <x:c r="J382" s="120"/>
      <x:c r="K382" s="120"/>
      <x:c r="L382" s="120"/>
      <x:c r="M382" s="120"/>
      <x:c r="N382" s="120"/>
      <x:c r="O382" s="120"/>
      <x:c r="P382" s="120"/>
      <x:c r="Q382" s="120"/>
      <x:c r="R382" s="120"/>
      <x:c r="S382" s="120"/>
      <x:c r="T382" s="120"/>
      <x:c r="U382" s="48"/>
      <x:c r="V382" s="48"/>
      <x:c r="W382" s="48"/>
      <x:c r="X382" s="48"/>
      <x:c r="Y382" s="48"/>
      <x:c r="Z382" s="49"/>
      <x:c r="AA382" s="43"/>
      <x:c r="AB382" s="43"/>
      <x:c r="AC382" s="43"/>
      <x:c r="AD382" s="43"/>
      <x:c r="AE382" s="43"/>
      <x:c r="AF382" s="87" t="str">
        <x:f>IF(OR(H382="",I382="",I382&lt;H382),"",(I382-H382)*1440)</x:f>
      </x:c>
      <x:c r="AG382" s="87" t="str">
        <x:f>IF(OR(I382="",M382="",M382&lt;I382),"",(M382-I382)*1440)</x:f>
      </x:c>
      <x:c r="AH382" s="87" t="str">
        <x:f>IF(OR(M382="",N382="",N382&lt;M382),"",(N382-M382)*1440)</x:f>
      </x:c>
      <x:c r="AI382" s="87" t="str">
        <x:f>IF(OR(H382="",N382="",N382&lt;H382),"",(N382-H382)*1440)</x:f>
      </x:c>
      <x:c r="AJ382" s="87" t="str">
        <x:f>IF(OR(I382="",N382="",N382&lt;I382),"",(N382-I382)*1440)</x:f>
      </x:c>
      <x:c r="AK382" s="87" t="str">
        <x:f>IF(OR(N382="",O382="",O382&lt;N382),"",(O382-N382)*1440)</x:f>
      </x:c>
      <x:c r="AL382" s="87" t="str">
        <x:f>IF(OR(O382="",P382="",P382&lt;O382),"",(P382-O382)*1440)</x:f>
      </x:c>
      <x:c r="AM382" s="87" t="str">
        <x:f>IF(OR(Q382="",R382="",R382&lt;Q382),"",(R382-Q382)*1440)</x:f>
      </x:c>
      <x:c r="AN382" s="87" t="str">
        <x:f>IF(OR(S382="",T382="",T382&lt;S382),"",(T382-S382)*1440)</x:f>
      </x:c>
      <x:c r="AO382" s="87" t="str">
        <x:f>IF(OR(U382="",V382=""),"",V382-U382)</x:f>
      </x:c>
      <x:c r="AP382" s="63" t="str">
        <x:f>IF(A382="","",IF(OR(B382="",H382="",N382=""),"Incompleto",IF(N382&lt;H382,"Revisar",IF(OR(G382="",G382="Não observado"),"Qualidade E0 ausente",IF(OR(G382="Sensor",G382="Marcação física"),"Válido — E0 observado",IF(G382="Cálculo","Válido — E0 calculado","Válido — E0 estimado"))))))</x:f>
      </x:c>
      <x:c r="AQ382" s="63" t="str">
        <x:f>IF(A382="","",IF(COUNTA(H382:T382)&lt;13,"Incompleta",IF(OR(I382&lt;H382,J382&lt;I382,K382&lt;J382,L382&lt;K382,M382&lt;L382,N382&lt;M382,O382&lt;N382,P382&lt;O382,Q382&lt;P382,R382&lt;Q382,S382&lt;R382,T382&lt;S382),"Revisar","Completa")))</x:f>
      </x:c>
      <x:c r="AR382" s="87" t="str">
        <x:f>IF(OR(V382="",W382="",Y382=""),"",Y382-(V382-W382))</x:f>
      </x:c>
      <x:c r="AS382" s="63" t="str">
        <x:f>IF(A382="","",IF(AND(E382&lt;&gt;"",F382&lt;&gt;"",G382&lt;&gt;"",Z382&lt;&gt;"",AA382&lt;&gt;"",AB382&lt;&gt;"",AC382&lt;&gt;""),"Completa","Incompleta"))</x:f>
      </x:c>
      <x:c r="AT382" s="63" t="str">
        <x:f>IF(A382="","",IF(COUNTIF($A$11:$A$410,A382)&gt;1,"ID duplicado",IF(AND(AR382&lt;&gt;"",ABS(AR382)&gt;0.01),"Revisar balanço",IF(AND(W382&lt;&gt;"",V382&lt;&gt;"",W382&gt;V382),"Retirada &gt; estoque",IF(AND(U382&lt;&gt;"",U382&lt;'Cenário Base'!$D$8*'Cenário Base'!$D$74),"E0 abaixo do gatilho",IF(AND(V382&lt;&gt;"",V382&gt;XLOOKUP(B382,$A$414:$A$418,$B$414:$B$418)),"Excedeu capacidade","Sem alerta"))))))</x:f>
      </x:c>
    </x:row>
    <x:row r="383">
      <x:c r="A383" s="43"/>
      <x:c r="B383" s="43"/>
      <x:c r="C383" s="43"/>
      <x:c r="D383" s="43"/>
      <x:c r="E383" s="43"/>
      <x:c r="F383" s="43"/>
      <x:c r="G383" s="43"/>
      <x:c r="H383" s="120"/>
      <x:c r="I383" s="120"/>
      <x:c r="J383" s="120"/>
      <x:c r="K383" s="120"/>
      <x:c r="L383" s="120"/>
      <x:c r="M383" s="120"/>
      <x:c r="N383" s="120"/>
      <x:c r="O383" s="120"/>
      <x:c r="P383" s="120"/>
      <x:c r="Q383" s="120"/>
      <x:c r="R383" s="120"/>
      <x:c r="S383" s="120"/>
      <x:c r="T383" s="120"/>
      <x:c r="U383" s="48"/>
      <x:c r="V383" s="48"/>
      <x:c r="W383" s="48"/>
      <x:c r="X383" s="48"/>
      <x:c r="Y383" s="48"/>
      <x:c r="Z383" s="49"/>
      <x:c r="AA383" s="43"/>
      <x:c r="AB383" s="43"/>
      <x:c r="AC383" s="43"/>
      <x:c r="AD383" s="43"/>
      <x:c r="AE383" s="43"/>
      <x:c r="AF383" s="87" t="str">
        <x:f>IF(OR(H383="",I383="",I383&lt;H383),"",(I383-H383)*1440)</x:f>
      </x:c>
      <x:c r="AG383" s="87" t="str">
        <x:f>IF(OR(I383="",M383="",M383&lt;I383),"",(M383-I383)*1440)</x:f>
      </x:c>
      <x:c r="AH383" s="87" t="str">
        <x:f>IF(OR(M383="",N383="",N383&lt;M383),"",(N383-M383)*1440)</x:f>
      </x:c>
      <x:c r="AI383" s="87" t="str">
        <x:f>IF(OR(H383="",N383="",N383&lt;H383),"",(N383-H383)*1440)</x:f>
      </x:c>
      <x:c r="AJ383" s="87" t="str">
        <x:f>IF(OR(I383="",N383="",N383&lt;I383),"",(N383-I383)*1440)</x:f>
      </x:c>
      <x:c r="AK383" s="87" t="str">
        <x:f>IF(OR(N383="",O383="",O383&lt;N383),"",(O383-N383)*1440)</x:f>
      </x:c>
      <x:c r="AL383" s="87" t="str">
        <x:f>IF(OR(O383="",P383="",P383&lt;O383),"",(P383-O383)*1440)</x:f>
      </x:c>
      <x:c r="AM383" s="87" t="str">
        <x:f>IF(OR(Q383="",R383="",R383&lt;Q383),"",(R383-Q383)*1440)</x:f>
      </x:c>
      <x:c r="AN383" s="87" t="str">
        <x:f>IF(OR(S383="",T383="",T383&lt;S383),"",(T383-S383)*1440)</x:f>
      </x:c>
      <x:c r="AO383" s="87" t="str">
        <x:f>IF(OR(U383="",V383=""),"",V383-U383)</x:f>
      </x:c>
      <x:c r="AP383" s="63" t="str">
        <x:f>IF(A383="","",IF(OR(B383="",H383="",N383=""),"Incompleto",IF(N383&lt;H383,"Revisar",IF(OR(G383="",G383="Não observado"),"Qualidade E0 ausente",IF(OR(G383="Sensor",G383="Marcação física"),"Válido — E0 observado",IF(G383="Cálculo","Válido — E0 calculado","Válido — E0 estimado"))))))</x:f>
      </x:c>
      <x:c r="AQ383" s="63" t="str">
        <x:f>IF(A383="","",IF(COUNTA(H383:T383)&lt;13,"Incompleta",IF(OR(I383&lt;H383,J383&lt;I383,K383&lt;J383,L383&lt;K383,M383&lt;L383,N383&lt;M383,O383&lt;N383,P383&lt;O383,Q383&lt;P383,R383&lt;Q383,S383&lt;R383,T383&lt;S383),"Revisar","Completa")))</x:f>
      </x:c>
      <x:c r="AR383" s="87" t="str">
        <x:f>IF(OR(V383="",W383="",Y383=""),"",Y383-(V383-W383))</x:f>
      </x:c>
      <x:c r="AS383" s="63" t="str">
        <x:f>IF(A383="","",IF(AND(E383&lt;&gt;"",F383&lt;&gt;"",G383&lt;&gt;"",Z383&lt;&gt;"",AA383&lt;&gt;"",AB383&lt;&gt;"",AC383&lt;&gt;""),"Completa","Incompleta"))</x:f>
      </x:c>
      <x:c r="AT383" s="63" t="str">
        <x:f>IF(A383="","",IF(COUNTIF($A$11:$A$410,A383)&gt;1,"ID duplicado",IF(AND(AR383&lt;&gt;"",ABS(AR383)&gt;0.01),"Revisar balanço",IF(AND(W383&lt;&gt;"",V383&lt;&gt;"",W383&gt;V383),"Retirada &gt; estoque",IF(AND(U383&lt;&gt;"",U383&lt;'Cenário Base'!$D$8*'Cenário Base'!$D$74),"E0 abaixo do gatilho",IF(AND(V383&lt;&gt;"",V383&gt;XLOOKUP(B383,$A$414:$A$418,$B$414:$B$418)),"Excedeu capacidade","Sem alerta"))))))</x:f>
      </x:c>
    </x:row>
    <x:row r="384">
      <x:c r="A384" s="43"/>
      <x:c r="B384" s="43"/>
      <x:c r="C384" s="43"/>
      <x:c r="D384" s="43"/>
      <x:c r="E384" s="43"/>
      <x:c r="F384" s="43"/>
      <x:c r="G384" s="43"/>
      <x:c r="H384" s="120"/>
      <x:c r="I384" s="120"/>
      <x:c r="J384" s="120"/>
      <x:c r="K384" s="120"/>
      <x:c r="L384" s="120"/>
      <x:c r="M384" s="120"/>
      <x:c r="N384" s="120"/>
      <x:c r="O384" s="120"/>
      <x:c r="P384" s="120"/>
      <x:c r="Q384" s="120"/>
      <x:c r="R384" s="120"/>
      <x:c r="S384" s="120"/>
      <x:c r="T384" s="120"/>
      <x:c r="U384" s="48"/>
      <x:c r="V384" s="48"/>
      <x:c r="W384" s="48"/>
      <x:c r="X384" s="48"/>
      <x:c r="Y384" s="48"/>
      <x:c r="Z384" s="49"/>
      <x:c r="AA384" s="43"/>
      <x:c r="AB384" s="43"/>
      <x:c r="AC384" s="43"/>
      <x:c r="AD384" s="43"/>
      <x:c r="AE384" s="43"/>
      <x:c r="AF384" s="87" t="str">
        <x:f>IF(OR(H384="",I384="",I384&lt;H384),"",(I384-H384)*1440)</x:f>
      </x:c>
      <x:c r="AG384" s="87" t="str">
        <x:f>IF(OR(I384="",M384="",M384&lt;I384),"",(M384-I384)*1440)</x:f>
      </x:c>
      <x:c r="AH384" s="87" t="str">
        <x:f>IF(OR(M384="",N384="",N384&lt;M384),"",(N384-M384)*1440)</x:f>
      </x:c>
      <x:c r="AI384" s="87" t="str">
        <x:f>IF(OR(H384="",N384="",N384&lt;H384),"",(N384-H384)*1440)</x:f>
      </x:c>
      <x:c r="AJ384" s="87" t="str">
        <x:f>IF(OR(I384="",N384="",N384&lt;I384),"",(N384-I384)*1440)</x:f>
      </x:c>
      <x:c r="AK384" s="87" t="str">
        <x:f>IF(OR(N384="",O384="",O384&lt;N384),"",(O384-N384)*1440)</x:f>
      </x:c>
      <x:c r="AL384" s="87" t="str">
        <x:f>IF(OR(O384="",P384="",P384&lt;O384),"",(P384-O384)*1440)</x:f>
      </x:c>
      <x:c r="AM384" s="87" t="str">
        <x:f>IF(OR(Q384="",R384="",R384&lt;Q384),"",(R384-Q384)*1440)</x:f>
      </x:c>
      <x:c r="AN384" s="87" t="str">
        <x:f>IF(OR(S384="",T384="",T384&lt;S384),"",(T384-S384)*1440)</x:f>
      </x:c>
      <x:c r="AO384" s="87" t="str">
        <x:f>IF(OR(U384="",V384=""),"",V384-U384)</x:f>
      </x:c>
      <x:c r="AP384" s="63" t="str">
        <x:f>IF(A384="","",IF(OR(B384="",H384="",N384=""),"Incompleto",IF(N384&lt;H384,"Revisar",IF(OR(G384="",G384="Não observado"),"Qualidade E0 ausente",IF(OR(G384="Sensor",G384="Marcação física"),"Válido — E0 observado",IF(G384="Cálculo","Válido — E0 calculado","Válido — E0 estimado"))))))</x:f>
      </x:c>
      <x:c r="AQ384" s="63" t="str">
        <x:f>IF(A384="","",IF(COUNTA(H384:T384)&lt;13,"Incompleta",IF(OR(I384&lt;H384,J384&lt;I384,K384&lt;J384,L384&lt;K384,M384&lt;L384,N384&lt;M384,O384&lt;N384,P384&lt;O384,Q384&lt;P384,R384&lt;Q384,S384&lt;R384,T384&lt;S384),"Revisar","Completa")))</x:f>
      </x:c>
      <x:c r="AR384" s="87" t="str">
        <x:f>IF(OR(V384="",W384="",Y384=""),"",Y384-(V384-W384))</x:f>
      </x:c>
      <x:c r="AS384" s="63" t="str">
        <x:f>IF(A384="","",IF(AND(E384&lt;&gt;"",F384&lt;&gt;"",G384&lt;&gt;"",Z384&lt;&gt;"",AA384&lt;&gt;"",AB384&lt;&gt;"",AC384&lt;&gt;""),"Completa","Incompleta"))</x:f>
      </x:c>
      <x:c r="AT384" s="63" t="str">
        <x:f>IF(A384="","",IF(COUNTIF($A$11:$A$410,A384)&gt;1,"ID duplicado",IF(AND(AR384&lt;&gt;"",ABS(AR384)&gt;0.01),"Revisar balanço",IF(AND(W384&lt;&gt;"",V384&lt;&gt;"",W384&gt;V384),"Retirada &gt; estoque",IF(AND(U384&lt;&gt;"",U384&lt;'Cenário Base'!$D$8*'Cenário Base'!$D$74),"E0 abaixo do gatilho",IF(AND(V384&lt;&gt;"",V384&gt;XLOOKUP(B384,$A$414:$A$418,$B$414:$B$418)),"Excedeu capacidade","Sem alerta"))))))</x:f>
      </x:c>
    </x:row>
    <x:row r="385">
      <x:c r="A385" s="43"/>
      <x:c r="B385" s="43"/>
      <x:c r="C385" s="43"/>
      <x:c r="D385" s="43"/>
      <x:c r="E385" s="43"/>
      <x:c r="F385" s="43"/>
      <x:c r="G385" s="43"/>
      <x:c r="H385" s="120"/>
      <x:c r="I385" s="120"/>
      <x:c r="J385" s="120"/>
      <x:c r="K385" s="120"/>
      <x:c r="L385" s="120"/>
      <x:c r="M385" s="120"/>
      <x:c r="N385" s="120"/>
      <x:c r="O385" s="120"/>
      <x:c r="P385" s="120"/>
      <x:c r="Q385" s="120"/>
      <x:c r="R385" s="120"/>
      <x:c r="S385" s="120"/>
      <x:c r="T385" s="120"/>
      <x:c r="U385" s="48"/>
      <x:c r="V385" s="48"/>
      <x:c r="W385" s="48"/>
      <x:c r="X385" s="48"/>
      <x:c r="Y385" s="48"/>
      <x:c r="Z385" s="49"/>
      <x:c r="AA385" s="43"/>
      <x:c r="AB385" s="43"/>
      <x:c r="AC385" s="43"/>
      <x:c r="AD385" s="43"/>
      <x:c r="AE385" s="43"/>
      <x:c r="AF385" s="87" t="str">
        <x:f>IF(OR(H385="",I385="",I385&lt;H385),"",(I385-H385)*1440)</x:f>
      </x:c>
      <x:c r="AG385" s="87" t="str">
        <x:f>IF(OR(I385="",M385="",M385&lt;I385),"",(M385-I385)*1440)</x:f>
      </x:c>
      <x:c r="AH385" s="87" t="str">
        <x:f>IF(OR(M385="",N385="",N385&lt;M385),"",(N385-M385)*1440)</x:f>
      </x:c>
      <x:c r="AI385" s="87" t="str">
        <x:f>IF(OR(H385="",N385="",N385&lt;H385),"",(N385-H385)*1440)</x:f>
      </x:c>
      <x:c r="AJ385" s="87" t="str">
        <x:f>IF(OR(I385="",N385="",N385&lt;I385),"",(N385-I385)*1440)</x:f>
      </x:c>
      <x:c r="AK385" s="87" t="str">
        <x:f>IF(OR(N385="",O385="",O385&lt;N385),"",(O385-N385)*1440)</x:f>
      </x:c>
      <x:c r="AL385" s="87" t="str">
        <x:f>IF(OR(O385="",P385="",P385&lt;O385),"",(P385-O385)*1440)</x:f>
      </x:c>
      <x:c r="AM385" s="87" t="str">
        <x:f>IF(OR(Q385="",R385="",R385&lt;Q385),"",(R385-Q385)*1440)</x:f>
      </x:c>
      <x:c r="AN385" s="87" t="str">
        <x:f>IF(OR(S385="",T385="",T385&lt;S385),"",(T385-S385)*1440)</x:f>
      </x:c>
      <x:c r="AO385" s="87" t="str">
        <x:f>IF(OR(U385="",V385=""),"",V385-U385)</x:f>
      </x:c>
      <x:c r="AP385" s="63" t="str">
        <x:f>IF(A385="","",IF(OR(B385="",H385="",N385=""),"Incompleto",IF(N385&lt;H385,"Revisar",IF(OR(G385="",G385="Não observado"),"Qualidade E0 ausente",IF(OR(G385="Sensor",G385="Marcação física"),"Válido — E0 observado",IF(G385="Cálculo","Válido — E0 calculado","Válido — E0 estimado"))))))</x:f>
      </x:c>
      <x:c r="AQ385" s="63" t="str">
        <x:f>IF(A385="","",IF(COUNTA(H385:T385)&lt;13,"Incompleta",IF(OR(I385&lt;H385,J385&lt;I385,K385&lt;J385,L385&lt;K385,M385&lt;L385,N385&lt;M385,O385&lt;N385,P385&lt;O385,Q385&lt;P385,R385&lt;Q385,S385&lt;R385,T385&lt;S385),"Revisar","Completa")))</x:f>
      </x:c>
      <x:c r="AR385" s="87" t="str">
        <x:f>IF(OR(V385="",W385="",Y385=""),"",Y385-(V385-W385))</x:f>
      </x:c>
      <x:c r="AS385" s="63" t="str">
        <x:f>IF(A385="","",IF(AND(E385&lt;&gt;"",F385&lt;&gt;"",G385&lt;&gt;"",Z385&lt;&gt;"",AA385&lt;&gt;"",AB385&lt;&gt;"",AC385&lt;&gt;""),"Completa","Incompleta"))</x:f>
      </x:c>
      <x:c r="AT385" s="63" t="str">
        <x:f>IF(A385="","",IF(COUNTIF($A$11:$A$410,A385)&gt;1,"ID duplicado",IF(AND(AR385&lt;&gt;"",ABS(AR385)&gt;0.01),"Revisar balanço",IF(AND(W385&lt;&gt;"",V385&lt;&gt;"",W385&gt;V385),"Retirada &gt; estoque",IF(AND(U385&lt;&gt;"",U385&lt;'Cenário Base'!$D$8*'Cenário Base'!$D$74),"E0 abaixo do gatilho",IF(AND(V385&lt;&gt;"",V385&gt;XLOOKUP(B385,$A$414:$A$418,$B$414:$B$418)),"Excedeu capacidade","Sem alerta"))))))</x:f>
      </x:c>
    </x:row>
    <x:row r="386">
      <x:c r="A386" s="43"/>
      <x:c r="B386" s="43"/>
      <x:c r="C386" s="43"/>
      <x:c r="D386" s="43"/>
      <x:c r="E386" s="43"/>
      <x:c r="F386" s="43"/>
      <x:c r="G386" s="43"/>
      <x:c r="H386" s="120"/>
      <x:c r="I386" s="120"/>
      <x:c r="J386" s="120"/>
      <x:c r="K386" s="120"/>
      <x:c r="L386" s="120"/>
      <x:c r="M386" s="120"/>
      <x:c r="N386" s="120"/>
      <x:c r="O386" s="120"/>
      <x:c r="P386" s="120"/>
      <x:c r="Q386" s="120"/>
      <x:c r="R386" s="120"/>
      <x:c r="S386" s="120"/>
      <x:c r="T386" s="120"/>
      <x:c r="U386" s="48"/>
      <x:c r="V386" s="48"/>
      <x:c r="W386" s="48"/>
      <x:c r="X386" s="48"/>
      <x:c r="Y386" s="48"/>
      <x:c r="Z386" s="49"/>
      <x:c r="AA386" s="43"/>
      <x:c r="AB386" s="43"/>
      <x:c r="AC386" s="43"/>
      <x:c r="AD386" s="43"/>
      <x:c r="AE386" s="43"/>
      <x:c r="AF386" s="87" t="str">
        <x:f>IF(OR(H386="",I386="",I386&lt;H386),"",(I386-H386)*1440)</x:f>
      </x:c>
      <x:c r="AG386" s="87" t="str">
        <x:f>IF(OR(I386="",M386="",M386&lt;I386),"",(M386-I386)*1440)</x:f>
      </x:c>
      <x:c r="AH386" s="87" t="str">
        <x:f>IF(OR(M386="",N386="",N386&lt;M386),"",(N386-M386)*1440)</x:f>
      </x:c>
      <x:c r="AI386" s="87" t="str">
        <x:f>IF(OR(H386="",N386="",N386&lt;H386),"",(N386-H386)*1440)</x:f>
      </x:c>
      <x:c r="AJ386" s="87" t="str">
        <x:f>IF(OR(I386="",N386="",N386&lt;I386),"",(N386-I386)*1440)</x:f>
      </x:c>
      <x:c r="AK386" s="87" t="str">
        <x:f>IF(OR(N386="",O386="",O386&lt;N386),"",(O386-N386)*1440)</x:f>
      </x:c>
      <x:c r="AL386" s="87" t="str">
        <x:f>IF(OR(O386="",P386="",P386&lt;O386),"",(P386-O386)*1440)</x:f>
      </x:c>
      <x:c r="AM386" s="87" t="str">
        <x:f>IF(OR(Q386="",R386="",R386&lt;Q386),"",(R386-Q386)*1440)</x:f>
      </x:c>
      <x:c r="AN386" s="87" t="str">
        <x:f>IF(OR(S386="",T386="",T386&lt;S386),"",(T386-S386)*1440)</x:f>
      </x:c>
      <x:c r="AO386" s="87" t="str">
        <x:f>IF(OR(U386="",V386=""),"",V386-U386)</x:f>
      </x:c>
      <x:c r="AP386" s="63" t="str">
        <x:f>IF(A386="","",IF(OR(B386="",H386="",N386=""),"Incompleto",IF(N386&lt;H386,"Revisar",IF(OR(G386="",G386="Não observado"),"Qualidade E0 ausente",IF(OR(G386="Sensor",G386="Marcação física"),"Válido — E0 observado",IF(G386="Cálculo","Válido — E0 calculado","Válido — E0 estimado"))))))</x:f>
      </x:c>
      <x:c r="AQ386" s="63" t="str">
        <x:f>IF(A386="","",IF(COUNTA(H386:T386)&lt;13,"Incompleta",IF(OR(I386&lt;H386,J386&lt;I386,K386&lt;J386,L386&lt;K386,M386&lt;L386,N386&lt;M386,O386&lt;N386,P386&lt;O386,Q386&lt;P386,R386&lt;Q386,S386&lt;R386,T386&lt;S386),"Revisar","Completa")))</x:f>
      </x:c>
      <x:c r="AR386" s="87" t="str">
        <x:f>IF(OR(V386="",W386="",Y386=""),"",Y386-(V386-W386))</x:f>
      </x:c>
      <x:c r="AS386" s="63" t="str">
        <x:f>IF(A386="","",IF(AND(E386&lt;&gt;"",F386&lt;&gt;"",G386&lt;&gt;"",Z386&lt;&gt;"",AA386&lt;&gt;"",AB386&lt;&gt;"",AC386&lt;&gt;""),"Completa","Incompleta"))</x:f>
      </x:c>
      <x:c r="AT386" s="63" t="str">
        <x:f>IF(A386="","",IF(COUNTIF($A$11:$A$410,A386)&gt;1,"ID duplicado",IF(AND(AR386&lt;&gt;"",ABS(AR386)&gt;0.01),"Revisar balanço",IF(AND(W386&lt;&gt;"",V386&lt;&gt;"",W386&gt;V386),"Retirada &gt; estoque",IF(AND(U386&lt;&gt;"",U386&lt;'Cenário Base'!$D$8*'Cenário Base'!$D$74),"E0 abaixo do gatilho",IF(AND(V386&lt;&gt;"",V386&gt;XLOOKUP(B386,$A$414:$A$418,$B$414:$B$418)),"Excedeu capacidade","Sem alerta"))))))</x:f>
      </x:c>
    </x:row>
    <x:row r="387">
      <x:c r="A387" s="43"/>
      <x:c r="B387" s="43"/>
      <x:c r="C387" s="43"/>
      <x:c r="D387" s="43"/>
      <x:c r="E387" s="43"/>
      <x:c r="F387" s="43"/>
      <x:c r="G387" s="43"/>
      <x:c r="H387" s="120"/>
      <x:c r="I387" s="120"/>
      <x:c r="J387" s="120"/>
      <x:c r="K387" s="120"/>
      <x:c r="L387" s="120"/>
      <x:c r="M387" s="120"/>
      <x:c r="N387" s="120"/>
      <x:c r="O387" s="120"/>
      <x:c r="P387" s="120"/>
      <x:c r="Q387" s="120"/>
      <x:c r="R387" s="120"/>
      <x:c r="S387" s="120"/>
      <x:c r="T387" s="120"/>
      <x:c r="U387" s="48"/>
      <x:c r="V387" s="48"/>
      <x:c r="W387" s="48"/>
      <x:c r="X387" s="48"/>
      <x:c r="Y387" s="48"/>
      <x:c r="Z387" s="49"/>
      <x:c r="AA387" s="43"/>
      <x:c r="AB387" s="43"/>
      <x:c r="AC387" s="43"/>
      <x:c r="AD387" s="43"/>
      <x:c r="AE387" s="43"/>
      <x:c r="AF387" s="87" t="str">
        <x:f>IF(OR(H387="",I387="",I387&lt;H387),"",(I387-H387)*1440)</x:f>
      </x:c>
      <x:c r="AG387" s="87" t="str">
        <x:f>IF(OR(I387="",M387="",M387&lt;I387),"",(M387-I387)*1440)</x:f>
      </x:c>
      <x:c r="AH387" s="87" t="str">
        <x:f>IF(OR(M387="",N387="",N387&lt;M387),"",(N387-M387)*1440)</x:f>
      </x:c>
      <x:c r="AI387" s="87" t="str">
        <x:f>IF(OR(H387="",N387="",N387&lt;H387),"",(N387-H387)*1440)</x:f>
      </x:c>
      <x:c r="AJ387" s="87" t="str">
        <x:f>IF(OR(I387="",N387="",N387&lt;I387),"",(N387-I387)*1440)</x:f>
      </x:c>
      <x:c r="AK387" s="87" t="str">
        <x:f>IF(OR(N387="",O387="",O387&lt;N387),"",(O387-N387)*1440)</x:f>
      </x:c>
      <x:c r="AL387" s="87" t="str">
        <x:f>IF(OR(O387="",P387="",P387&lt;O387),"",(P387-O387)*1440)</x:f>
      </x:c>
      <x:c r="AM387" s="87" t="str">
        <x:f>IF(OR(Q387="",R387="",R387&lt;Q387),"",(R387-Q387)*1440)</x:f>
      </x:c>
      <x:c r="AN387" s="87" t="str">
        <x:f>IF(OR(S387="",T387="",T387&lt;S387),"",(T387-S387)*1440)</x:f>
      </x:c>
      <x:c r="AO387" s="87" t="str">
        <x:f>IF(OR(U387="",V387=""),"",V387-U387)</x:f>
      </x:c>
      <x:c r="AP387" s="63" t="str">
        <x:f>IF(A387="","",IF(OR(B387="",H387="",N387=""),"Incompleto",IF(N387&lt;H387,"Revisar",IF(OR(G387="",G387="Não observado"),"Qualidade E0 ausente",IF(OR(G387="Sensor",G387="Marcação física"),"Válido — E0 observado",IF(G387="Cálculo","Válido — E0 calculado","Válido — E0 estimado"))))))</x:f>
      </x:c>
      <x:c r="AQ387" s="63" t="str">
        <x:f>IF(A387="","",IF(COUNTA(H387:T387)&lt;13,"Incompleta",IF(OR(I387&lt;H387,J387&lt;I387,K387&lt;J387,L387&lt;K387,M387&lt;L387,N387&lt;M387,O387&lt;N387,P387&lt;O387,Q387&lt;P387,R387&lt;Q387,S387&lt;R387,T387&lt;S387),"Revisar","Completa")))</x:f>
      </x:c>
      <x:c r="AR387" s="87" t="str">
        <x:f>IF(OR(V387="",W387="",Y387=""),"",Y387-(V387-W387))</x:f>
      </x:c>
      <x:c r="AS387" s="63" t="str">
        <x:f>IF(A387="","",IF(AND(E387&lt;&gt;"",F387&lt;&gt;"",G387&lt;&gt;"",Z387&lt;&gt;"",AA387&lt;&gt;"",AB387&lt;&gt;"",AC387&lt;&gt;""),"Completa","Incompleta"))</x:f>
      </x:c>
      <x:c r="AT387" s="63" t="str">
        <x:f>IF(A387="","",IF(COUNTIF($A$11:$A$410,A387)&gt;1,"ID duplicado",IF(AND(AR387&lt;&gt;"",ABS(AR387)&gt;0.01),"Revisar balanço",IF(AND(W387&lt;&gt;"",V387&lt;&gt;"",W387&gt;V387),"Retirada &gt; estoque",IF(AND(U387&lt;&gt;"",U387&lt;'Cenário Base'!$D$8*'Cenário Base'!$D$74),"E0 abaixo do gatilho",IF(AND(V387&lt;&gt;"",V387&gt;XLOOKUP(B387,$A$414:$A$418,$B$414:$B$418)),"Excedeu capacidade","Sem alerta"))))))</x:f>
      </x:c>
    </x:row>
    <x:row r="388">
      <x:c r="A388" s="43"/>
      <x:c r="B388" s="43"/>
      <x:c r="C388" s="43"/>
      <x:c r="D388" s="43"/>
      <x:c r="E388" s="43"/>
      <x:c r="F388" s="43"/>
      <x:c r="G388" s="43"/>
      <x:c r="H388" s="120"/>
      <x:c r="I388" s="120"/>
      <x:c r="J388" s="120"/>
      <x:c r="K388" s="120"/>
      <x:c r="L388" s="120"/>
      <x:c r="M388" s="120"/>
      <x:c r="N388" s="120"/>
      <x:c r="O388" s="120"/>
      <x:c r="P388" s="120"/>
      <x:c r="Q388" s="120"/>
      <x:c r="R388" s="120"/>
      <x:c r="S388" s="120"/>
      <x:c r="T388" s="120"/>
      <x:c r="U388" s="48"/>
      <x:c r="V388" s="48"/>
      <x:c r="W388" s="48"/>
      <x:c r="X388" s="48"/>
      <x:c r="Y388" s="48"/>
      <x:c r="Z388" s="49"/>
      <x:c r="AA388" s="43"/>
      <x:c r="AB388" s="43"/>
      <x:c r="AC388" s="43"/>
      <x:c r="AD388" s="43"/>
      <x:c r="AE388" s="43"/>
      <x:c r="AF388" s="87" t="str">
        <x:f>IF(OR(H388="",I388="",I388&lt;H388),"",(I388-H388)*1440)</x:f>
      </x:c>
      <x:c r="AG388" s="87" t="str">
        <x:f>IF(OR(I388="",M388="",M388&lt;I388),"",(M388-I388)*1440)</x:f>
      </x:c>
      <x:c r="AH388" s="87" t="str">
        <x:f>IF(OR(M388="",N388="",N388&lt;M388),"",(N388-M388)*1440)</x:f>
      </x:c>
      <x:c r="AI388" s="87" t="str">
        <x:f>IF(OR(H388="",N388="",N388&lt;H388),"",(N388-H388)*1440)</x:f>
      </x:c>
      <x:c r="AJ388" s="87" t="str">
        <x:f>IF(OR(I388="",N388="",N388&lt;I388),"",(N388-I388)*1440)</x:f>
      </x:c>
      <x:c r="AK388" s="87" t="str">
        <x:f>IF(OR(N388="",O388="",O388&lt;N388),"",(O388-N388)*1440)</x:f>
      </x:c>
      <x:c r="AL388" s="87" t="str">
        <x:f>IF(OR(O388="",P388="",P388&lt;O388),"",(P388-O388)*1440)</x:f>
      </x:c>
      <x:c r="AM388" s="87" t="str">
        <x:f>IF(OR(Q388="",R388="",R388&lt;Q388),"",(R388-Q388)*1440)</x:f>
      </x:c>
      <x:c r="AN388" s="87" t="str">
        <x:f>IF(OR(S388="",T388="",T388&lt;S388),"",(T388-S388)*1440)</x:f>
      </x:c>
      <x:c r="AO388" s="87" t="str">
        <x:f>IF(OR(U388="",V388=""),"",V388-U388)</x:f>
      </x:c>
      <x:c r="AP388" s="63" t="str">
        <x:f>IF(A388="","",IF(OR(B388="",H388="",N388=""),"Incompleto",IF(N388&lt;H388,"Revisar",IF(OR(G388="",G388="Não observado"),"Qualidade E0 ausente",IF(OR(G388="Sensor",G388="Marcação física"),"Válido — E0 observado",IF(G388="Cálculo","Válido — E0 calculado","Válido — E0 estimado"))))))</x:f>
      </x:c>
      <x:c r="AQ388" s="63" t="str">
        <x:f>IF(A388="","",IF(COUNTA(H388:T388)&lt;13,"Incompleta",IF(OR(I388&lt;H388,J388&lt;I388,K388&lt;J388,L388&lt;K388,M388&lt;L388,N388&lt;M388,O388&lt;N388,P388&lt;O388,Q388&lt;P388,R388&lt;Q388,S388&lt;R388,T388&lt;S388),"Revisar","Completa")))</x:f>
      </x:c>
      <x:c r="AR388" s="87" t="str">
        <x:f>IF(OR(V388="",W388="",Y388=""),"",Y388-(V388-W388))</x:f>
      </x:c>
      <x:c r="AS388" s="63" t="str">
        <x:f>IF(A388="","",IF(AND(E388&lt;&gt;"",F388&lt;&gt;"",G388&lt;&gt;"",Z388&lt;&gt;"",AA388&lt;&gt;"",AB388&lt;&gt;"",AC388&lt;&gt;""),"Completa","Incompleta"))</x:f>
      </x:c>
      <x:c r="AT388" s="63" t="str">
        <x:f>IF(A388="","",IF(COUNTIF($A$11:$A$410,A388)&gt;1,"ID duplicado",IF(AND(AR388&lt;&gt;"",ABS(AR388)&gt;0.01),"Revisar balanço",IF(AND(W388&lt;&gt;"",V388&lt;&gt;"",W388&gt;V388),"Retirada &gt; estoque",IF(AND(U388&lt;&gt;"",U388&lt;'Cenário Base'!$D$8*'Cenário Base'!$D$74),"E0 abaixo do gatilho",IF(AND(V388&lt;&gt;"",V388&gt;XLOOKUP(B388,$A$414:$A$418,$B$414:$B$418)),"Excedeu capacidade","Sem alerta"))))))</x:f>
      </x:c>
    </x:row>
    <x:row r="389">
      <x:c r="A389" s="43"/>
      <x:c r="B389" s="43"/>
      <x:c r="C389" s="43"/>
      <x:c r="D389" s="43"/>
      <x:c r="E389" s="43"/>
      <x:c r="F389" s="43"/>
      <x:c r="G389" s="43"/>
      <x:c r="H389" s="120"/>
      <x:c r="I389" s="120"/>
      <x:c r="J389" s="120"/>
      <x:c r="K389" s="120"/>
      <x:c r="L389" s="120"/>
      <x:c r="M389" s="120"/>
      <x:c r="N389" s="120"/>
      <x:c r="O389" s="120"/>
      <x:c r="P389" s="120"/>
      <x:c r="Q389" s="120"/>
      <x:c r="R389" s="120"/>
      <x:c r="S389" s="120"/>
      <x:c r="T389" s="120"/>
      <x:c r="U389" s="48"/>
      <x:c r="V389" s="48"/>
      <x:c r="W389" s="48"/>
      <x:c r="X389" s="48"/>
      <x:c r="Y389" s="48"/>
      <x:c r="Z389" s="49"/>
      <x:c r="AA389" s="43"/>
      <x:c r="AB389" s="43"/>
      <x:c r="AC389" s="43"/>
      <x:c r="AD389" s="43"/>
      <x:c r="AE389" s="43"/>
      <x:c r="AF389" s="87" t="str">
        <x:f>IF(OR(H389="",I389="",I389&lt;H389),"",(I389-H389)*1440)</x:f>
      </x:c>
      <x:c r="AG389" s="87" t="str">
        <x:f>IF(OR(I389="",M389="",M389&lt;I389),"",(M389-I389)*1440)</x:f>
      </x:c>
      <x:c r="AH389" s="87" t="str">
        <x:f>IF(OR(M389="",N389="",N389&lt;M389),"",(N389-M389)*1440)</x:f>
      </x:c>
      <x:c r="AI389" s="87" t="str">
        <x:f>IF(OR(H389="",N389="",N389&lt;H389),"",(N389-H389)*1440)</x:f>
      </x:c>
      <x:c r="AJ389" s="87" t="str">
        <x:f>IF(OR(I389="",N389="",N389&lt;I389),"",(N389-I389)*1440)</x:f>
      </x:c>
      <x:c r="AK389" s="87" t="str">
        <x:f>IF(OR(N389="",O389="",O389&lt;N389),"",(O389-N389)*1440)</x:f>
      </x:c>
      <x:c r="AL389" s="87" t="str">
        <x:f>IF(OR(O389="",P389="",P389&lt;O389),"",(P389-O389)*1440)</x:f>
      </x:c>
      <x:c r="AM389" s="87" t="str">
        <x:f>IF(OR(Q389="",R389="",R389&lt;Q389),"",(R389-Q389)*1440)</x:f>
      </x:c>
      <x:c r="AN389" s="87" t="str">
        <x:f>IF(OR(S389="",T389="",T389&lt;S389),"",(T389-S389)*1440)</x:f>
      </x:c>
      <x:c r="AO389" s="87" t="str">
        <x:f>IF(OR(U389="",V389=""),"",V389-U389)</x:f>
      </x:c>
      <x:c r="AP389" s="63" t="str">
        <x:f>IF(A389="","",IF(OR(B389="",H389="",N389=""),"Incompleto",IF(N389&lt;H389,"Revisar",IF(OR(G389="",G389="Não observado"),"Qualidade E0 ausente",IF(OR(G389="Sensor",G389="Marcação física"),"Válido — E0 observado",IF(G389="Cálculo","Válido — E0 calculado","Válido — E0 estimado"))))))</x:f>
      </x:c>
      <x:c r="AQ389" s="63" t="str">
        <x:f>IF(A389="","",IF(COUNTA(H389:T389)&lt;13,"Incompleta",IF(OR(I389&lt;H389,J389&lt;I389,K389&lt;J389,L389&lt;K389,M389&lt;L389,N389&lt;M389,O389&lt;N389,P389&lt;O389,Q389&lt;P389,R389&lt;Q389,S389&lt;R389,T389&lt;S389),"Revisar","Completa")))</x:f>
      </x:c>
      <x:c r="AR389" s="87" t="str">
        <x:f>IF(OR(V389="",W389="",Y389=""),"",Y389-(V389-W389))</x:f>
      </x:c>
      <x:c r="AS389" s="63" t="str">
        <x:f>IF(A389="","",IF(AND(E389&lt;&gt;"",F389&lt;&gt;"",G389&lt;&gt;"",Z389&lt;&gt;"",AA389&lt;&gt;"",AB389&lt;&gt;"",AC389&lt;&gt;""),"Completa","Incompleta"))</x:f>
      </x:c>
      <x:c r="AT389" s="63" t="str">
        <x:f>IF(A389="","",IF(COUNTIF($A$11:$A$410,A389)&gt;1,"ID duplicado",IF(AND(AR389&lt;&gt;"",ABS(AR389)&gt;0.01),"Revisar balanço",IF(AND(W389&lt;&gt;"",V389&lt;&gt;"",W389&gt;V389),"Retirada &gt; estoque",IF(AND(U389&lt;&gt;"",U389&lt;'Cenário Base'!$D$8*'Cenário Base'!$D$74),"E0 abaixo do gatilho",IF(AND(V389&lt;&gt;"",V389&gt;XLOOKUP(B389,$A$414:$A$418,$B$414:$B$418)),"Excedeu capacidade","Sem alerta"))))))</x:f>
      </x:c>
    </x:row>
    <x:row r="390">
      <x:c r="A390" s="43"/>
      <x:c r="B390" s="43"/>
      <x:c r="C390" s="43"/>
      <x:c r="D390" s="43"/>
      <x:c r="E390" s="43"/>
      <x:c r="F390" s="43"/>
      <x:c r="G390" s="43"/>
      <x:c r="H390" s="120"/>
      <x:c r="I390" s="120"/>
      <x:c r="J390" s="120"/>
      <x:c r="K390" s="120"/>
      <x:c r="L390" s="120"/>
      <x:c r="M390" s="120"/>
      <x:c r="N390" s="120"/>
      <x:c r="O390" s="120"/>
      <x:c r="P390" s="120"/>
      <x:c r="Q390" s="120"/>
      <x:c r="R390" s="120"/>
      <x:c r="S390" s="120"/>
      <x:c r="T390" s="120"/>
      <x:c r="U390" s="48"/>
      <x:c r="V390" s="48"/>
      <x:c r="W390" s="48"/>
      <x:c r="X390" s="48"/>
      <x:c r="Y390" s="48"/>
      <x:c r="Z390" s="49"/>
      <x:c r="AA390" s="43"/>
      <x:c r="AB390" s="43"/>
      <x:c r="AC390" s="43"/>
      <x:c r="AD390" s="43"/>
      <x:c r="AE390" s="43"/>
      <x:c r="AF390" s="87" t="str">
        <x:f>IF(OR(H390="",I390="",I390&lt;H390),"",(I390-H390)*1440)</x:f>
      </x:c>
      <x:c r="AG390" s="87" t="str">
        <x:f>IF(OR(I390="",M390="",M390&lt;I390),"",(M390-I390)*1440)</x:f>
      </x:c>
      <x:c r="AH390" s="87" t="str">
        <x:f>IF(OR(M390="",N390="",N390&lt;M390),"",(N390-M390)*1440)</x:f>
      </x:c>
      <x:c r="AI390" s="87" t="str">
        <x:f>IF(OR(H390="",N390="",N390&lt;H390),"",(N390-H390)*1440)</x:f>
      </x:c>
      <x:c r="AJ390" s="87" t="str">
        <x:f>IF(OR(I390="",N390="",N390&lt;I390),"",(N390-I390)*1440)</x:f>
      </x:c>
      <x:c r="AK390" s="87" t="str">
        <x:f>IF(OR(N390="",O390="",O390&lt;N390),"",(O390-N390)*1440)</x:f>
      </x:c>
      <x:c r="AL390" s="87" t="str">
        <x:f>IF(OR(O390="",P390="",P390&lt;O390),"",(P390-O390)*1440)</x:f>
      </x:c>
      <x:c r="AM390" s="87" t="str">
        <x:f>IF(OR(Q390="",R390="",R390&lt;Q390),"",(R390-Q390)*1440)</x:f>
      </x:c>
      <x:c r="AN390" s="87" t="str">
        <x:f>IF(OR(S390="",T390="",T390&lt;S390),"",(T390-S390)*1440)</x:f>
      </x:c>
      <x:c r="AO390" s="87" t="str">
        <x:f>IF(OR(U390="",V390=""),"",V390-U390)</x:f>
      </x:c>
      <x:c r="AP390" s="63" t="str">
        <x:f>IF(A390="","",IF(OR(B390="",H390="",N390=""),"Incompleto",IF(N390&lt;H390,"Revisar",IF(OR(G390="",G390="Não observado"),"Qualidade E0 ausente",IF(OR(G390="Sensor",G390="Marcação física"),"Válido — E0 observado",IF(G390="Cálculo","Válido — E0 calculado","Válido — E0 estimado"))))))</x:f>
      </x:c>
      <x:c r="AQ390" s="63" t="str">
        <x:f>IF(A390="","",IF(COUNTA(H390:T390)&lt;13,"Incompleta",IF(OR(I390&lt;H390,J390&lt;I390,K390&lt;J390,L390&lt;K390,M390&lt;L390,N390&lt;M390,O390&lt;N390,P390&lt;O390,Q390&lt;P390,R390&lt;Q390,S390&lt;R390,T390&lt;S390),"Revisar","Completa")))</x:f>
      </x:c>
      <x:c r="AR390" s="87" t="str">
        <x:f>IF(OR(V390="",W390="",Y390=""),"",Y390-(V390-W390))</x:f>
      </x:c>
      <x:c r="AS390" s="63" t="str">
        <x:f>IF(A390="","",IF(AND(E390&lt;&gt;"",F390&lt;&gt;"",G390&lt;&gt;"",Z390&lt;&gt;"",AA390&lt;&gt;"",AB390&lt;&gt;"",AC390&lt;&gt;""),"Completa","Incompleta"))</x:f>
      </x:c>
      <x:c r="AT390" s="63" t="str">
        <x:f>IF(A390="","",IF(COUNTIF($A$11:$A$410,A390)&gt;1,"ID duplicado",IF(AND(AR390&lt;&gt;"",ABS(AR390)&gt;0.01),"Revisar balanço",IF(AND(W390&lt;&gt;"",V390&lt;&gt;"",W390&gt;V390),"Retirada &gt; estoque",IF(AND(U390&lt;&gt;"",U390&lt;'Cenário Base'!$D$8*'Cenário Base'!$D$74),"E0 abaixo do gatilho",IF(AND(V390&lt;&gt;"",V390&gt;XLOOKUP(B390,$A$414:$A$418,$B$414:$B$418)),"Excedeu capacidade","Sem alerta"))))))</x:f>
      </x:c>
    </x:row>
    <x:row r="391">
      <x:c r="A391" s="43"/>
      <x:c r="B391" s="43"/>
      <x:c r="C391" s="43"/>
      <x:c r="D391" s="43"/>
      <x:c r="E391" s="43"/>
      <x:c r="F391" s="43"/>
      <x:c r="G391" s="43"/>
      <x:c r="H391" s="120"/>
      <x:c r="I391" s="120"/>
      <x:c r="J391" s="120"/>
      <x:c r="K391" s="120"/>
      <x:c r="L391" s="120"/>
      <x:c r="M391" s="120"/>
      <x:c r="N391" s="120"/>
      <x:c r="O391" s="120"/>
      <x:c r="P391" s="120"/>
      <x:c r="Q391" s="120"/>
      <x:c r="R391" s="120"/>
      <x:c r="S391" s="120"/>
      <x:c r="T391" s="120"/>
      <x:c r="U391" s="48"/>
      <x:c r="V391" s="48"/>
      <x:c r="W391" s="48"/>
      <x:c r="X391" s="48"/>
      <x:c r="Y391" s="48"/>
      <x:c r="Z391" s="49"/>
      <x:c r="AA391" s="43"/>
      <x:c r="AB391" s="43"/>
      <x:c r="AC391" s="43"/>
      <x:c r="AD391" s="43"/>
      <x:c r="AE391" s="43"/>
      <x:c r="AF391" s="87" t="str">
        <x:f>IF(OR(H391="",I391="",I391&lt;H391),"",(I391-H391)*1440)</x:f>
      </x:c>
      <x:c r="AG391" s="87" t="str">
        <x:f>IF(OR(I391="",M391="",M391&lt;I391),"",(M391-I391)*1440)</x:f>
      </x:c>
      <x:c r="AH391" s="87" t="str">
        <x:f>IF(OR(M391="",N391="",N391&lt;M391),"",(N391-M391)*1440)</x:f>
      </x:c>
      <x:c r="AI391" s="87" t="str">
        <x:f>IF(OR(H391="",N391="",N391&lt;H391),"",(N391-H391)*1440)</x:f>
      </x:c>
      <x:c r="AJ391" s="87" t="str">
        <x:f>IF(OR(I391="",N391="",N391&lt;I391),"",(N391-I391)*1440)</x:f>
      </x:c>
      <x:c r="AK391" s="87" t="str">
        <x:f>IF(OR(N391="",O391="",O391&lt;N391),"",(O391-N391)*1440)</x:f>
      </x:c>
      <x:c r="AL391" s="87" t="str">
        <x:f>IF(OR(O391="",P391="",P391&lt;O391),"",(P391-O391)*1440)</x:f>
      </x:c>
      <x:c r="AM391" s="87" t="str">
        <x:f>IF(OR(Q391="",R391="",R391&lt;Q391),"",(R391-Q391)*1440)</x:f>
      </x:c>
      <x:c r="AN391" s="87" t="str">
        <x:f>IF(OR(S391="",T391="",T391&lt;S391),"",(T391-S391)*1440)</x:f>
      </x:c>
      <x:c r="AO391" s="87" t="str">
        <x:f>IF(OR(U391="",V391=""),"",V391-U391)</x:f>
      </x:c>
      <x:c r="AP391" s="63" t="str">
        <x:f>IF(A391="","",IF(OR(B391="",H391="",N391=""),"Incompleto",IF(N391&lt;H391,"Revisar",IF(OR(G391="",G391="Não observado"),"Qualidade E0 ausente",IF(OR(G391="Sensor",G391="Marcação física"),"Válido — E0 observado",IF(G391="Cálculo","Válido — E0 calculado","Válido — E0 estimado"))))))</x:f>
      </x:c>
      <x:c r="AQ391" s="63" t="str">
        <x:f>IF(A391="","",IF(COUNTA(H391:T391)&lt;13,"Incompleta",IF(OR(I391&lt;H391,J391&lt;I391,K391&lt;J391,L391&lt;K391,M391&lt;L391,N391&lt;M391,O391&lt;N391,P391&lt;O391,Q391&lt;P391,R391&lt;Q391,S391&lt;R391,T391&lt;S391),"Revisar","Completa")))</x:f>
      </x:c>
      <x:c r="AR391" s="87" t="str">
        <x:f>IF(OR(V391="",W391="",Y391=""),"",Y391-(V391-W391))</x:f>
      </x:c>
      <x:c r="AS391" s="63" t="str">
        <x:f>IF(A391="","",IF(AND(E391&lt;&gt;"",F391&lt;&gt;"",G391&lt;&gt;"",Z391&lt;&gt;"",AA391&lt;&gt;"",AB391&lt;&gt;"",AC391&lt;&gt;""),"Completa","Incompleta"))</x:f>
      </x:c>
      <x:c r="AT391" s="63" t="str">
        <x:f>IF(A391="","",IF(COUNTIF($A$11:$A$410,A391)&gt;1,"ID duplicado",IF(AND(AR391&lt;&gt;"",ABS(AR391)&gt;0.01),"Revisar balanço",IF(AND(W391&lt;&gt;"",V391&lt;&gt;"",W391&gt;V391),"Retirada &gt; estoque",IF(AND(U391&lt;&gt;"",U391&lt;'Cenário Base'!$D$8*'Cenário Base'!$D$74),"E0 abaixo do gatilho",IF(AND(V391&lt;&gt;"",V391&gt;XLOOKUP(B391,$A$414:$A$418,$B$414:$B$418)),"Excedeu capacidade","Sem alerta"))))))</x:f>
      </x:c>
    </x:row>
    <x:row r="392">
      <x:c r="A392" s="43"/>
      <x:c r="B392" s="43"/>
      <x:c r="C392" s="43"/>
      <x:c r="D392" s="43"/>
      <x:c r="E392" s="43"/>
      <x:c r="F392" s="43"/>
      <x:c r="G392" s="43"/>
      <x:c r="H392" s="120"/>
      <x:c r="I392" s="120"/>
      <x:c r="J392" s="120"/>
      <x:c r="K392" s="120"/>
      <x:c r="L392" s="120"/>
      <x:c r="M392" s="120"/>
      <x:c r="N392" s="120"/>
      <x:c r="O392" s="120"/>
      <x:c r="P392" s="120"/>
      <x:c r="Q392" s="120"/>
      <x:c r="R392" s="120"/>
      <x:c r="S392" s="120"/>
      <x:c r="T392" s="120"/>
      <x:c r="U392" s="48"/>
      <x:c r="V392" s="48"/>
      <x:c r="W392" s="48"/>
      <x:c r="X392" s="48"/>
      <x:c r="Y392" s="48"/>
      <x:c r="Z392" s="49"/>
      <x:c r="AA392" s="43"/>
      <x:c r="AB392" s="43"/>
      <x:c r="AC392" s="43"/>
      <x:c r="AD392" s="43"/>
      <x:c r="AE392" s="43"/>
      <x:c r="AF392" s="87" t="str">
        <x:f>IF(OR(H392="",I392="",I392&lt;H392),"",(I392-H392)*1440)</x:f>
      </x:c>
      <x:c r="AG392" s="87" t="str">
        <x:f>IF(OR(I392="",M392="",M392&lt;I392),"",(M392-I392)*1440)</x:f>
      </x:c>
      <x:c r="AH392" s="87" t="str">
        <x:f>IF(OR(M392="",N392="",N392&lt;M392),"",(N392-M392)*1440)</x:f>
      </x:c>
      <x:c r="AI392" s="87" t="str">
        <x:f>IF(OR(H392="",N392="",N392&lt;H392),"",(N392-H392)*1440)</x:f>
      </x:c>
      <x:c r="AJ392" s="87" t="str">
        <x:f>IF(OR(I392="",N392="",N392&lt;I392),"",(N392-I392)*1440)</x:f>
      </x:c>
      <x:c r="AK392" s="87" t="str">
        <x:f>IF(OR(N392="",O392="",O392&lt;N392),"",(O392-N392)*1440)</x:f>
      </x:c>
      <x:c r="AL392" s="87" t="str">
        <x:f>IF(OR(O392="",P392="",P392&lt;O392),"",(P392-O392)*1440)</x:f>
      </x:c>
      <x:c r="AM392" s="87" t="str">
        <x:f>IF(OR(Q392="",R392="",R392&lt;Q392),"",(R392-Q392)*1440)</x:f>
      </x:c>
      <x:c r="AN392" s="87" t="str">
        <x:f>IF(OR(S392="",T392="",T392&lt;S392),"",(T392-S392)*1440)</x:f>
      </x:c>
      <x:c r="AO392" s="87" t="str">
        <x:f>IF(OR(U392="",V392=""),"",V392-U392)</x:f>
      </x:c>
      <x:c r="AP392" s="63" t="str">
        <x:f>IF(A392="","",IF(OR(B392="",H392="",N392=""),"Incompleto",IF(N392&lt;H392,"Revisar",IF(OR(G392="",G392="Não observado"),"Qualidade E0 ausente",IF(OR(G392="Sensor",G392="Marcação física"),"Válido — E0 observado",IF(G392="Cálculo","Válido — E0 calculado","Válido — E0 estimado"))))))</x:f>
      </x:c>
      <x:c r="AQ392" s="63" t="str">
        <x:f>IF(A392="","",IF(COUNTA(H392:T392)&lt;13,"Incompleta",IF(OR(I392&lt;H392,J392&lt;I392,K392&lt;J392,L392&lt;K392,M392&lt;L392,N392&lt;M392,O392&lt;N392,P392&lt;O392,Q392&lt;P392,R392&lt;Q392,S392&lt;R392,T392&lt;S392),"Revisar","Completa")))</x:f>
      </x:c>
      <x:c r="AR392" s="87" t="str">
        <x:f>IF(OR(V392="",W392="",Y392=""),"",Y392-(V392-W392))</x:f>
      </x:c>
      <x:c r="AS392" s="63" t="str">
        <x:f>IF(A392="","",IF(AND(E392&lt;&gt;"",F392&lt;&gt;"",G392&lt;&gt;"",Z392&lt;&gt;"",AA392&lt;&gt;"",AB392&lt;&gt;"",AC392&lt;&gt;""),"Completa","Incompleta"))</x:f>
      </x:c>
      <x:c r="AT392" s="63" t="str">
        <x:f>IF(A392="","",IF(COUNTIF($A$11:$A$410,A392)&gt;1,"ID duplicado",IF(AND(AR392&lt;&gt;"",ABS(AR392)&gt;0.01),"Revisar balanço",IF(AND(W392&lt;&gt;"",V392&lt;&gt;"",W392&gt;V392),"Retirada &gt; estoque",IF(AND(U392&lt;&gt;"",U392&lt;'Cenário Base'!$D$8*'Cenário Base'!$D$74),"E0 abaixo do gatilho",IF(AND(V392&lt;&gt;"",V392&gt;XLOOKUP(B392,$A$414:$A$418,$B$414:$B$418)),"Excedeu capacidade","Sem alerta"))))))</x:f>
      </x:c>
    </x:row>
    <x:row r="393">
      <x:c r="A393" s="43"/>
      <x:c r="B393" s="43"/>
      <x:c r="C393" s="43"/>
      <x:c r="D393" s="43"/>
      <x:c r="E393" s="43"/>
      <x:c r="F393" s="43"/>
      <x:c r="G393" s="43"/>
      <x:c r="H393" s="120"/>
      <x:c r="I393" s="120"/>
      <x:c r="J393" s="120"/>
      <x:c r="K393" s="120"/>
      <x:c r="L393" s="120"/>
      <x:c r="M393" s="120"/>
      <x:c r="N393" s="120"/>
      <x:c r="O393" s="120"/>
      <x:c r="P393" s="120"/>
      <x:c r="Q393" s="120"/>
      <x:c r="R393" s="120"/>
      <x:c r="S393" s="120"/>
      <x:c r="T393" s="120"/>
      <x:c r="U393" s="48"/>
      <x:c r="V393" s="48"/>
      <x:c r="W393" s="48"/>
      <x:c r="X393" s="48"/>
      <x:c r="Y393" s="48"/>
      <x:c r="Z393" s="49"/>
      <x:c r="AA393" s="43"/>
      <x:c r="AB393" s="43"/>
      <x:c r="AC393" s="43"/>
      <x:c r="AD393" s="43"/>
      <x:c r="AE393" s="43"/>
      <x:c r="AF393" s="87" t="str">
        <x:f>IF(OR(H393="",I393="",I393&lt;H393),"",(I393-H393)*1440)</x:f>
      </x:c>
      <x:c r="AG393" s="87" t="str">
        <x:f>IF(OR(I393="",M393="",M393&lt;I393),"",(M393-I393)*1440)</x:f>
      </x:c>
      <x:c r="AH393" s="87" t="str">
        <x:f>IF(OR(M393="",N393="",N393&lt;M393),"",(N393-M393)*1440)</x:f>
      </x:c>
      <x:c r="AI393" s="87" t="str">
        <x:f>IF(OR(H393="",N393="",N393&lt;H393),"",(N393-H393)*1440)</x:f>
      </x:c>
      <x:c r="AJ393" s="87" t="str">
        <x:f>IF(OR(I393="",N393="",N393&lt;I393),"",(N393-I393)*1440)</x:f>
      </x:c>
      <x:c r="AK393" s="87" t="str">
        <x:f>IF(OR(N393="",O393="",O393&lt;N393),"",(O393-N393)*1440)</x:f>
      </x:c>
      <x:c r="AL393" s="87" t="str">
        <x:f>IF(OR(O393="",P393="",P393&lt;O393),"",(P393-O393)*1440)</x:f>
      </x:c>
      <x:c r="AM393" s="87" t="str">
        <x:f>IF(OR(Q393="",R393="",R393&lt;Q393),"",(R393-Q393)*1440)</x:f>
      </x:c>
      <x:c r="AN393" s="87" t="str">
        <x:f>IF(OR(S393="",T393="",T393&lt;S393),"",(T393-S393)*1440)</x:f>
      </x:c>
      <x:c r="AO393" s="87" t="str">
        <x:f>IF(OR(U393="",V393=""),"",V393-U393)</x:f>
      </x:c>
      <x:c r="AP393" s="63" t="str">
        <x:f>IF(A393="","",IF(OR(B393="",H393="",N393=""),"Incompleto",IF(N393&lt;H393,"Revisar",IF(OR(G393="",G393="Não observado"),"Qualidade E0 ausente",IF(OR(G393="Sensor",G393="Marcação física"),"Válido — E0 observado",IF(G393="Cálculo","Válido — E0 calculado","Válido — E0 estimado"))))))</x:f>
      </x:c>
      <x:c r="AQ393" s="63" t="str">
        <x:f>IF(A393="","",IF(COUNTA(H393:T393)&lt;13,"Incompleta",IF(OR(I393&lt;H393,J393&lt;I393,K393&lt;J393,L393&lt;K393,M393&lt;L393,N393&lt;M393,O393&lt;N393,P393&lt;O393,Q393&lt;P393,R393&lt;Q393,S393&lt;R393,T393&lt;S393),"Revisar","Completa")))</x:f>
      </x:c>
      <x:c r="AR393" s="87" t="str">
        <x:f>IF(OR(V393="",W393="",Y393=""),"",Y393-(V393-W393))</x:f>
      </x:c>
      <x:c r="AS393" s="63" t="str">
        <x:f>IF(A393="","",IF(AND(E393&lt;&gt;"",F393&lt;&gt;"",G393&lt;&gt;"",Z393&lt;&gt;"",AA393&lt;&gt;"",AB393&lt;&gt;"",AC393&lt;&gt;""),"Completa","Incompleta"))</x:f>
      </x:c>
      <x:c r="AT393" s="63" t="str">
        <x:f>IF(A393="","",IF(COUNTIF($A$11:$A$410,A393)&gt;1,"ID duplicado",IF(AND(AR393&lt;&gt;"",ABS(AR393)&gt;0.01),"Revisar balanço",IF(AND(W393&lt;&gt;"",V393&lt;&gt;"",W393&gt;V393),"Retirada &gt; estoque",IF(AND(U393&lt;&gt;"",U393&lt;'Cenário Base'!$D$8*'Cenário Base'!$D$74),"E0 abaixo do gatilho",IF(AND(V393&lt;&gt;"",V393&gt;XLOOKUP(B393,$A$414:$A$418,$B$414:$B$418)),"Excedeu capacidade","Sem alerta"))))))</x:f>
      </x:c>
    </x:row>
    <x:row r="394">
      <x:c r="A394" s="43"/>
      <x:c r="B394" s="43"/>
      <x:c r="C394" s="43"/>
      <x:c r="D394" s="43"/>
      <x:c r="E394" s="43"/>
      <x:c r="F394" s="43"/>
      <x:c r="G394" s="43"/>
      <x:c r="H394" s="120"/>
      <x:c r="I394" s="120"/>
      <x:c r="J394" s="120"/>
      <x:c r="K394" s="120"/>
      <x:c r="L394" s="120"/>
      <x:c r="M394" s="120"/>
      <x:c r="N394" s="120"/>
      <x:c r="O394" s="120"/>
      <x:c r="P394" s="120"/>
      <x:c r="Q394" s="120"/>
      <x:c r="R394" s="120"/>
      <x:c r="S394" s="120"/>
      <x:c r="T394" s="120"/>
      <x:c r="U394" s="48"/>
      <x:c r="V394" s="48"/>
      <x:c r="W394" s="48"/>
      <x:c r="X394" s="48"/>
      <x:c r="Y394" s="48"/>
      <x:c r="Z394" s="49"/>
      <x:c r="AA394" s="43"/>
      <x:c r="AB394" s="43"/>
      <x:c r="AC394" s="43"/>
      <x:c r="AD394" s="43"/>
      <x:c r="AE394" s="43"/>
      <x:c r="AF394" s="87" t="str">
        <x:f>IF(OR(H394="",I394="",I394&lt;H394),"",(I394-H394)*1440)</x:f>
      </x:c>
      <x:c r="AG394" s="87" t="str">
        <x:f>IF(OR(I394="",M394="",M394&lt;I394),"",(M394-I394)*1440)</x:f>
      </x:c>
      <x:c r="AH394" s="87" t="str">
        <x:f>IF(OR(M394="",N394="",N394&lt;M394),"",(N394-M394)*1440)</x:f>
      </x:c>
      <x:c r="AI394" s="87" t="str">
        <x:f>IF(OR(H394="",N394="",N394&lt;H394),"",(N394-H394)*1440)</x:f>
      </x:c>
      <x:c r="AJ394" s="87" t="str">
        <x:f>IF(OR(I394="",N394="",N394&lt;I394),"",(N394-I394)*1440)</x:f>
      </x:c>
      <x:c r="AK394" s="87" t="str">
        <x:f>IF(OR(N394="",O394="",O394&lt;N394),"",(O394-N394)*1440)</x:f>
      </x:c>
      <x:c r="AL394" s="87" t="str">
        <x:f>IF(OR(O394="",P394="",P394&lt;O394),"",(P394-O394)*1440)</x:f>
      </x:c>
      <x:c r="AM394" s="87" t="str">
        <x:f>IF(OR(Q394="",R394="",R394&lt;Q394),"",(R394-Q394)*1440)</x:f>
      </x:c>
      <x:c r="AN394" s="87" t="str">
        <x:f>IF(OR(S394="",T394="",T394&lt;S394),"",(T394-S394)*1440)</x:f>
      </x:c>
      <x:c r="AO394" s="87" t="str">
        <x:f>IF(OR(U394="",V394=""),"",V394-U394)</x:f>
      </x:c>
      <x:c r="AP394" s="63" t="str">
        <x:f>IF(A394="","",IF(OR(B394="",H394="",N394=""),"Incompleto",IF(N394&lt;H394,"Revisar",IF(OR(G394="",G394="Não observado"),"Qualidade E0 ausente",IF(OR(G394="Sensor",G394="Marcação física"),"Válido — E0 observado",IF(G394="Cálculo","Válido — E0 calculado","Válido — E0 estimado"))))))</x:f>
      </x:c>
      <x:c r="AQ394" s="63" t="str">
        <x:f>IF(A394="","",IF(COUNTA(H394:T394)&lt;13,"Incompleta",IF(OR(I394&lt;H394,J394&lt;I394,K394&lt;J394,L394&lt;K394,M394&lt;L394,N394&lt;M394,O394&lt;N394,P394&lt;O394,Q394&lt;P394,R394&lt;Q394,S394&lt;R394,T394&lt;S394),"Revisar","Completa")))</x:f>
      </x:c>
      <x:c r="AR394" s="87" t="str">
        <x:f>IF(OR(V394="",W394="",Y394=""),"",Y394-(V394-W394))</x:f>
      </x:c>
      <x:c r="AS394" s="63" t="str">
        <x:f>IF(A394="","",IF(AND(E394&lt;&gt;"",F394&lt;&gt;"",G394&lt;&gt;"",Z394&lt;&gt;"",AA394&lt;&gt;"",AB394&lt;&gt;"",AC394&lt;&gt;""),"Completa","Incompleta"))</x:f>
      </x:c>
      <x:c r="AT394" s="63" t="str">
        <x:f>IF(A394="","",IF(COUNTIF($A$11:$A$410,A394)&gt;1,"ID duplicado",IF(AND(AR394&lt;&gt;"",ABS(AR394)&gt;0.01),"Revisar balanço",IF(AND(W394&lt;&gt;"",V394&lt;&gt;"",W394&gt;V394),"Retirada &gt; estoque",IF(AND(U394&lt;&gt;"",U394&lt;'Cenário Base'!$D$8*'Cenário Base'!$D$74),"E0 abaixo do gatilho",IF(AND(V394&lt;&gt;"",V394&gt;XLOOKUP(B394,$A$414:$A$418,$B$414:$B$418)),"Excedeu capacidade","Sem alerta"))))))</x:f>
      </x:c>
    </x:row>
    <x:row r="395">
      <x:c r="A395" s="43"/>
      <x:c r="B395" s="43"/>
      <x:c r="C395" s="43"/>
      <x:c r="D395" s="43"/>
      <x:c r="E395" s="43"/>
      <x:c r="F395" s="43"/>
      <x:c r="G395" s="43"/>
      <x:c r="H395" s="120"/>
      <x:c r="I395" s="120"/>
      <x:c r="J395" s="120"/>
      <x:c r="K395" s="120"/>
      <x:c r="L395" s="120"/>
      <x:c r="M395" s="120"/>
      <x:c r="N395" s="120"/>
      <x:c r="O395" s="120"/>
      <x:c r="P395" s="120"/>
      <x:c r="Q395" s="120"/>
      <x:c r="R395" s="120"/>
      <x:c r="S395" s="120"/>
      <x:c r="T395" s="120"/>
      <x:c r="U395" s="48"/>
      <x:c r="V395" s="48"/>
      <x:c r="W395" s="48"/>
      <x:c r="X395" s="48"/>
      <x:c r="Y395" s="48"/>
      <x:c r="Z395" s="49"/>
      <x:c r="AA395" s="43"/>
      <x:c r="AB395" s="43"/>
      <x:c r="AC395" s="43"/>
      <x:c r="AD395" s="43"/>
      <x:c r="AE395" s="43"/>
      <x:c r="AF395" s="87" t="str">
        <x:f>IF(OR(H395="",I395="",I395&lt;H395),"",(I395-H395)*1440)</x:f>
      </x:c>
      <x:c r="AG395" s="87" t="str">
        <x:f>IF(OR(I395="",M395="",M395&lt;I395),"",(M395-I395)*1440)</x:f>
      </x:c>
      <x:c r="AH395" s="87" t="str">
        <x:f>IF(OR(M395="",N395="",N395&lt;M395),"",(N395-M395)*1440)</x:f>
      </x:c>
      <x:c r="AI395" s="87" t="str">
        <x:f>IF(OR(H395="",N395="",N395&lt;H395),"",(N395-H395)*1440)</x:f>
      </x:c>
      <x:c r="AJ395" s="87" t="str">
        <x:f>IF(OR(I395="",N395="",N395&lt;I395),"",(N395-I395)*1440)</x:f>
      </x:c>
      <x:c r="AK395" s="87" t="str">
        <x:f>IF(OR(N395="",O395="",O395&lt;N395),"",(O395-N395)*1440)</x:f>
      </x:c>
      <x:c r="AL395" s="87" t="str">
        <x:f>IF(OR(O395="",P395="",P395&lt;O395),"",(P395-O395)*1440)</x:f>
      </x:c>
      <x:c r="AM395" s="87" t="str">
        <x:f>IF(OR(Q395="",R395="",R395&lt;Q395),"",(R395-Q395)*1440)</x:f>
      </x:c>
      <x:c r="AN395" s="87" t="str">
        <x:f>IF(OR(S395="",T395="",T395&lt;S395),"",(T395-S395)*1440)</x:f>
      </x:c>
      <x:c r="AO395" s="87" t="str">
        <x:f>IF(OR(U395="",V395=""),"",V395-U395)</x:f>
      </x:c>
      <x:c r="AP395" s="63" t="str">
        <x:f>IF(A395="","",IF(OR(B395="",H395="",N395=""),"Incompleto",IF(N395&lt;H395,"Revisar",IF(OR(G395="",G395="Não observado"),"Qualidade E0 ausente",IF(OR(G395="Sensor",G395="Marcação física"),"Válido — E0 observado",IF(G395="Cálculo","Válido — E0 calculado","Válido — E0 estimado"))))))</x:f>
      </x:c>
      <x:c r="AQ395" s="63" t="str">
        <x:f>IF(A395="","",IF(COUNTA(H395:T395)&lt;13,"Incompleta",IF(OR(I395&lt;H395,J395&lt;I395,K395&lt;J395,L395&lt;K395,M395&lt;L395,N395&lt;M395,O395&lt;N395,P395&lt;O395,Q395&lt;P395,R395&lt;Q395,S395&lt;R395,T395&lt;S395),"Revisar","Completa")))</x:f>
      </x:c>
      <x:c r="AR395" s="87" t="str">
        <x:f>IF(OR(V395="",W395="",Y395=""),"",Y395-(V395-W395))</x:f>
      </x:c>
      <x:c r="AS395" s="63" t="str">
        <x:f>IF(A395="","",IF(AND(E395&lt;&gt;"",F395&lt;&gt;"",G395&lt;&gt;"",Z395&lt;&gt;"",AA395&lt;&gt;"",AB395&lt;&gt;"",AC395&lt;&gt;""),"Completa","Incompleta"))</x:f>
      </x:c>
      <x:c r="AT395" s="63" t="str">
        <x:f>IF(A395="","",IF(COUNTIF($A$11:$A$410,A395)&gt;1,"ID duplicado",IF(AND(AR395&lt;&gt;"",ABS(AR395)&gt;0.01),"Revisar balanço",IF(AND(W395&lt;&gt;"",V395&lt;&gt;"",W395&gt;V395),"Retirada &gt; estoque",IF(AND(U395&lt;&gt;"",U395&lt;'Cenário Base'!$D$8*'Cenário Base'!$D$74),"E0 abaixo do gatilho",IF(AND(V395&lt;&gt;"",V395&gt;XLOOKUP(B395,$A$414:$A$418,$B$414:$B$418)),"Excedeu capacidade","Sem alerta"))))))</x:f>
      </x:c>
    </x:row>
    <x:row r="396">
      <x:c r="A396" s="43"/>
      <x:c r="B396" s="43"/>
      <x:c r="C396" s="43"/>
      <x:c r="D396" s="43"/>
      <x:c r="E396" s="43"/>
      <x:c r="F396" s="43"/>
      <x:c r="G396" s="43"/>
      <x:c r="H396" s="120"/>
      <x:c r="I396" s="120"/>
      <x:c r="J396" s="120"/>
      <x:c r="K396" s="120"/>
      <x:c r="L396" s="120"/>
      <x:c r="M396" s="120"/>
      <x:c r="N396" s="120"/>
      <x:c r="O396" s="120"/>
      <x:c r="P396" s="120"/>
      <x:c r="Q396" s="120"/>
      <x:c r="R396" s="120"/>
      <x:c r="S396" s="120"/>
      <x:c r="T396" s="120"/>
      <x:c r="U396" s="48"/>
      <x:c r="V396" s="48"/>
      <x:c r="W396" s="48"/>
      <x:c r="X396" s="48"/>
      <x:c r="Y396" s="48"/>
      <x:c r="Z396" s="49"/>
      <x:c r="AA396" s="43"/>
      <x:c r="AB396" s="43"/>
      <x:c r="AC396" s="43"/>
      <x:c r="AD396" s="43"/>
      <x:c r="AE396" s="43"/>
      <x:c r="AF396" s="87" t="str">
        <x:f>IF(OR(H396="",I396="",I396&lt;H396),"",(I396-H396)*1440)</x:f>
      </x:c>
      <x:c r="AG396" s="87" t="str">
        <x:f>IF(OR(I396="",M396="",M396&lt;I396),"",(M396-I396)*1440)</x:f>
      </x:c>
      <x:c r="AH396" s="87" t="str">
        <x:f>IF(OR(M396="",N396="",N396&lt;M396),"",(N396-M396)*1440)</x:f>
      </x:c>
      <x:c r="AI396" s="87" t="str">
        <x:f>IF(OR(H396="",N396="",N396&lt;H396),"",(N396-H396)*1440)</x:f>
      </x:c>
      <x:c r="AJ396" s="87" t="str">
        <x:f>IF(OR(I396="",N396="",N396&lt;I396),"",(N396-I396)*1440)</x:f>
      </x:c>
      <x:c r="AK396" s="87" t="str">
        <x:f>IF(OR(N396="",O396="",O396&lt;N396),"",(O396-N396)*1440)</x:f>
      </x:c>
      <x:c r="AL396" s="87" t="str">
        <x:f>IF(OR(O396="",P396="",P396&lt;O396),"",(P396-O396)*1440)</x:f>
      </x:c>
      <x:c r="AM396" s="87" t="str">
        <x:f>IF(OR(Q396="",R396="",R396&lt;Q396),"",(R396-Q396)*1440)</x:f>
      </x:c>
      <x:c r="AN396" s="87" t="str">
        <x:f>IF(OR(S396="",T396="",T396&lt;S396),"",(T396-S396)*1440)</x:f>
      </x:c>
      <x:c r="AO396" s="87" t="str">
        <x:f>IF(OR(U396="",V396=""),"",V396-U396)</x:f>
      </x:c>
      <x:c r="AP396" s="63" t="str">
        <x:f>IF(A396="","",IF(OR(B396="",H396="",N396=""),"Incompleto",IF(N396&lt;H396,"Revisar",IF(OR(G396="",G396="Não observado"),"Qualidade E0 ausente",IF(OR(G396="Sensor",G396="Marcação física"),"Válido — E0 observado",IF(G396="Cálculo","Válido — E0 calculado","Válido — E0 estimado"))))))</x:f>
      </x:c>
      <x:c r="AQ396" s="63" t="str">
        <x:f>IF(A396="","",IF(COUNTA(H396:T396)&lt;13,"Incompleta",IF(OR(I396&lt;H396,J396&lt;I396,K396&lt;J396,L396&lt;K396,M396&lt;L396,N396&lt;M396,O396&lt;N396,P396&lt;O396,Q396&lt;P396,R396&lt;Q396,S396&lt;R396,T396&lt;S396),"Revisar","Completa")))</x:f>
      </x:c>
      <x:c r="AR396" s="87" t="str">
        <x:f>IF(OR(V396="",W396="",Y396=""),"",Y396-(V396-W396))</x:f>
      </x:c>
      <x:c r="AS396" s="63" t="str">
        <x:f>IF(A396="","",IF(AND(E396&lt;&gt;"",F396&lt;&gt;"",G396&lt;&gt;"",Z396&lt;&gt;"",AA396&lt;&gt;"",AB396&lt;&gt;"",AC396&lt;&gt;""),"Completa","Incompleta"))</x:f>
      </x:c>
      <x:c r="AT396" s="63" t="str">
        <x:f>IF(A396="","",IF(COUNTIF($A$11:$A$410,A396)&gt;1,"ID duplicado",IF(AND(AR396&lt;&gt;"",ABS(AR396)&gt;0.01),"Revisar balanço",IF(AND(W396&lt;&gt;"",V396&lt;&gt;"",W396&gt;V396),"Retirada &gt; estoque",IF(AND(U396&lt;&gt;"",U396&lt;'Cenário Base'!$D$8*'Cenário Base'!$D$74),"E0 abaixo do gatilho",IF(AND(V396&lt;&gt;"",V396&gt;XLOOKUP(B396,$A$414:$A$418,$B$414:$B$418)),"Excedeu capacidade","Sem alerta"))))))</x:f>
      </x:c>
    </x:row>
    <x:row r="397">
      <x:c r="A397" s="43"/>
      <x:c r="B397" s="43"/>
      <x:c r="C397" s="43"/>
      <x:c r="D397" s="43"/>
      <x:c r="E397" s="43"/>
      <x:c r="F397" s="43"/>
      <x:c r="G397" s="43"/>
      <x:c r="H397" s="120"/>
      <x:c r="I397" s="120"/>
      <x:c r="J397" s="120"/>
      <x:c r="K397" s="120"/>
      <x:c r="L397" s="120"/>
      <x:c r="M397" s="120"/>
      <x:c r="N397" s="120"/>
      <x:c r="O397" s="120"/>
      <x:c r="P397" s="120"/>
      <x:c r="Q397" s="120"/>
      <x:c r="R397" s="120"/>
      <x:c r="S397" s="120"/>
      <x:c r="T397" s="120"/>
      <x:c r="U397" s="48"/>
      <x:c r="V397" s="48"/>
      <x:c r="W397" s="48"/>
      <x:c r="X397" s="48"/>
      <x:c r="Y397" s="48"/>
      <x:c r="Z397" s="49"/>
      <x:c r="AA397" s="43"/>
      <x:c r="AB397" s="43"/>
      <x:c r="AC397" s="43"/>
      <x:c r="AD397" s="43"/>
      <x:c r="AE397" s="43"/>
      <x:c r="AF397" s="87" t="str">
        <x:f>IF(OR(H397="",I397="",I397&lt;H397),"",(I397-H397)*1440)</x:f>
      </x:c>
      <x:c r="AG397" s="87" t="str">
        <x:f>IF(OR(I397="",M397="",M397&lt;I397),"",(M397-I397)*1440)</x:f>
      </x:c>
      <x:c r="AH397" s="87" t="str">
        <x:f>IF(OR(M397="",N397="",N397&lt;M397),"",(N397-M397)*1440)</x:f>
      </x:c>
      <x:c r="AI397" s="87" t="str">
        <x:f>IF(OR(H397="",N397="",N397&lt;H397),"",(N397-H397)*1440)</x:f>
      </x:c>
      <x:c r="AJ397" s="87" t="str">
        <x:f>IF(OR(I397="",N397="",N397&lt;I397),"",(N397-I397)*1440)</x:f>
      </x:c>
      <x:c r="AK397" s="87" t="str">
        <x:f>IF(OR(N397="",O397="",O397&lt;N397),"",(O397-N397)*1440)</x:f>
      </x:c>
      <x:c r="AL397" s="87" t="str">
        <x:f>IF(OR(O397="",P397="",P397&lt;O397),"",(P397-O397)*1440)</x:f>
      </x:c>
      <x:c r="AM397" s="87" t="str">
        <x:f>IF(OR(Q397="",R397="",R397&lt;Q397),"",(R397-Q397)*1440)</x:f>
      </x:c>
      <x:c r="AN397" s="87" t="str">
        <x:f>IF(OR(S397="",T397="",T397&lt;S397),"",(T397-S397)*1440)</x:f>
      </x:c>
      <x:c r="AO397" s="87" t="str">
        <x:f>IF(OR(U397="",V397=""),"",V397-U397)</x:f>
      </x:c>
      <x:c r="AP397" s="63" t="str">
        <x:f>IF(A397="","",IF(OR(B397="",H397="",N397=""),"Incompleto",IF(N397&lt;H397,"Revisar",IF(OR(G397="",G397="Não observado"),"Qualidade E0 ausente",IF(OR(G397="Sensor",G397="Marcação física"),"Válido — E0 observado",IF(G397="Cálculo","Válido — E0 calculado","Válido — E0 estimado"))))))</x:f>
      </x:c>
      <x:c r="AQ397" s="63" t="str">
        <x:f>IF(A397="","",IF(COUNTA(H397:T397)&lt;13,"Incompleta",IF(OR(I397&lt;H397,J397&lt;I397,K397&lt;J397,L397&lt;K397,M397&lt;L397,N397&lt;M397,O397&lt;N397,P397&lt;O397,Q397&lt;P397,R397&lt;Q397,S397&lt;R397,T397&lt;S397),"Revisar","Completa")))</x:f>
      </x:c>
      <x:c r="AR397" s="87" t="str">
        <x:f>IF(OR(V397="",W397="",Y397=""),"",Y397-(V397-W397))</x:f>
      </x:c>
      <x:c r="AS397" s="63" t="str">
        <x:f>IF(A397="","",IF(AND(E397&lt;&gt;"",F397&lt;&gt;"",G397&lt;&gt;"",Z397&lt;&gt;"",AA397&lt;&gt;"",AB397&lt;&gt;"",AC397&lt;&gt;""),"Completa","Incompleta"))</x:f>
      </x:c>
      <x:c r="AT397" s="63" t="str">
        <x:f>IF(A397="","",IF(COUNTIF($A$11:$A$410,A397)&gt;1,"ID duplicado",IF(AND(AR397&lt;&gt;"",ABS(AR397)&gt;0.01),"Revisar balanço",IF(AND(W397&lt;&gt;"",V397&lt;&gt;"",W397&gt;V397),"Retirada &gt; estoque",IF(AND(U397&lt;&gt;"",U397&lt;'Cenário Base'!$D$8*'Cenário Base'!$D$74),"E0 abaixo do gatilho",IF(AND(V397&lt;&gt;"",V397&gt;XLOOKUP(B397,$A$414:$A$418,$B$414:$B$418)),"Excedeu capacidade","Sem alerta"))))))</x:f>
      </x:c>
    </x:row>
    <x:row r="398">
      <x:c r="A398" s="43"/>
      <x:c r="B398" s="43"/>
      <x:c r="C398" s="43"/>
      <x:c r="D398" s="43"/>
      <x:c r="E398" s="43"/>
      <x:c r="F398" s="43"/>
      <x:c r="G398" s="43"/>
      <x:c r="H398" s="120"/>
      <x:c r="I398" s="120"/>
      <x:c r="J398" s="120"/>
      <x:c r="K398" s="120"/>
      <x:c r="L398" s="120"/>
      <x:c r="M398" s="120"/>
      <x:c r="N398" s="120"/>
      <x:c r="O398" s="120"/>
      <x:c r="P398" s="120"/>
      <x:c r="Q398" s="120"/>
      <x:c r="R398" s="120"/>
      <x:c r="S398" s="120"/>
      <x:c r="T398" s="120"/>
      <x:c r="U398" s="48"/>
      <x:c r="V398" s="48"/>
      <x:c r="W398" s="48"/>
      <x:c r="X398" s="48"/>
      <x:c r="Y398" s="48"/>
      <x:c r="Z398" s="49"/>
      <x:c r="AA398" s="43"/>
      <x:c r="AB398" s="43"/>
      <x:c r="AC398" s="43"/>
      <x:c r="AD398" s="43"/>
      <x:c r="AE398" s="43"/>
      <x:c r="AF398" s="87" t="str">
        <x:f>IF(OR(H398="",I398="",I398&lt;H398),"",(I398-H398)*1440)</x:f>
      </x:c>
      <x:c r="AG398" s="87" t="str">
        <x:f>IF(OR(I398="",M398="",M398&lt;I398),"",(M398-I398)*1440)</x:f>
      </x:c>
      <x:c r="AH398" s="87" t="str">
        <x:f>IF(OR(M398="",N398="",N398&lt;M398),"",(N398-M398)*1440)</x:f>
      </x:c>
      <x:c r="AI398" s="87" t="str">
        <x:f>IF(OR(H398="",N398="",N398&lt;H398),"",(N398-H398)*1440)</x:f>
      </x:c>
      <x:c r="AJ398" s="87" t="str">
        <x:f>IF(OR(I398="",N398="",N398&lt;I398),"",(N398-I398)*1440)</x:f>
      </x:c>
      <x:c r="AK398" s="87" t="str">
        <x:f>IF(OR(N398="",O398="",O398&lt;N398),"",(O398-N398)*1440)</x:f>
      </x:c>
      <x:c r="AL398" s="87" t="str">
        <x:f>IF(OR(O398="",P398="",P398&lt;O398),"",(P398-O398)*1440)</x:f>
      </x:c>
      <x:c r="AM398" s="87" t="str">
        <x:f>IF(OR(Q398="",R398="",R398&lt;Q398),"",(R398-Q398)*1440)</x:f>
      </x:c>
      <x:c r="AN398" s="87" t="str">
        <x:f>IF(OR(S398="",T398="",T398&lt;S398),"",(T398-S398)*1440)</x:f>
      </x:c>
      <x:c r="AO398" s="87" t="str">
        <x:f>IF(OR(U398="",V398=""),"",V398-U398)</x:f>
      </x:c>
      <x:c r="AP398" s="63" t="str">
        <x:f>IF(A398="","",IF(OR(B398="",H398="",N398=""),"Incompleto",IF(N398&lt;H398,"Revisar",IF(OR(G398="",G398="Não observado"),"Qualidade E0 ausente",IF(OR(G398="Sensor",G398="Marcação física"),"Válido — E0 observado",IF(G398="Cálculo","Válido — E0 calculado","Válido — E0 estimado"))))))</x:f>
      </x:c>
      <x:c r="AQ398" s="63" t="str">
        <x:f>IF(A398="","",IF(COUNTA(H398:T398)&lt;13,"Incompleta",IF(OR(I398&lt;H398,J398&lt;I398,K398&lt;J398,L398&lt;K398,M398&lt;L398,N398&lt;M398,O398&lt;N398,P398&lt;O398,Q398&lt;P398,R398&lt;Q398,S398&lt;R398,T398&lt;S398),"Revisar","Completa")))</x:f>
      </x:c>
      <x:c r="AR398" s="87" t="str">
        <x:f>IF(OR(V398="",W398="",Y398=""),"",Y398-(V398-W398))</x:f>
      </x:c>
      <x:c r="AS398" s="63" t="str">
        <x:f>IF(A398="","",IF(AND(E398&lt;&gt;"",F398&lt;&gt;"",G398&lt;&gt;"",Z398&lt;&gt;"",AA398&lt;&gt;"",AB398&lt;&gt;"",AC398&lt;&gt;""),"Completa","Incompleta"))</x:f>
      </x:c>
      <x:c r="AT398" s="63" t="str">
        <x:f>IF(A398="","",IF(COUNTIF($A$11:$A$410,A398)&gt;1,"ID duplicado",IF(AND(AR398&lt;&gt;"",ABS(AR398)&gt;0.01),"Revisar balanço",IF(AND(W398&lt;&gt;"",V398&lt;&gt;"",W398&gt;V398),"Retirada &gt; estoque",IF(AND(U398&lt;&gt;"",U398&lt;'Cenário Base'!$D$8*'Cenário Base'!$D$74),"E0 abaixo do gatilho",IF(AND(V398&lt;&gt;"",V398&gt;XLOOKUP(B398,$A$414:$A$418,$B$414:$B$418)),"Excedeu capacidade","Sem alerta"))))))</x:f>
      </x:c>
    </x:row>
    <x:row r="399">
      <x:c r="A399" s="43"/>
      <x:c r="B399" s="43"/>
      <x:c r="C399" s="43"/>
      <x:c r="D399" s="43"/>
      <x:c r="E399" s="43"/>
      <x:c r="F399" s="43"/>
      <x:c r="G399" s="43"/>
      <x:c r="H399" s="120"/>
      <x:c r="I399" s="120"/>
      <x:c r="J399" s="120"/>
      <x:c r="K399" s="120"/>
      <x:c r="L399" s="120"/>
      <x:c r="M399" s="120"/>
      <x:c r="N399" s="120"/>
      <x:c r="O399" s="120"/>
      <x:c r="P399" s="120"/>
      <x:c r="Q399" s="120"/>
      <x:c r="R399" s="120"/>
      <x:c r="S399" s="120"/>
      <x:c r="T399" s="120"/>
      <x:c r="U399" s="48"/>
      <x:c r="V399" s="48"/>
      <x:c r="W399" s="48"/>
      <x:c r="X399" s="48"/>
      <x:c r="Y399" s="48"/>
      <x:c r="Z399" s="49"/>
      <x:c r="AA399" s="43"/>
      <x:c r="AB399" s="43"/>
      <x:c r="AC399" s="43"/>
      <x:c r="AD399" s="43"/>
      <x:c r="AE399" s="43"/>
      <x:c r="AF399" s="87" t="str">
        <x:f>IF(OR(H399="",I399="",I399&lt;H399),"",(I399-H399)*1440)</x:f>
      </x:c>
      <x:c r="AG399" s="87" t="str">
        <x:f>IF(OR(I399="",M399="",M399&lt;I399),"",(M399-I399)*1440)</x:f>
      </x:c>
      <x:c r="AH399" s="87" t="str">
        <x:f>IF(OR(M399="",N399="",N399&lt;M399),"",(N399-M399)*1440)</x:f>
      </x:c>
      <x:c r="AI399" s="87" t="str">
        <x:f>IF(OR(H399="",N399="",N399&lt;H399),"",(N399-H399)*1440)</x:f>
      </x:c>
      <x:c r="AJ399" s="87" t="str">
        <x:f>IF(OR(I399="",N399="",N399&lt;I399),"",(N399-I399)*1440)</x:f>
      </x:c>
      <x:c r="AK399" s="87" t="str">
        <x:f>IF(OR(N399="",O399="",O399&lt;N399),"",(O399-N399)*1440)</x:f>
      </x:c>
      <x:c r="AL399" s="87" t="str">
        <x:f>IF(OR(O399="",P399="",P399&lt;O399),"",(P399-O399)*1440)</x:f>
      </x:c>
      <x:c r="AM399" s="87" t="str">
        <x:f>IF(OR(Q399="",R399="",R399&lt;Q399),"",(R399-Q399)*1440)</x:f>
      </x:c>
      <x:c r="AN399" s="87" t="str">
        <x:f>IF(OR(S399="",T399="",T399&lt;S399),"",(T399-S399)*1440)</x:f>
      </x:c>
      <x:c r="AO399" s="87" t="str">
        <x:f>IF(OR(U399="",V399=""),"",V399-U399)</x:f>
      </x:c>
      <x:c r="AP399" s="63" t="str">
        <x:f>IF(A399="","",IF(OR(B399="",H399="",N399=""),"Incompleto",IF(N399&lt;H399,"Revisar",IF(OR(G399="",G399="Não observado"),"Qualidade E0 ausente",IF(OR(G399="Sensor",G399="Marcação física"),"Válido — E0 observado",IF(G399="Cálculo","Válido — E0 calculado","Válido — E0 estimado"))))))</x:f>
      </x:c>
      <x:c r="AQ399" s="63" t="str">
        <x:f>IF(A399="","",IF(COUNTA(H399:T399)&lt;13,"Incompleta",IF(OR(I399&lt;H399,J399&lt;I399,K399&lt;J399,L399&lt;K399,M399&lt;L399,N399&lt;M399,O399&lt;N399,P399&lt;O399,Q399&lt;P399,R399&lt;Q399,S399&lt;R399,T399&lt;S399),"Revisar","Completa")))</x:f>
      </x:c>
      <x:c r="AR399" s="87" t="str">
        <x:f>IF(OR(V399="",W399="",Y399=""),"",Y399-(V399-W399))</x:f>
      </x:c>
      <x:c r="AS399" s="63" t="str">
        <x:f>IF(A399="","",IF(AND(E399&lt;&gt;"",F399&lt;&gt;"",G399&lt;&gt;"",Z399&lt;&gt;"",AA399&lt;&gt;"",AB399&lt;&gt;"",AC399&lt;&gt;""),"Completa","Incompleta"))</x:f>
      </x:c>
      <x:c r="AT399" s="63" t="str">
        <x:f>IF(A399="","",IF(COUNTIF($A$11:$A$410,A399)&gt;1,"ID duplicado",IF(AND(AR399&lt;&gt;"",ABS(AR399)&gt;0.01),"Revisar balanço",IF(AND(W399&lt;&gt;"",V399&lt;&gt;"",W399&gt;V399),"Retirada &gt; estoque",IF(AND(U399&lt;&gt;"",U399&lt;'Cenário Base'!$D$8*'Cenário Base'!$D$74),"E0 abaixo do gatilho",IF(AND(V399&lt;&gt;"",V399&gt;XLOOKUP(B399,$A$414:$A$418,$B$414:$B$418)),"Excedeu capacidade","Sem alerta"))))))</x:f>
      </x:c>
    </x:row>
    <x:row r="400">
      <x:c r="A400" s="43"/>
      <x:c r="B400" s="43"/>
      <x:c r="C400" s="43"/>
      <x:c r="D400" s="43"/>
      <x:c r="E400" s="43"/>
      <x:c r="F400" s="43"/>
      <x:c r="G400" s="43"/>
      <x:c r="H400" s="120"/>
      <x:c r="I400" s="120"/>
      <x:c r="J400" s="120"/>
      <x:c r="K400" s="120"/>
      <x:c r="L400" s="120"/>
      <x:c r="M400" s="120"/>
      <x:c r="N400" s="120"/>
      <x:c r="O400" s="120"/>
      <x:c r="P400" s="120"/>
      <x:c r="Q400" s="120"/>
      <x:c r="R400" s="120"/>
      <x:c r="S400" s="120"/>
      <x:c r="T400" s="120"/>
      <x:c r="U400" s="48"/>
      <x:c r="V400" s="48"/>
      <x:c r="W400" s="48"/>
      <x:c r="X400" s="48"/>
      <x:c r="Y400" s="48"/>
      <x:c r="Z400" s="49"/>
      <x:c r="AA400" s="43"/>
      <x:c r="AB400" s="43"/>
      <x:c r="AC400" s="43"/>
      <x:c r="AD400" s="43"/>
      <x:c r="AE400" s="43"/>
      <x:c r="AF400" s="87" t="str">
        <x:f>IF(OR(H400="",I400="",I400&lt;H400),"",(I400-H400)*1440)</x:f>
      </x:c>
      <x:c r="AG400" s="87" t="str">
        <x:f>IF(OR(I400="",M400="",M400&lt;I400),"",(M400-I400)*1440)</x:f>
      </x:c>
      <x:c r="AH400" s="87" t="str">
        <x:f>IF(OR(M400="",N400="",N400&lt;M400),"",(N400-M400)*1440)</x:f>
      </x:c>
      <x:c r="AI400" s="87" t="str">
        <x:f>IF(OR(H400="",N400="",N400&lt;H400),"",(N400-H400)*1440)</x:f>
      </x:c>
      <x:c r="AJ400" s="87" t="str">
        <x:f>IF(OR(I400="",N400="",N400&lt;I400),"",(N400-I400)*1440)</x:f>
      </x:c>
      <x:c r="AK400" s="87" t="str">
        <x:f>IF(OR(N400="",O400="",O400&lt;N400),"",(O400-N400)*1440)</x:f>
      </x:c>
      <x:c r="AL400" s="87" t="str">
        <x:f>IF(OR(O400="",P400="",P400&lt;O400),"",(P400-O400)*1440)</x:f>
      </x:c>
      <x:c r="AM400" s="87" t="str">
        <x:f>IF(OR(Q400="",R400="",R400&lt;Q400),"",(R400-Q400)*1440)</x:f>
      </x:c>
      <x:c r="AN400" s="87" t="str">
        <x:f>IF(OR(S400="",T400="",T400&lt;S400),"",(T400-S400)*1440)</x:f>
      </x:c>
      <x:c r="AO400" s="87" t="str">
        <x:f>IF(OR(U400="",V400=""),"",V400-U400)</x:f>
      </x:c>
      <x:c r="AP400" s="63" t="str">
        <x:f>IF(A400="","",IF(OR(B400="",H400="",N400=""),"Incompleto",IF(N400&lt;H400,"Revisar",IF(OR(G400="",G400="Não observado"),"Qualidade E0 ausente",IF(OR(G400="Sensor",G400="Marcação física"),"Válido — E0 observado",IF(G400="Cálculo","Válido — E0 calculado","Válido — E0 estimado"))))))</x:f>
      </x:c>
      <x:c r="AQ400" s="63" t="str">
        <x:f>IF(A400="","",IF(COUNTA(H400:T400)&lt;13,"Incompleta",IF(OR(I400&lt;H400,J400&lt;I400,K400&lt;J400,L400&lt;K400,M400&lt;L400,N400&lt;M400,O400&lt;N400,P400&lt;O400,Q400&lt;P400,R400&lt;Q400,S400&lt;R400,T400&lt;S400),"Revisar","Completa")))</x:f>
      </x:c>
      <x:c r="AR400" s="87" t="str">
        <x:f>IF(OR(V400="",W400="",Y400=""),"",Y400-(V400-W400))</x:f>
      </x:c>
      <x:c r="AS400" s="63" t="str">
        <x:f>IF(A400="","",IF(AND(E400&lt;&gt;"",F400&lt;&gt;"",G400&lt;&gt;"",Z400&lt;&gt;"",AA400&lt;&gt;"",AB400&lt;&gt;"",AC400&lt;&gt;""),"Completa","Incompleta"))</x:f>
      </x:c>
      <x:c r="AT400" s="63" t="str">
        <x:f>IF(A400="","",IF(COUNTIF($A$11:$A$410,A400)&gt;1,"ID duplicado",IF(AND(AR400&lt;&gt;"",ABS(AR400)&gt;0.01),"Revisar balanço",IF(AND(W400&lt;&gt;"",V400&lt;&gt;"",W400&gt;V400),"Retirada &gt; estoque",IF(AND(U400&lt;&gt;"",U400&lt;'Cenário Base'!$D$8*'Cenário Base'!$D$74),"E0 abaixo do gatilho",IF(AND(V400&lt;&gt;"",V400&gt;XLOOKUP(B400,$A$414:$A$418,$B$414:$B$418)),"Excedeu capacidade","Sem alerta"))))))</x:f>
      </x:c>
    </x:row>
    <x:row r="401">
      <x:c r="A401" s="43"/>
      <x:c r="B401" s="43"/>
      <x:c r="C401" s="43"/>
      <x:c r="D401" s="43"/>
      <x:c r="E401" s="43"/>
      <x:c r="F401" s="43"/>
      <x:c r="G401" s="43"/>
      <x:c r="H401" s="120"/>
      <x:c r="I401" s="120"/>
      <x:c r="J401" s="120"/>
      <x:c r="K401" s="120"/>
      <x:c r="L401" s="120"/>
      <x:c r="M401" s="120"/>
      <x:c r="N401" s="120"/>
      <x:c r="O401" s="120"/>
      <x:c r="P401" s="120"/>
      <x:c r="Q401" s="120"/>
      <x:c r="R401" s="120"/>
      <x:c r="S401" s="120"/>
      <x:c r="T401" s="120"/>
      <x:c r="U401" s="48"/>
      <x:c r="V401" s="48"/>
      <x:c r="W401" s="48"/>
      <x:c r="X401" s="48"/>
      <x:c r="Y401" s="48"/>
      <x:c r="Z401" s="49"/>
      <x:c r="AA401" s="43"/>
      <x:c r="AB401" s="43"/>
      <x:c r="AC401" s="43"/>
      <x:c r="AD401" s="43"/>
      <x:c r="AE401" s="43"/>
      <x:c r="AF401" s="87" t="str">
        <x:f>IF(OR(H401="",I401="",I401&lt;H401),"",(I401-H401)*1440)</x:f>
      </x:c>
      <x:c r="AG401" s="87" t="str">
        <x:f>IF(OR(I401="",M401="",M401&lt;I401),"",(M401-I401)*1440)</x:f>
      </x:c>
      <x:c r="AH401" s="87" t="str">
        <x:f>IF(OR(M401="",N401="",N401&lt;M401),"",(N401-M401)*1440)</x:f>
      </x:c>
      <x:c r="AI401" s="87" t="str">
        <x:f>IF(OR(H401="",N401="",N401&lt;H401),"",(N401-H401)*1440)</x:f>
      </x:c>
      <x:c r="AJ401" s="87" t="str">
        <x:f>IF(OR(I401="",N401="",N401&lt;I401),"",(N401-I401)*1440)</x:f>
      </x:c>
      <x:c r="AK401" s="87" t="str">
        <x:f>IF(OR(N401="",O401="",O401&lt;N401),"",(O401-N401)*1440)</x:f>
      </x:c>
      <x:c r="AL401" s="87" t="str">
        <x:f>IF(OR(O401="",P401="",P401&lt;O401),"",(P401-O401)*1440)</x:f>
      </x:c>
      <x:c r="AM401" s="87" t="str">
        <x:f>IF(OR(Q401="",R401="",R401&lt;Q401),"",(R401-Q401)*1440)</x:f>
      </x:c>
      <x:c r="AN401" s="87" t="str">
        <x:f>IF(OR(S401="",T401="",T401&lt;S401),"",(T401-S401)*1440)</x:f>
      </x:c>
      <x:c r="AO401" s="87" t="str">
        <x:f>IF(OR(U401="",V401=""),"",V401-U401)</x:f>
      </x:c>
      <x:c r="AP401" s="63" t="str">
        <x:f>IF(A401="","",IF(OR(B401="",H401="",N401=""),"Incompleto",IF(N401&lt;H401,"Revisar",IF(OR(G401="",G401="Não observado"),"Qualidade E0 ausente",IF(OR(G401="Sensor",G401="Marcação física"),"Válido — E0 observado",IF(G401="Cálculo","Válido — E0 calculado","Válido — E0 estimado"))))))</x:f>
      </x:c>
      <x:c r="AQ401" s="63" t="str">
        <x:f>IF(A401="","",IF(COUNTA(H401:T401)&lt;13,"Incompleta",IF(OR(I401&lt;H401,J401&lt;I401,K401&lt;J401,L401&lt;K401,M401&lt;L401,N401&lt;M401,O401&lt;N401,P401&lt;O401,Q401&lt;P401,R401&lt;Q401,S401&lt;R401,T401&lt;S401),"Revisar","Completa")))</x:f>
      </x:c>
      <x:c r="AR401" s="87" t="str">
        <x:f>IF(OR(V401="",W401="",Y401=""),"",Y401-(V401-W401))</x:f>
      </x:c>
      <x:c r="AS401" s="63" t="str">
        <x:f>IF(A401="","",IF(AND(E401&lt;&gt;"",F401&lt;&gt;"",G401&lt;&gt;"",Z401&lt;&gt;"",AA401&lt;&gt;"",AB401&lt;&gt;"",AC401&lt;&gt;""),"Completa","Incompleta"))</x:f>
      </x:c>
      <x:c r="AT401" s="63" t="str">
        <x:f>IF(A401="","",IF(COUNTIF($A$11:$A$410,A401)&gt;1,"ID duplicado",IF(AND(AR401&lt;&gt;"",ABS(AR401)&gt;0.01),"Revisar balanço",IF(AND(W401&lt;&gt;"",V401&lt;&gt;"",W401&gt;V401),"Retirada &gt; estoque",IF(AND(U401&lt;&gt;"",U401&lt;'Cenário Base'!$D$8*'Cenário Base'!$D$74),"E0 abaixo do gatilho",IF(AND(V401&lt;&gt;"",V401&gt;XLOOKUP(B401,$A$414:$A$418,$B$414:$B$418)),"Excedeu capacidade","Sem alerta"))))))</x:f>
      </x:c>
    </x:row>
    <x:row r="402">
      <x:c r="A402" s="43"/>
      <x:c r="B402" s="43"/>
      <x:c r="C402" s="43"/>
      <x:c r="D402" s="43"/>
      <x:c r="E402" s="43"/>
      <x:c r="F402" s="43"/>
      <x:c r="G402" s="43"/>
      <x:c r="H402" s="120"/>
      <x:c r="I402" s="120"/>
      <x:c r="J402" s="120"/>
      <x:c r="K402" s="120"/>
      <x:c r="L402" s="120"/>
      <x:c r="M402" s="120"/>
      <x:c r="N402" s="120"/>
      <x:c r="O402" s="120"/>
      <x:c r="P402" s="120"/>
      <x:c r="Q402" s="120"/>
      <x:c r="R402" s="120"/>
      <x:c r="S402" s="120"/>
      <x:c r="T402" s="120"/>
      <x:c r="U402" s="48"/>
      <x:c r="V402" s="48"/>
      <x:c r="W402" s="48"/>
      <x:c r="X402" s="48"/>
      <x:c r="Y402" s="48"/>
      <x:c r="Z402" s="49"/>
      <x:c r="AA402" s="43"/>
      <x:c r="AB402" s="43"/>
      <x:c r="AC402" s="43"/>
      <x:c r="AD402" s="43"/>
      <x:c r="AE402" s="43"/>
      <x:c r="AF402" s="87" t="str">
        <x:f>IF(OR(H402="",I402="",I402&lt;H402),"",(I402-H402)*1440)</x:f>
      </x:c>
      <x:c r="AG402" s="87" t="str">
        <x:f>IF(OR(I402="",M402="",M402&lt;I402),"",(M402-I402)*1440)</x:f>
      </x:c>
      <x:c r="AH402" s="87" t="str">
        <x:f>IF(OR(M402="",N402="",N402&lt;M402),"",(N402-M402)*1440)</x:f>
      </x:c>
      <x:c r="AI402" s="87" t="str">
        <x:f>IF(OR(H402="",N402="",N402&lt;H402),"",(N402-H402)*1440)</x:f>
      </x:c>
      <x:c r="AJ402" s="87" t="str">
        <x:f>IF(OR(I402="",N402="",N402&lt;I402),"",(N402-I402)*1440)</x:f>
      </x:c>
      <x:c r="AK402" s="87" t="str">
        <x:f>IF(OR(N402="",O402="",O402&lt;N402),"",(O402-N402)*1440)</x:f>
      </x:c>
      <x:c r="AL402" s="87" t="str">
        <x:f>IF(OR(O402="",P402="",P402&lt;O402),"",(P402-O402)*1440)</x:f>
      </x:c>
      <x:c r="AM402" s="87" t="str">
        <x:f>IF(OR(Q402="",R402="",R402&lt;Q402),"",(R402-Q402)*1440)</x:f>
      </x:c>
      <x:c r="AN402" s="87" t="str">
        <x:f>IF(OR(S402="",T402="",T402&lt;S402),"",(T402-S402)*1440)</x:f>
      </x:c>
      <x:c r="AO402" s="87" t="str">
        <x:f>IF(OR(U402="",V402=""),"",V402-U402)</x:f>
      </x:c>
      <x:c r="AP402" s="63" t="str">
        <x:f>IF(A402="","",IF(OR(B402="",H402="",N402=""),"Incompleto",IF(N402&lt;H402,"Revisar",IF(OR(G402="",G402="Não observado"),"Qualidade E0 ausente",IF(OR(G402="Sensor",G402="Marcação física"),"Válido — E0 observado",IF(G402="Cálculo","Válido — E0 calculado","Válido — E0 estimado"))))))</x:f>
      </x:c>
      <x:c r="AQ402" s="63" t="str">
        <x:f>IF(A402="","",IF(COUNTA(H402:T402)&lt;13,"Incompleta",IF(OR(I402&lt;H402,J402&lt;I402,K402&lt;J402,L402&lt;K402,M402&lt;L402,N402&lt;M402,O402&lt;N402,P402&lt;O402,Q402&lt;P402,R402&lt;Q402,S402&lt;R402,T402&lt;S402),"Revisar","Completa")))</x:f>
      </x:c>
      <x:c r="AR402" s="87" t="str">
        <x:f>IF(OR(V402="",W402="",Y402=""),"",Y402-(V402-W402))</x:f>
      </x:c>
      <x:c r="AS402" s="63" t="str">
        <x:f>IF(A402="","",IF(AND(E402&lt;&gt;"",F402&lt;&gt;"",G402&lt;&gt;"",Z402&lt;&gt;"",AA402&lt;&gt;"",AB402&lt;&gt;"",AC402&lt;&gt;""),"Completa","Incompleta"))</x:f>
      </x:c>
      <x:c r="AT402" s="63" t="str">
        <x:f>IF(A402="","",IF(COUNTIF($A$11:$A$410,A402)&gt;1,"ID duplicado",IF(AND(AR402&lt;&gt;"",ABS(AR402)&gt;0.01),"Revisar balanço",IF(AND(W402&lt;&gt;"",V402&lt;&gt;"",W402&gt;V402),"Retirada &gt; estoque",IF(AND(U402&lt;&gt;"",U402&lt;'Cenário Base'!$D$8*'Cenário Base'!$D$74),"E0 abaixo do gatilho",IF(AND(V402&lt;&gt;"",V402&gt;XLOOKUP(B402,$A$414:$A$418,$B$414:$B$418)),"Excedeu capacidade","Sem alerta"))))))</x:f>
      </x:c>
    </x:row>
    <x:row r="403">
      <x:c r="A403" s="43"/>
      <x:c r="B403" s="43"/>
      <x:c r="C403" s="43"/>
      <x:c r="D403" s="43"/>
      <x:c r="E403" s="43"/>
      <x:c r="F403" s="43"/>
      <x:c r="G403" s="43"/>
      <x:c r="H403" s="120"/>
      <x:c r="I403" s="120"/>
      <x:c r="J403" s="120"/>
      <x:c r="K403" s="120"/>
      <x:c r="L403" s="120"/>
      <x:c r="M403" s="120"/>
      <x:c r="N403" s="120"/>
      <x:c r="O403" s="120"/>
      <x:c r="P403" s="120"/>
      <x:c r="Q403" s="120"/>
      <x:c r="R403" s="120"/>
      <x:c r="S403" s="120"/>
      <x:c r="T403" s="120"/>
      <x:c r="U403" s="48"/>
      <x:c r="V403" s="48"/>
      <x:c r="W403" s="48"/>
      <x:c r="X403" s="48"/>
      <x:c r="Y403" s="48"/>
      <x:c r="Z403" s="49"/>
      <x:c r="AA403" s="43"/>
      <x:c r="AB403" s="43"/>
      <x:c r="AC403" s="43"/>
      <x:c r="AD403" s="43"/>
      <x:c r="AE403" s="43"/>
      <x:c r="AF403" s="87" t="str">
        <x:f>IF(OR(H403="",I403="",I403&lt;H403),"",(I403-H403)*1440)</x:f>
      </x:c>
      <x:c r="AG403" s="87" t="str">
        <x:f>IF(OR(I403="",M403="",M403&lt;I403),"",(M403-I403)*1440)</x:f>
      </x:c>
      <x:c r="AH403" s="87" t="str">
        <x:f>IF(OR(M403="",N403="",N403&lt;M403),"",(N403-M403)*1440)</x:f>
      </x:c>
      <x:c r="AI403" s="87" t="str">
        <x:f>IF(OR(H403="",N403="",N403&lt;H403),"",(N403-H403)*1440)</x:f>
      </x:c>
      <x:c r="AJ403" s="87" t="str">
        <x:f>IF(OR(I403="",N403="",N403&lt;I403),"",(N403-I403)*1440)</x:f>
      </x:c>
      <x:c r="AK403" s="87" t="str">
        <x:f>IF(OR(N403="",O403="",O403&lt;N403),"",(O403-N403)*1440)</x:f>
      </x:c>
      <x:c r="AL403" s="87" t="str">
        <x:f>IF(OR(O403="",P403="",P403&lt;O403),"",(P403-O403)*1440)</x:f>
      </x:c>
      <x:c r="AM403" s="87" t="str">
        <x:f>IF(OR(Q403="",R403="",R403&lt;Q403),"",(R403-Q403)*1440)</x:f>
      </x:c>
      <x:c r="AN403" s="87" t="str">
        <x:f>IF(OR(S403="",T403="",T403&lt;S403),"",(T403-S403)*1440)</x:f>
      </x:c>
      <x:c r="AO403" s="87" t="str">
        <x:f>IF(OR(U403="",V403=""),"",V403-U403)</x:f>
      </x:c>
      <x:c r="AP403" s="63" t="str">
        <x:f>IF(A403="","",IF(OR(B403="",H403="",N403=""),"Incompleto",IF(N403&lt;H403,"Revisar",IF(OR(G403="",G403="Não observado"),"Qualidade E0 ausente",IF(OR(G403="Sensor",G403="Marcação física"),"Válido — E0 observado",IF(G403="Cálculo","Válido — E0 calculado","Válido — E0 estimado"))))))</x:f>
      </x:c>
      <x:c r="AQ403" s="63" t="str">
        <x:f>IF(A403="","",IF(COUNTA(H403:T403)&lt;13,"Incompleta",IF(OR(I403&lt;H403,J403&lt;I403,K403&lt;J403,L403&lt;K403,M403&lt;L403,N403&lt;M403,O403&lt;N403,P403&lt;O403,Q403&lt;P403,R403&lt;Q403,S403&lt;R403,T403&lt;S403),"Revisar","Completa")))</x:f>
      </x:c>
      <x:c r="AR403" s="87" t="str">
        <x:f>IF(OR(V403="",W403="",Y403=""),"",Y403-(V403-W403))</x:f>
      </x:c>
      <x:c r="AS403" s="63" t="str">
        <x:f>IF(A403="","",IF(AND(E403&lt;&gt;"",F403&lt;&gt;"",G403&lt;&gt;"",Z403&lt;&gt;"",AA403&lt;&gt;"",AB403&lt;&gt;"",AC403&lt;&gt;""),"Completa","Incompleta"))</x:f>
      </x:c>
      <x:c r="AT403" s="63" t="str">
        <x:f>IF(A403="","",IF(COUNTIF($A$11:$A$410,A403)&gt;1,"ID duplicado",IF(AND(AR403&lt;&gt;"",ABS(AR403)&gt;0.01),"Revisar balanço",IF(AND(W403&lt;&gt;"",V403&lt;&gt;"",W403&gt;V403),"Retirada &gt; estoque",IF(AND(U403&lt;&gt;"",U403&lt;'Cenário Base'!$D$8*'Cenário Base'!$D$74),"E0 abaixo do gatilho",IF(AND(V403&lt;&gt;"",V403&gt;XLOOKUP(B403,$A$414:$A$418,$B$414:$B$418)),"Excedeu capacidade","Sem alerta"))))))</x:f>
      </x:c>
    </x:row>
    <x:row r="404">
      <x:c r="A404" s="43"/>
      <x:c r="B404" s="43"/>
      <x:c r="C404" s="43"/>
      <x:c r="D404" s="43"/>
      <x:c r="E404" s="43"/>
      <x:c r="F404" s="43"/>
      <x:c r="G404" s="43"/>
      <x:c r="H404" s="120"/>
      <x:c r="I404" s="120"/>
      <x:c r="J404" s="120"/>
      <x:c r="K404" s="120"/>
      <x:c r="L404" s="120"/>
      <x:c r="M404" s="120"/>
      <x:c r="N404" s="120"/>
      <x:c r="O404" s="120"/>
      <x:c r="P404" s="120"/>
      <x:c r="Q404" s="120"/>
      <x:c r="R404" s="120"/>
      <x:c r="S404" s="120"/>
      <x:c r="T404" s="120"/>
      <x:c r="U404" s="48"/>
      <x:c r="V404" s="48"/>
      <x:c r="W404" s="48"/>
      <x:c r="X404" s="48"/>
      <x:c r="Y404" s="48"/>
      <x:c r="Z404" s="49"/>
      <x:c r="AA404" s="43"/>
      <x:c r="AB404" s="43"/>
      <x:c r="AC404" s="43"/>
      <x:c r="AD404" s="43"/>
      <x:c r="AE404" s="43"/>
      <x:c r="AF404" s="87" t="str">
        <x:f>IF(OR(H404="",I404="",I404&lt;H404),"",(I404-H404)*1440)</x:f>
      </x:c>
      <x:c r="AG404" s="87" t="str">
        <x:f>IF(OR(I404="",M404="",M404&lt;I404),"",(M404-I404)*1440)</x:f>
      </x:c>
      <x:c r="AH404" s="87" t="str">
        <x:f>IF(OR(M404="",N404="",N404&lt;M404),"",(N404-M404)*1440)</x:f>
      </x:c>
      <x:c r="AI404" s="87" t="str">
        <x:f>IF(OR(H404="",N404="",N404&lt;H404),"",(N404-H404)*1440)</x:f>
      </x:c>
      <x:c r="AJ404" s="87" t="str">
        <x:f>IF(OR(I404="",N404="",N404&lt;I404),"",(N404-I404)*1440)</x:f>
      </x:c>
      <x:c r="AK404" s="87" t="str">
        <x:f>IF(OR(N404="",O404="",O404&lt;N404),"",(O404-N404)*1440)</x:f>
      </x:c>
      <x:c r="AL404" s="87" t="str">
        <x:f>IF(OR(O404="",P404="",P404&lt;O404),"",(P404-O404)*1440)</x:f>
      </x:c>
      <x:c r="AM404" s="87" t="str">
        <x:f>IF(OR(Q404="",R404="",R404&lt;Q404),"",(R404-Q404)*1440)</x:f>
      </x:c>
      <x:c r="AN404" s="87" t="str">
        <x:f>IF(OR(S404="",T404="",T404&lt;S404),"",(T404-S404)*1440)</x:f>
      </x:c>
      <x:c r="AO404" s="87" t="str">
        <x:f>IF(OR(U404="",V404=""),"",V404-U404)</x:f>
      </x:c>
      <x:c r="AP404" s="63" t="str">
        <x:f>IF(A404="","",IF(OR(B404="",H404="",N404=""),"Incompleto",IF(N404&lt;H404,"Revisar",IF(OR(G404="",G404="Não observado"),"Qualidade E0 ausente",IF(OR(G404="Sensor",G404="Marcação física"),"Válido — E0 observado",IF(G404="Cálculo","Válido — E0 calculado","Válido — E0 estimado"))))))</x:f>
      </x:c>
      <x:c r="AQ404" s="63" t="str">
        <x:f>IF(A404="","",IF(COUNTA(H404:T404)&lt;13,"Incompleta",IF(OR(I404&lt;H404,J404&lt;I404,K404&lt;J404,L404&lt;K404,M404&lt;L404,N404&lt;M404,O404&lt;N404,P404&lt;O404,Q404&lt;P404,R404&lt;Q404,S404&lt;R404,T404&lt;S404),"Revisar","Completa")))</x:f>
      </x:c>
      <x:c r="AR404" s="87" t="str">
        <x:f>IF(OR(V404="",W404="",Y404=""),"",Y404-(V404-W404))</x:f>
      </x:c>
      <x:c r="AS404" s="63" t="str">
        <x:f>IF(A404="","",IF(AND(E404&lt;&gt;"",F404&lt;&gt;"",G404&lt;&gt;"",Z404&lt;&gt;"",AA404&lt;&gt;"",AB404&lt;&gt;"",AC404&lt;&gt;""),"Completa","Incompleta"))</x:f>
      </x:c>
      <x:c r="AT404" s="63" t="str">
        <x:f>IF(A404="","",IF(COUNTIF($A$11:$A$410,A404)&gt;1,"ID duplicado",IF(AND(AR404&lt;&gt;"",ABS(AR404)&gt;0.01),"Revisar balanço",IF(AND(W404&lt;&gt;"",V404&lt;&gt;"",W404&gt;V404),"Retirada &gt; estoque",IF(AND(U404&lt;&gt;"",U404&lt;'Cenário Base'!$D$8*'Cenário Base'!$D$74),"E0 abaixo do gatilho",IF(AND(V404&lt;&gt;"",V404&gt;XLOOKUP(B404,$A$414:$A$418,$B$414:$B$418)),"Excedeu capacidade","Sem alerta"))))))</x:f>
      </x:c>
    </x:row>
    <x:row r="405">
      <x:c r="A405" s="43"/>
      <x:c r="B405" s="43"/>
      <x:c r="C405" s="43"/>
      <x:c r="D405" s="43"/>
      <x:c r="E405" s="43"/>
      <x:c r="F405" s="43"/>
      <x:c r="G405" s="43"/>
      <x:c r="H405" s="120"/>
      <x:c r="I405" s="120"/>
      <x:c r="J405" s="120"/>
      <x:c r="K405" s="120"/>
      <x:c r="L405" s="120"/>
      <x:c r="M405" s="120"/>
      <x:c r="N405" s="120"/>
      <x:c r="O405" s="120"/>
      <x:c r="P405" s="120"/>
      <x:c r="Q405" s="120"/>
      <x:c r="R405" s="120"/>
      <x:c r="S405" s="120"/>
      <x:c r="T405" s="120"/>
      <x:c r="U405" s="48"/>
      <x:c r="V405" s="48"/>
      <x:c r="W405" s="48"/>
      <x:c r="X405" s="48"/>
      <x:c r="Y405" s="48"/>
      <x:c r="Z405" s="49"/>
      <x:c r="AA405" s="43"/>
      <x:c r="AB405" s="43"/>
      <x:c r="AC405" s="43"/>
      <x:c r="AD405" s="43"/>
      <x:c r="AE405" s="43"/>
      <x:c r="AF405" s="87" t="str">
        <x:f>IF(OR(H405="",I405="",I405&lt;H405),"",(I405-H405)*1440)</x:f>
      </x:c>
      <x:c r="AG405" s="87" t="str">
        <x:f>IF(OR(I405="",M405="",M405&lt;I405),"",(M405-I405)*1440)</x:f>
      </x:c>
      <x:c r="AH405" s="87" t="str">
        <x:f>IF(OR(M405="",N405="",N405&lt;M405),"",(N405-M405)*1440)</x:f>
      </x:c>
      <x:c r="AI405" s="87" t="str">
        <x:f>IF(OR(H405="",N405="",N405&lt;H405),"",(N405-H405)*1440)</x:f>
      </x:c>
      <x:c r="AJ405" s="87" t="str">
        <x:f>IF(OR(I405="",N405="",N405&lt;I405),"",(N405-I405)*1440)</x:f>
      </x:c>
      <x:c r="AK405" s="87" t="str">
        <x:f>IF(OR(N405="",O405="",O405&lt;N405),"",(O405-N405)*1440)</x:f>
      </x:c>
      <x:c r="AL405" s="87" t="str">
        <x:f>IF(OR(O405="",P405="",P405&lt;O405),"",(P405-O405)*1440)</x:f>
      </x:c>
      <x:c r="AM405" s="87" t="str">
        <x:f>IF(OR(Q405="",R405="",R405&lt;Q405),"",(R405-Q405)*1440)</x:f>
      </x:c>
      <x:c r="AN405" s="87" t="str">
        <x:f>IF(OR(S405="",T405="",T405&lt;S405),"",(T405-S405)*1440)</x:f>
      </x:c>
      <x:c r="AO405" s="87" t="str">
        <x:f>IF(OR(U405="",V405=""),"",V405-U405)</x:f>
      </x:c>
      <x:c r="AP405" s="63" t="str">
        <x:f>IF(A405="","",IF(OR(B405="",H405="",N405=""),"Incompleto",IF(N405&lt;H405,"Revisar",IF(OR(G405="",G405="Não observado"),"Qualidade E0 ausente",IF(OR(G405="Sensor",G405="Marcação física"),"Válido — E0 observado",IF(G405="Cálculo","Válido — E0 calculado","Válido — E0 estimado"))))))</x:f>
      </x:c>
      <x:c r="AQ405" s="63" t="str">
        <x:f>IF(A405="","",IF(COUNTA(H405:T405)&lt;13,"Incompleta",IF(OR(I405&lt;H405,J405&lt;I405,K405&lt;J405,L405&lt;K405,M405&lt;L405,N405&lt;M405,O405&lt;N405,P405&lt;O405,Q405&lt;P405,R405&lt;Q405,S405&lt;R405,T405&lt;S405),"Revisar","Completa")))</x:f>
      </x:c>
      <x:c r="AR405" s="87" t="str">
        <x:f>IF(OR(V405="",W405="",Y405=""),"",Y405-(V405-W405))</x:f>
      </x:c>
      <x:c r="AS405" s="63" t="str">
        <x:f>IF(A405="","",IF(AND(E405&lt;&gt;"",F405&lt;&gt;"",G405&lt;&gt;"",Z405&lt;&gt;"",AA405&lt;&gt;"",AB405&lt;&gt;"",AC405&lt;&gt;""),"Completa","Incompleta"))</x:f>
      </x:c>
      <x:c r="AT405" s="63" t="str">
        <x:f>IF(A405="","",IF(COUNTIF($A$11:$A$410,A405)&gt;1,"ID duplicado",IF(AND(AR405&lt;&gt;"",ABS(AR405)&gt;0.01),"Revisar balanço",IF(AND(W405&lt;&gt;"",V405&lt;&gt;"",W405&gt;V405),"Retirada &gt; estoque",IF(AND(U405&lt;&gt;"",U405&lt;'Cenário Base'!$D$8*'Cenário Base'!$D$74),"E0 abaixo do gatilho",IF(AND(V405&lt;&gt;"",V405&gt;XLOOKUP(B405,$A$414:$A$418,$B$414:$B$418)),"Excedeu capacidade","Sem alerta"))))))</x:f>
      </x:c>
    </x:row>
    <x:row r="406">
      <x:c r="A406" s="43"/>
      <x:c r="B406" s="43"/>
      <x:c r="C406" s="43"/>
      <x:c r="D406" s="43"/>
      <x:c r="E406" s="43"/>
      <x:c r="F406" s="43"/>
      <x:c r="G406" s="43"/>
      <x:c r="H406" s="120"/>
      <x:c r="I406" s="120"/>
      <x:c r="J406" s="120"/>
      <x:c r="K406" s="120"/>
      <x:c r="L406" s="120"/>
      <x:c r="M406" s="120"/>
      <x:c r="N406" s="120"/>
      <x:c r="O406" s="120"/>
      <x:c r="P406" s="120"/>
      <x:c r="Q406" s="120"/>
      <x:c r="R406" s="120"/>
      <x:c r="S406" s="120"/>
      <x:c r="T406" s="120"/>
      <x:c r="U406" s="48"/>
      <x:c r="V406" s="48"/>
      <x:c r="W406" s="48"/>
      <x:c r="X406" s="48"/>
      <x:c r="Y406" s="48"/>
      <x:c r="Z406" s="49"/>
      <x:c r="AA406" s="43"/>
      <x:c r="AB406" s="43"/>
      <x:c r="AC406" s="43"/>
      <x:c r="AD406" s="43"/>
      <x:c r="AE406" s="43"/>
      <x:c r="AF406" s="87" t="str">
        <x:f>IF(OR(H406="",I406="",I406&lt;H406),"",(I406-H406)*1440)</x:f>
      </x:c>
      <x:c r="AG406" s="87" t="str">
        <x:f>IF(OR(I406="",M406="",M406&lt;I406),"",(M406-I406)*1440)</x:f>
      </x:c>
      <x:c r="AH406" s="87" t="str">
        <x:f>IF(OR(M406="",N406="",N406&lt;M406),"",(N406-M406)*1440)</x:f>
      </x:c>
      <x:c r="AI406" s="87" t="str">
        <x:f>IF(OR(H406="",N406="",N406&lt;H406),"",(N406-H406)*1440)</x:f>
      </x:c>
      <x:c r="AJ406" s="87" t="str">
        <x:f>IF(OR(I406="",N406="",N406&lt;I406),"",(N406-I406)*1440)</x:f>
      </x:c>
      <x:c r="AK406" s="87" t="str">
        <x:f>IF(OR(N406="",O406="",O406&lt;N406),"",(O406-N406)*1440)</x:f>
      </x:c>
      <x:c r="AL406" s="87" t="str">
        <x:f>IF(OR(O406="",P406="",P406&lt;O406),"",(P406-O406)*1440)</x:f>
      </x:c>
      <x:c r="AM406" s="87" t="str">
        <x:f>IF(OR(Q406="",R406="",R406&lt;Q406),"",(R406-Q406)*1440)</x:f>
      </x:c>
      <x:c r="AN406" s="87" t="str">
        <x:f>IF(OR(S406="",T406="",T406&lt;S406),"",(T406-S406)*1440)</x:f>
      </x:c>
      <x:c r="AO406" s="87" t="str">
        <x:f>IF(OR(U406="",V406=""),"",V406-U406)</x:f>
      </x:c>
      <x:c r="AP406" s="63" t="str">
        <x:f>IF(A406="","",IF(OR(B406="",H406="",N406=""),"Incompleto",IF(N406&lt;H406,"Revisar",IF(OR(G406="",G406="Não observado"),"Qualidade E0 ausente",IF(OR(G406="Sensor",G406="Marcação física"),"Válido — E0 observado",IF(G406="Cálculo","Válido — E0 calculado","Válido — E0 estimado"))))))</x:f>
      </x:c>
      <x:c r="AQ406" s="63" t="str">
        <x:f>IF(A406="","",IF(COUNTA(H406:T406)&lt;13,"Incompleta",IF(OR(I406&lt;H406,J406&lt;I406,K406&lt;J406,L406&lt;K406,M406&lt;L406,N406&lt;M406,O406&lt;N406,P406&lt;O406,Q406&lt;P406,R406&lt;Q406,S406&lt;R406,T406&lt;S406),"Revisar","Completa")))</x:f>
      </x:c>
      <x:c r="AR406" s="87" t="str">
        <x:f>IF(OR(V406="",W406="",Y406=""),"",Y406-(V406-W406))</x:f>
      </x:c>
      <x:c r="AS406" s="63" t="str">
        <x:f>IF(A406="","",IF(AND(E406&lt;&gt;"",F406&lt;&gt;"",G406&lt;&gt;"",Z406&lt;&gt;"",AA406&lt;&gt;"",AB406&lt;&gt;"",AC406&lt;&gt;""),"Completa","Incompleta"))</x:f>
      </x:c>
      <x:c r="AT406" s="63" t="str">
        <x:f>IF(A406="","",IF(COUNTIF($A$11:$A$410,A406)&gt;1,"ID duplicado",IF(AND(AR406&lt;&gt;"",ABS(AR406)&gt;0.01),"Revisar balanço",IF(AND(W406&lt;&gt;"",V406&lt;&gt;"",W406&gt;V406),"Retirada &gt; estoque",IF(AND(U406&lt;&gt;"",U406&lt;'Cenário Base'!$D$8*'Cenário Base'!$D$74),"E0 abaixo do gatilho",IF(AND(V406&lt;&gt;"",V406&gt;XLOOKUP(B406,$A$414:$A$418,$B$414:$B$418)),"Excedeu capacidade","Sem alerta"))))))</x:f>
      </x:c>
    </x:row>
    <x:row r="407">
      <x:c r="A407" s="43"/>
      <x:c r="B407" s="43"/>
      <x:c r="C407" s="43"/>
      <x:c r="D407" s="43"/>
      <x:c r="E407" s="43"/>
      <x:c r="F407" s="43"/>
      <x:c r="G407" s="43"/>
      <x:c r="H407" s="120"/>
      <x:c r="I407" s="120"/>
      <x:c r="J407" s="120"/>
      <x:c r="K407" s="120"/>
      <x:c r="L407" s="120"/>
      <x:c r="M407" s="120"/>
      <x:c r="N407" s="120"/>
      <x:c r="O407" s="120"/>
      <x:c r="P407" s="120"/>
      <x:c r="Q407" s="120"/>
      <x:c r="R407" s="120"/>
      <x:c r="S407" s="120"/>
      <x:c r="T407" s="120"/>
      <x:c r="U407" s="48"/>
      <x:c r="V407" s="48"/>
      <x:c r="W407" s="48"/>
      <x:c r="X407" s="48"/>
      <x:c r="Y407" s="48"/>
      <x:c r="Z407" s="49"/>
      <x:c r="AA407" s="43"/>
      <x:c r="AB407" s="43"/>
      <x:c r="AC407" s="43"/>
      <x:c r="AD407" s="43"/>
      <x:c r="AE407" s="43"/>
      <x:c r="AF407" s="87" t="str">
        <x:f>IF(OR(H407="",I407="",I407&lt;H407),"",(I407-H407)*1440)</x:f>
      </x:c>
      <x:c r="AG407" s="87" t="str">
        <x:f>IF(OR(I407="",M407="",M407&lt;I407),"",(M407-I407)*1440)</x:f>
      </x:c>
      <x:c r="AH407" s="87" t="str">
        <x:f>IF(OR(M407="",N407="",N407&lt;M407),"",(N407-M407)*1440)</x:f>
      </x:c>
      <x:c r="AI407" s="87" t="str">
        <x:f>IF(OR(H407="",N407="",N407&lt;H407),"",(N407-H407)*1440)</x:f>
      </x:c>
      <x:c r="AJ407" s="87" t="str">
        <x:f>IF(OR(I407="",N407="",N407&lt;I407),"",(N407-I407)*1440)</x:f>
      </x:c>
      <x:c r="AK407" s="87" t="str">
        <x:f>IF(OR(N407="",O407="",O407&lt;N407),"",(O407-N407)*1440)</x:f>
      </x:c>
      <x:c r="AL407" s="87" t="str">
        <x:f>IF(OR(O407="",P407="",P407&lt;O407),"",(P407-O407)*1440)</x:f>
      </x:c>
      <x:c r="AM407" s="87" t="str">
        <x:f>IF(OR(Q407="",R407="",R407&lt;Q407),"",(R407-Q407)*1440)</x:f>
      </x:c>
      <x:c r="AN407" s="87" t="str">
        <x:f>IF(OR(S407="",T407="",T407&lt;S407),"",(T407-S407)*1440)</x:f>
      </x:c>
      <x:c r="AO407" s="87" t="str">
        <x:f>IF(OR(U407="",V407=""),"",V407-U407)</x:f>
      </x:c>
      <x:c r="AP407" s="63" t="str">
        <x:f>IF(A407="","",IF(OR(B407="",H407="",N407=""),"Incompleto",IF(N407&lt;H407,"Revisar",IF(OR(G407="",G407="Não observado"),"Qualidade E0 ausente",IF(OR(G407="Sensor",G407="Marcação física"),"Válido — E0 observado",IF(G407="Cálculo","Válido — E0 calculado","Válido — E0 estimado"))))))</x:f>
      </x:c>
      <x:c r="AQ407" s="63" t="str">
        <x:f>IF(A407="","",IF(COUNTA(H407:T407)&lt;13,"Incompleta",IF(OR(I407&lt;H407,J407&lt;I407,K407&lt;J407,L407&lt;K407,M407&lt;L407,N407&lt;M407,O407&lt;N407,P407&lt;O407,Q407&lt;P407,R407&lt;Q407,S407&lt;R407,T407&lt;S407),"Revisar","Completa")))</x:f>
      </x:c>
      <x:c r="AR407" s="87" t="str">
        <x:f>IF(OR(V407="",W407="",Y407=""),"",Y407-(V407-W407))</x:f>
      </x:c>
      <x:c r="AS407" s="63" t="str">
        <x:f>IF(A407="","",IF(AND(E407&lt;&gt;"",F407&lt;&gt;"",G407&lt;&gt;"",Z407&lt;&gt;"",AA407&lt;&gt;"",AB407&lt;&gt;"",AC407&lt;&gt;""),"Completa","Incompleta"))</x:f>
      </x:c>
      <x:c r="AT407" s="63" t="str">
        <x:f>IF(A407="","",IF(COUNTIF($A$11:$A$410,A407)&gt;1,"ID duplicado",IF(AND(AR407&lt;&gt;"",ABS(AR407)&gt;0.01),"Revisar balanço",IF(AND(W407&lt;&gt;"",V407&lt;&gt;"",W407&gt;V407),"Retirada &gt; estoque",IF(AND(U407&lt;&gt;"",U407&lt;'Cenário Base'!$D$8*'Cenário Base'!$D$74),"E0 abaixo do gatilho",IF(AND(V407&lt;&gt;"",V407&gt;XLOOKUP(B407,$A$414:$A$418,$B$414:$B$418)),"Excedeu capacidade","Sem alerta"))))))</x:f>
      </x:c>
    </x:row>
    <x:row r="408">
      <x:c r="A408" s="43"/>
      <x:c r="B408" s="43"/>
      <x:c r="C408" s="43"/>
      <x:c r="D408" s="43"/>
      <x:c r="E408" s="43"/>
      <x:c r="F408" s="43"/>
      <x:c r="G408" s="43"/>
      <x:c r="H408" s="120"/>
      <x:c r="I408" s="120"/>
      <x:c r="J408" s="120"/>
      <x:c r="K408" s="120"/>
      <x:c r="L408" s="120"/>
      <x:c r="M408" s="120"/>
      <x:c r="N408" s="120"/>
      <x:c r="O408" s="120"/>
      <x:c r="P408" s="120"/>
      <x:c r="Q408" s="120"/>
      <x:c r="R408" s="120"/>
      <x:c r="S408" s="120"/>
      <x:c r="T408" s="120"/>
      <x:c r="U408" s="48"/>
      <x:c r="V408" s="48"/>
      <x:c r="W408" s="48"/>
      <x:c r="X408" s="48"/>
      <x:c r="Y408" s="48"/>
      <x:c r="Z408" s="49"/>
      <x:c r="AA408" s="43"/>
      <x:c r="AB408" s="43"/>
      <x:c r="AC408" s="43"/>
      <x:c r="AD408" s="43"/>
      <x:c r="AE408" s="43"/>
      <x:c r="AF408" s="87" t="str">
        <x:f>IF(OR(H408="",I408="",I408&lt;H408),"",(I408-H408)*1440)</x:f>
      </x:c>
      <x:c r="AG408" s="87" t="str">
        <x:f>IF(OR(I408="",M408="",M408&lt;I408),"",(M408-I408)*1440)</x:f>
      </x:c>
      <x:c r="AH408" s="87" t="str">
        <x:f>IF(OR(M408="",N408="",N408&lt;M408),"",(N408-M408)*1440)</x:f>
      </x:c>
      <x:c r="AI408" s="87" t="str">
        <x:f>IF(OR(H408="",N408="",N408&lt;H408),"",(N408-H408)*1440)</x:f>
      </x:c>
      <x:c r="AJ408" s="87" t="str">
        <x:f>IF(OR(I408="",N408="",N408&lt;I408),"",(N408-I408)*1440)</x:f>
      </x:c>
      <x:c r="AK408" s="87" t="str">
        <x:f>IF(OR(N408="",O408="",O408&lt;N408),"",(O408-N408)*1440)</x:f>
      </x:c>
      <x:c r="AL408" s="87" t="str">
        <x:f>IF(OR(O408="",P408="",P408&lt;O408),"",(P408-O408)*1440)</x:f>
      </x:c>
      <x:c r="AM408" s="87" t="str">
        <x:f>IF(OR(Q408="",R408="",R408&lt;Q408),"",(R408-Q408)*1440)</x:f>
      </x:c>
      <x:c r="AN408" s="87" t="str">
        <x:f>IF(OR(S408="",T408="",T408&lt;S408),"",(T408-S408)*1440)</x:f>
      </x:c>
      <x:c r="AO408" s="87" t="str">
        <x:f>IF(OR(U408="",V408=""),"",V408-U408)</x:f>
      </x:c>
      <x:c r="AP408" s="63" t="str">
        <x:f>IF(A408="","",IF(OR(B408="",H408="",N408=""),"Incompleto",IF(N408&lt;H408,"Revisar",IF(OR(G408="",G408="Não observado"),"Qualidade E0 ausente",IF(OR(G408="Sensor",G408="Marcação física"),"Válido — E0 observado",IF(G408="Cálculo","Válido — E0 calculado","Válido — E0 estimado"))))))</x:f>
      </x:c>
      <x:c r="AQ408" s="63" t="str">
        <x:f>IF(A408="","",IF(COUNTA(H408:T408)&lt;13,"Incompleta",IF(OR(I408&lt;H408,J408&lt;I408,K408&lt;J408,L408&lt;K408,M408&lt;L408,N408&lt;M408,O408&lt;N408,P408&lt;O408,Q408&lt;P408,R408&lt;Q408,S408&lt;R408,T408&lt;S408),"Revisar","Completa")))</x:f>
      </x:c>
      <x:c r="AR408" s="87" t="str">
        <x:f>IF(OR(V408="",W408="",Y408=""),"",Y408-(V408-W408))</x:f>
      </x:c>
      <x:c r="AS408" s="63" t="str">
        <x:f>IF(A408="","",IF(AND(E408&lt;&gt;"",F408&lt;&gt;"",G408&lt;&gt;"",Z408&lt;&gt;"",AA408&lt;&gt;"",AB408&lt;&gt;"",AC408&lt;&gt;""),"Completa","Incompleta"))</x:f>
      </x:c>
      <x:c r="AT408" s="63" t="str">
        <x:f>IF(A408="","",IF(COUNTIF($A$11:$A$410,A408)&gt;1,"ID duplicado",IF(AND(AR408&lt;&gt;"",ABS(AR408)&gt;0.01),"Revisar balanço",IF(AND(W408&lt;&gt;"",V408&lt;&gt;"",W408&gt;V408),"Retirada &gt; estoque",IF(AND(U408&lt;&gt;"",U408&lt;'Cenário Base'!$D$8*'Cenário Base'!$D$74),"E0 abaixo do gatilho",IF(AND(V408&lt;&gt;"",V408&gt;XLOOKUP(B408,$A$414:$A$418,$B$414:$B$418)),"Excedeu capacidade","Sem alerta"))))))</x:f>
      </x:c>
    </x:row>
    <x:row r="409">
      <x:c r="A409" s="43"/>
      <x:c r="B409" s="43"/>
      <x:c r="C409" s="43"/>
      <x:c r="D409" s="43"/>
      <x:c r="E409" s="43"/>
      <x:c r="F409" s="43"/>
      <x:c r="G409" s="43"/>
      <x:c r="H409" s="120"/>
      <x:c r="I409" s="120"/>
      <x:c r="J409" s="120"/>
      <x:c r="K409" s="120"/>
      <x:c r="L409" s="120"/>
      <x:c r="M409" s="120"/>
      <x:c r="N409" s="120"/>
      <x:c r="O409" s="120"/>
      <x:c r="P409" s="120"/>
      <x:c r="Q409" s="120"/>
      <x:c r="R409" s="120"/>
      <x:c r="S409" s="120"/>
      <x:c r="T409" s="120"/>
      <x:c r="U409" s="48"/>
      <x:c r="V409" s="48"/>
      <x:c r="W409" s="48"/>
      <x:c r="X409" s="48"/>
      <x:c r="Y409" s="48"/>
      <x:c r="Z409" s="49"/>
      <x:c r="AA409" s="43"/>
      <x:c r="AB409" s="43"/>
      <x:c r="AC409" s="43"/>
      <x:c r="AD409" s="43"/>
      <x:c r="AE409" s="43"/>
      <x:c r="AF409" s="87" t="str">
        <x:f>IF(OR(H409="",I409="",I409&lt;H409),"",(I409-H409)*1440)</x:f>
      </x:c>
      <x:c r="AG409" s="87" t="str">
        <x:f>IF(OR(I409="",M409="",M409&lt;I409),"",(M409-I409)*1440)</x:f>
      </x:c>
      <x:c r="AH409" s="87" t="str">
        <x:f>IF(OR(M409="",N409="",N409&lt;M409),"",(N409-M409)*1440)</x:f>
      </x:c>
      <x:c r="AI409" s="87" t="str">
        <x:f>IF(OR(H409="",N409="",N409&lt;H409),"",(N409-H409)*1440)</x:f>
      </x:c>
      <x:c r="AJ409" s="87" t="str">
        <x:f>IF(OR(I409="",N409="",N409&lt;I409),"",(N409-I409)*1440)</x:f>
      </x:c>
      <x:c r="AK409" s="87" t="str">
        <x:f>IF(OR(N409="",O409="",O409&lt;N409),"",(O409-N409)*1440)</x:f>
      </x:c>
      <x:c r="AL409" s="87" t="str">
        <x:f>IF(OR(O409="",P409="",P409&lt;O409),"",(P409-O409)*1440)</x:f>
      </x:c>
      <x:c r="AM409" s="87" t="str">
        <x:f>IF(OR(Q409="",R409="",R409&lt;Q409),"",(R409-Q409)*1440)</x:f>
      </x:c>
      <x:c r="AN409" s="87" t="str">
        <x:f>IF(OR(S409="",T409="",T409&lt;S409),"",(T409-S409)*1440)</x:f>
      </x:c>
      <x:c r="AO409" s="87" t="str">
        <x:f>IF(OR(U409="",V409=""),"",V409-U409)</x:f>
      </x:c>
      <x:c r="AP409" s="63" t="str">
        <x:f>IF(A409="","",IF(OR(B409="",H409="",N409=""),"Incompleto",IF(N409&lt;H409,"Revisar",IF(OR(G409="",G409="Não observado"),"Qualidade E0 ausente",IF(OR(G409="Sensor",G409="Marcação física"),"Válido — E0 observado",IF(G409="Cálculo","Válido — E0 calculado","Válido — E0 estimado"))))))</x:f>
      </x:c>
      <x:c r="AQ409" s="63" t="str">
        <x:f>IF(A409="","",IF(COUNTA(H409:T409)&lt;13,"Incompleta",IF(OR(I409&lt;H409,J409&lt;I409,K409&lt;J409,L409&lt;K409,M409&lt;L409,N409&lt;M409,O409&lt;N409,P409&lt;O409,Q409&lt;P409,R409&lt;Q409,S409&lt;R409,T409&lt;S409),"Revisar","Completa")))</x:f>
      </x:c>
      <x:c r="AR409" s="87" t="str">
        <x:f>IF(OR(V409="",W409="",Y409=""),"",Y409-(V409-W409))</x:f>
      </x:c>
      <x:c r="AS409" s="63" t="str">
        <x:f>IF(A409="","",IF(AND(E409&lt;&gt;"",F409&lt;&gt;"",G409&lt;&gt;"",Z409&lt;&gt;"",AA409&lt;&gt;"",AB409&lt;&gt;"",AC409&lt;&gt;""),"Completa","Incompleta"))</x:f>
      </x:c>
      <x:c r="AT409" s="63" t="str">
        <x:f>IF(A409="","",IF(COUNTIF($A$11:$A$410,A409)&gt;1,"ID duplicado",IF(AND(AR409&lt;&gt;"",ABS(AR409)&gt;0.01),"Revisar balanço",IF(AND(W409&lt;&gt;"",V409&lt;&gt;"",W409&gt;V409),"Retirada &gt; estoque",IF(AND(U409&lt;&gt;"",U409&lt;'Cenário Base'!$D$8*'Cenário Base'!$D$74),"E0 abaixo do gatilho",IF(AND(V409&lt;&gt;"",V409&gt;XLOOKUP(B409,$A$414:$A$418,$B$414:$B$418)),"Excedeu capacidade","Sem alerta"))))))</x:f>
      </x:c>
    </x:row>
    <x:row r="410">
      <x:c r="A410" s="43"/>
      <x:c r="B410" s="43"/>
      <x:c r="C410" s="43"/>
      <x:c r="D410" s="43"/>
      <x:c r="E410" s="43"/>
      <x:c r="F410" s="43"/>
      <x:c r="G410" s="43"/>
      <x:c r="H410" s="120"/>
      <x:c r="I410" s="120"/>
      <x:c r="J410" s="120"/>
      <x:c r="K410" s="120"/>
      <x:c r="L410" s="120"/>
      <x:c r="M410" s="120"/>
      <x:c r="N410" s="120"/>
      <x:c r="O410" s="120"/>
      <x:c r="P410" s="120"/>
      <x:c r="Q410" s="120"/>
      <x:c r="R410" s="120"/>
      <x:c r="S410" s="120"/>
      <x:c r="T410" s="120"/>
      <x:c r="U410" s="48"/>
      <x:c r="V410" s="48"/>
      <x:c r="W410" s="48"/>
      <x:c r="X410" s="48"/>
      <x:c r="Y410" s="48"/>
      <x:c r="Z410" s="49"/>
      <x:c r="AA410" s="43"/>
      <x:c r="AB410" s="43"/>
      <x:c r="AC410" s="43"/>
      <x:c r="AD410" s="43"/>
      <x:c r="AE410" s="43"/>
      <x:c r="AF410" s="87" t="str">
        <x:f>IF(OR(H410="",I410="",I410&lt;H410),"",(I410-H410)*1440)</x:f>
      </x:c>
      <x:c r="AG410" s="87" t="str">
        <x:f>IF(OR(I410="",M410="",M410&lt;I410),"",(M410-I410)*1440)</x:f>
      </x:c>
      <x:c r="AH410" s="87" t="str">
        <x:f>IF(OR(M410="",N410="",N410&lt;M410),"",(N410-M410)*1440)</x:f>
      </x:c>
      <x:c r="AI410" s="87" t="str">
        <x:f>IF(OR(H410="",N410="",N410&lt;H410),"",(N410-H410)*1440)</x:f>
      </x:c>
      <x:c r="AJ410" s="87" t="str">
        <x:f>IF(OR(I410="",N410="",N410&lt;I410),"",(N410-I410)*1440)</x:f>
      </x:c>
      <x:c r="AK410" s="87" t="str">
        <x:f>IF(OR(N410="",O410="",O410&lt;N410),"",(O410-N410)*1440)</x:f>
      </x:c>
      <x:c r="AL410" s="87" t="str">
        <x:f>IF(OR(O410="",P410="",P410&lt;O410),"",(P410-O410)*1440)</x:f>
      </x:c>
      <x:c r="AM410" s="87" t="str">
        <x:f>IF(OR(Q410="",R410="",R410&lt;Q410),"",(R410-Q410)*1440)</x:f>
      </x:c>
      <x:c r="AN410" s="87" t="str">
        <x:f>IF(OR(S410="",T410="",T410&lt;S410),"",(T410-S410)*1440)</x:f>
      </x:c>
      <x:c r="AO410" s="87" t="str">
        <x:f>IF(OR(U410="",V410=""),"",V410-U410)</x:f>
      </x:c>
      <x:c r="AP410" s="63" t="str">
        <x:f>IF(A410="","",IF(OR(B410="",H410="",N410=""),"Incompleto",IF(N410&lt;H410,"Revisar",IF(OR(G410="",G410="Não observado"),"Qualidade E0 ausente",IF(OR(G410="Sensor",G410="Marcação física"),"Válido — E0 observado",IF(G410="Cálculo","Válido — E0 calculado","Válido — E0 estimado"))))))</x:f>
      </x:c>
      <x:c r="AQ410" s="63" t="str">
        <x:f>IF(A410="","",IF(COUNTA(H410:T410)&lt;13,"Incompleta",IF(OR(I410&lt;H410,J410&lt;I410,K410&lt;J410,L410&lt;K410,M410&lt;L410,N410&lt;M410,O410&lt;N410,P410&lt;O410,Q410&lt;P410,R410&lt;Q410,S410&lt;R410,T410&lt;S410),"Revisar","Completa")))</x:f>
      </x:c>
      <x:c r="AR410" s="87" t="str">
        <x:f>IF(OR(V410="",W410="",Y410=""),"",Y410-(V410-W410))</x:f>
      </x:c>
      <x:c r="AS410" s="63" t="str">
        <x:f>IF(A410="","",IF(AND(E410&lt;&gt;"",F410&lt;&gt;"",G410&lt;&gt;"",Z410&lt;&gt;"",AA410&lt;&gt;"",AB410&lt;&gt;"",AC410&lt;&gt;""),"Completa","Incompleta"))</x:f>
      </x:c>
      <x:c r="AT410" s="63" t="str">
        <x:f>IF(A410="","",IF(COUNTIF($A$11:$A$410,A410)&gt;1,"ID duplicado",IF(AND(AR410&lt;&gt;"",ABS(AR410)&gt;0.01),"Revisar balanço",IF(AND(W410&lt;&gt;"",V410&lt;&gt;"",W410&gt;V410),"Retirada &gt; estoque",IF(AND(U410&lt;&gt;"",U410&lt;'Cenário Base'!$D$8*'Cenário Base'!$D$74),"E0 abaixo do gatilho",IF(AND(V410&lt;&gt;"",V410&gt;XLOOKUP(B410,$A$414:$A$418,$B$414:$B$418)),"Excedeu capacidade","Sem alerta"))))))</x:f>
      </x:c>
    </x:row>
    <x:row r="413" ht="30" customHeight="1">
      <x:c r="A413" s="14" t="str">
        <x:v>Centro</x:v>
      </x:c>
      <x:c r="B413" s="14" t="str">
        <x:v>Capacidade (m³)</x:v>
      </x:c>
      <x:c r="C413" s="14" t="str">
        <x:v>LT_gatilho válido</x:v>
      </x:c>
      <x:c r="D413" s="14" t="str">
        <x:v>Mediana LT_gatilho</x:v>
      </x:c>
      <x:c r="E413" s="14" t="str">
        <x:v>P90 LT_gatilho</x:v>
      </x:c>
      <x:c r="F413" s="14" t="str">
        <x:v>LT_pedido válido</x:v>
      </x:c>
      <x:c r="G413" s="14" t="str">
        <x:v>Mediana LT_pedido</x:v>
      </x:c>
      <x:c r="H413" s="14" t="str">
        <x:v>P90 LT_pedido</x:v>
      </x:c>
      <x:c r="I413" s="14" t="str">
        <x:v>Mediana Deslocamento</x:v>
      </x:c>
      <x:c r="J413" s="14" t="str">
        <x:v>Maior estoque em E6</x:v>
      </x:c>
      <x:c r="K413" s="14" t="str">
        <x:v>Menor folga física</x:v>
      </x:c>
      <x:c r="L413" s="14" t="str">
        <x:v>Sequências E0–E12 completas</x:v>
      </x:c>
      <x:c r="M413" s="14" t="str">
        <x:v>Cobertura operacional</x:v>
      </x:c>
      <x:c r="N413" s="14" t="str">
        <x:v>Alertas de integridade</x:v>
      </x:c>
      <x:c r="O413" s="14" t="str">
        <x:v>Situação da amostra</x:v>
      </x:c>
      <x:c r="P413" s="14" t="str">
        <x:v>Controle preliminar</x:v>
      </x:c>
      <x:c r="Q413" s="14" t="str">
        <x:v>Valor</x:v>
      </x:c>
      <x:c r="R413" s="14" t="str">
        <x:v>Critério simultâneo</x:v>
      </x:c>
    </x:row>
    <x:row r="414">
      <x:c r="A414" s="43" t="str">
        <x:v>Pinheiros</x:v>
      </x:c>
      <x:c r="B414" s="48" t="n">
        <x:v>30</x:v>
      </x:c>
      <x:c r="C414" s="49" t="n">
        <x:f>COUNTIFS($B$11:$B$410,A414,$AP$11:$AP$410,"Válido*")</x:f>
        <x:v>0</x:v>
      </x:c>
      <x:c r="D414" s="48" t="str">
        <x:f>IF(C414=0,"",MEDIAN(_xlfn._xlws.FILTER($AI$11:$AI$410,($B$11:$B$410=A414)*(LEFT($AP$11:$AP$410,6)="Válido"))))</x:f>
      </x:c>
      <x:c r="E414" s="48" t="str">
        <x:f>IF(C414=0,"",PERCENTILE.INC(_xlfn._xlws.FILTER($AI$11:$AI$410,($B$11:$B$410=A414)*(LEFT($AP$11:$AP$410,6)="Válido")),0.9))</x:f>
      </x:c>
      <x:c r="F414" s="49" t="n">
        <x:f>SUMPRODUCT(($B$11:$B$410=A414)*ISNUMBER($AJ$11:$AJ$410))</x:f>
        <x:v>0</x:v>
      </x:c>
      <x:c r="G414" s="48" t="str">
        <x:f>IF(F414=0,"",MEDIAN(_xlfn._xlws.FILTER($AJ$11:$AJ$410,($B$11:$B$410=A414)*ISNUMBER($AJ$11:$AJ$410))))</x:f>
      </x:c>
      <x:c r="H414" s="48" t="str">
        <x:f>IF(F414=0,"",PERCENTILE.INC(_xlfn._xlws.FILTER($AJ$11:$AJ$410,($B$11:$B$410=A414)*ISNUMBER($AJ$11:$AJ$410)),0.9))</x:f>
      </x:c>
      <x:c r="I414" s="48" t="str">
        <x:f>IF(F414=0,"",IFERROR(MEDIAN(_xlfn._xlws.FILTER($AH$11:$AH$410,($B$11:$B$410=A414)*ISNUMBER($AH$11:$AH$410))),""))</x:f>
      </x:c>
      <x:c r="J414" s="48" t="str">
        <x:f>IF(C414=0,"",MAXIFS($V$11:$V$410,$B$11:$B$410,A414,$AP$11:$AP$410,"Válido*"))</x:f>
      </x:c>
      <x:c r="K414" s="48" t="str">
        <x:f>IF(C414=0,"",B414-J414)</x:f>
      </x:c>
      <x:c r="L414" s="49" t="n">
        <x:f>COUNTIFS($B$11:$B$410,A414,$AQ$11:$AQ$410,"Completa")</x:f>
        <x:v>0</x:v>
      </x:c>
      <x:c r="M414" s="50" t="str">
        <x:f>IF(COUNTIF($B$11:$B$410,A414)=0,"",COUNTIFS($B$11:$B$410,A414,$AS$11:$AS$410,"Completa")/COUNTIF($B$11:$B$410,A414))</x:f>
      </x:c>
      <x:c r="N414" s="49" t="n">
        <x:f>COUNTIFS($B$11:$B$410,A414,$AT$11:$AT$410,"&lt;&gt;Sem alerta",$AT$11:$AT$410,"&lt;&gt;")</x:f>
        <x:v>0</x:v>
      </x:c>
      <x:c r="O414" s="43" t="str">
        <x:f>IF(F414=0,"Sem observações",IF(F414&lt;30,"LT_pedido em coleta",IF(C414&lt;30,"LT_gatilho em coleta/qualificar E0",IF(M414&lt;0.95,"Amostra mínima; revisar contexto",IF(MIN(C414,F414)&lt;50,"Base/mediana suficiente; p90 de baixa confiança","Base e p90 com amostra-alvo")))))</x:f>
        <x:v>Sem observações</x:v>
      </x:c>
      <x:c r="P414" s="43" t="str">
        <x:v>Amplitude observada (semanas)</x:v>
      </x:c>
      <x:c r="Q414" s="48" t="n">
        <x:f>IFERROR((MAX(_xlfn._xlws.FILTER($N$11:$N$410,ISNUMBER($AJ$11:$AJ$410)))-MIN(_xlfn._xlws.FILTER($N$11:$N$410,ISNUMBER($AJ$11:$AJ$410)))+1)/7,0)</x:f>
        <x:v>0</x:v>
      </x:c>
      <x:c r="R414" s="43" t="str">
        <x:v>≥ 4</x:v>
      </x:c>
    </x:row>
    <x:row r="415">
      <x:c r="A415" s="43" t="str">
        <x:v>Jabaquara</x:v>
      </x:c>
      <x:c r="B415" s="48" t="n">
        <x:v>33</x:v>
      </x:c>
      <x:c r="C415" s="49" t="n">
        <x:f>COUNTIFS($B$11:$B$410,A415,$AP$11:$AP$410,"Válido*")</x:f>
        <x:v>0</x:v>
      </x:c>
      <x:c r="D415" s="48" t="str">
        <x:f>IF(C415=0,"",MEDIAN(_xlfn._xlws.FILTER($AI$11:$AI$410,($B$11:$B$410=A415)*(LEFT($AP$11:$AP$410,6)="Válido"))))</x:f>
      </x:c>
      <x:c r="E415" s="48" t="str">
        <x:f>IF(C415=0,"",PERCENTILE.INC(_xlfn._xlws.FILTER($AI$11:$AI$410,($B$11:$B$410=A415)*(LEFT($AP$11:$AP$410,6)="Válido")),0.9))</x:f>
      </x:c>
      <x:c r="F415" s="49" t="n">
        <x:f>SUMPRODUCT(($B$11:$B$410=A415)*ISNUMBER($AJ$11:$AJ$410))</x:f>
        <x:v>0</x:v>
      </x:c>
      <x:c r="G415" s="48" t="str">
        <x:f>IF(F415=0,"",MEDIAN(_xlfn._xlws.FILTER($AJ$11:$AJ$410,($B$11:$B$410=A415)*ISNUMBER($AJ$11:$AJ$410))))</x:f>
      </x:c>
      <x:c r="H415" s="48" t="str">
        <x:f>IF(F415=0,"",PERCENTILE.INC(_xlfn._xlws.FILTER($AJ$11:$AJ$410,($B$11:$B$410=A415)*ISNUMBER($AJ$11:$AJ$410)),0.9))</x:f>
      </x:c>
      <x:c r="I415" s="48" t="str">
        <x:f>IF(F415=0,"",IFERROR(MEDIAN(_xlfn._xlws.FILTER($AH$11:$AH$410,($B$11:$B$410=A415)*ISNUMBER($AH$11:$AH$410))),""))</x:f>
      </x:c>
      <x:c r="J415" s="48" t="str">
        <x:f>IF(C415=0,"",MAXIFS($V$11:$V$410,$B$11:$B$410,A415,$AP$11:$AP$410,"Válido*"))</x:f>
      </x:c>
      <x:c r="K415" s="48" t="str">
        <x:f>IF(C415=0,"",B415-J415)</x:f>
      </x:c>
      <x:c r="L415" s="49" t="n">
        <x:f>COUNTIFS($B$11:$B$410,A415,$AQ$11:$AQ$410,"Completa")</x:f>
        <x:v>0</x:v>
      </x:c>
      <x:c r="M415" s="50" t="str">
        <x:f>IF(COUNTIF($B$11:$B$410,A415)=0,"",COUNTIFS($B$11:$B$410,A415,$AS$11:$AS$410,"Completa")/COUNTIF($B$11:$B$410,A415))</x:f>
      </x:c>
      <x:c r="N415" s="49" t="n">
        <x:f>COUNTIFS($B$11:$B$410,A415,$AT$11:$AT$410,"&lt;&gt;Sem alerta",$AT$11:$AT$410,"&lt;&gt;")</x:f>
        <x:v>0</x:v>
      </x:c>
      <x:c r="O415" s="43" t="str">
        <x:f>IF(F415=0,"Sem observações",IF(F415&lt;30,"LT_pedido em coleta",IF(C415&lt;30,"LT_gatilho em coleta/qualificar E0",IF(M415&lt;0.95,"Amostra mínima; revisar contexto",IF(MIN(C415,F415)&lt;50,"Base/mediana suficiente; p90 de baixa confiança","Base e p90 com amostra-alvo")))))</x:f>
        <x:v>Sem observações</x:v>
      </x:c>
      <x:c r="P415" s="43" t="str">
        <x:v>Pedidos concluídos</x:v>
      </x:c>
      <x:c r="Q415" s="49" t="n">
        <x:f>SUM($F$414:$F$418)</x:f>
        <x:v>0</x:v>
      </x:c>
      <x:c r="R415" s="43" t="str">
        <x:v>≥ 60</x:v>
      </x:c>
    </x:row>
    <x:row r="416">
      <x:c r="A416" s="43" t="str">
        <x:v>Paraisópolis</x:v>
      </x:c>
      <x:c r="B416" s="48" t="n">
        <x:v>33</x:v>
      </x:c>
      <x:c r="C416" s="49" t="n">
        <x:f>COUNTIFS($B$11:$B$410,A416,$AP$11:$AP$410,"Válido*")</x:f>
        <x:v>0</x:v>
      </x:c>
      <x:c r="D416" s="48" t="str">
        <x:f>IF(C416=0,"",MEDIAN(_xlfn._xlws.FILTER($AI$11:$AI$410,($B$11:$B$410=A416)*(LEFT($AP$11:$AP$410,6)="Válido"))))</x:f>
      </x:c>
      <x:c r="E416" s="48" t="str">
        <x:f>IF(C416=0,"",PERCENTILE.INC(_xlfn._xlws.FILTER($AI$11:$AI$410,($B$11:$B$410=A416)*(LEFT($AP$11:$AP$410,6)="Válido")),0.9))</x:f>
      </x:c>
      <x:c r="F416" s="49" t="n">
        <x:f>SUMPRODUCT(($B$11:$B$410=A416)*ISNUMBER($AJ$11:$AJ$410))</x:f>
        <x:v>0</x:v>
      </x:c>
      <x:c r="G416" s="48" t="str">
        <x:f>IF(F416=0,"",MEDIAN(_xlfn._xlws.FILTER($AJ$11:$AJ$410,($B$11:$B$410=A416)*ISNUMBER($AJ$11:$AJ$410))))</x:f>
      </x:c>
      <x:c r="H416" s="48" t="str">
        <x:f>IF(F416=0,"",PERCENTILE.INC(_xlfn._xlws.FILTER($AJ$11:$AJ$410,($B$11:$B$410=A416)*ISNUMBER($AJ$11:$AJ$410)),0.9))</x:f>
      </x:c>
      <x:c r="I416" s="48" t="str">
        <x:f>IF(F416=0,"",IFERROR(MEDIAN(_xlfn._xlws.FILTER($AH$11:$AH$410,($B$11:$B$410=A416)*ISNUMBER($AH$11:$AH$410))),""))</x:f>
      </x:c>
      <x:c r="J416" s="48" t="str">
        <x:f>IF(C416=0,"",MAXIFS($V$11:$V$410,$B$11:$B$410,A416,$AP$11:$AP$410,"Válido*"))</x:f>
      </x:c>
      <x:c r="K416" s="48" t="str">
        <x:f>IF(C416=0,"",B416-J416)</x:f>
      </x:c>
      <x:c r="L416" s="49" t="n">
        <x:f>COUNTIFS($B$11:$B$410,A416,$AQ$11:$AQ$410,"Completa")</x:f>
        <x:v>0</x:v>
      </x:c>
      <x:c r="M416" s="50" t="str">
        <x:f>IF(COUNTIF($B$11:$B$410,A416)=0,"",COUNTIFS($B$11:$B$410,A416,$AS$11:$AS$410,"Completa")/COUNTIF($B$11:$B$410,A416))</x:f>
      </x:c>
      <x:c r="N416" s="49" t="n">
        <x:f>COUNTIFS($B$11:$B$410,A416,$AT$11:$AT$410,"&lt;&gt;Sem alerta",$AT$11:$AT$410,"&lt;&gt;")</x:f>
        <x:v>0</x:v>
      </x:c>
      <x:c r="O416" s="43" t="str">
        <x:f>IF(F416=0,"Sem observações",IF(F416&lt;30,"LT_pedido em coleta",IF(C416&lt;30,"LT_gatilho em coleta/qualificar E0",IF(M416&lt;0.95,"Amostra mínima; revisar contexto",IF(MIN(C416,F416)&lt;50,"Base/mediana suficiente; p90 de baixa confiança","Base e p90 com amostra-alvo")))))</x:f>
        <x:v>Sem observações</x:v>
      </x:c>
      <x:c r="P416" s="43" t="str">
        <x:v>Menor n por CC</x:v>
      </x:c>
      <x:c r="Q416" s="49" t="n">
        <x:f>MIN($F$414:$F$418)</x:f>
        <x:v>0</x:v>
      </x:c>
      <x:c r="R416" s="43" t="str">
        <x:v>≥ 8 por CC</x:v>
      </x:c>
    </x:row>
    <x:row r="417">
      <x:c r="A417" s="43" t="str">
        <x:v>Brooklin</x:v>
      </x:c>
      <x:c r="B417" s="48" t="n">
        <x:v>33</x:v>
      </x:c>
      <x:c r="C417" s="49" t="n">
        <x:f>COUNTIFS($B$11:$B$410,A417,$AP$11:$AP$410,"Válido*")</x:f>
        <x:v>0</x:v>
      </x:c>
      <x:c r="D417" s="48" t="str">
        <x:f>IF(C417=0,"",MEDIAN(_xlfn._xlws.FILTER($AI$11:$AI$410,($B$11:$B$410=A417)*(LEFT($AP$11:$AP$410,6)="Válido"))))</x:f>
      </x:c>
      <x:c r="E417" s="48" t="str">
        <x:f>IF(C417=0,"",PERCENTILE.INC(_xlfn._xlws.FILTER($AI$11:$AI$410,($B$11:$B$410=A417)*(LEFT($AP$11:$AP$410,6)="Válido")),0.9))</x:f>
      </x:c>
      <x:c r="F417" s="49" t="n">
        <x:f>SUMPRODUCT(($B$11:$B$410=A417)*ISNUMBER($AJ$11:$AJ$410))</x:f>
        <x:v>0</x:v>
      </x:c>
      <x:c r="G417" s="48" t="str">
        <x:f>IF(F417=0,"",MEDIAN(_xlfn._xlws.FILTER($AJ$11:$AJ$410,($B$11:$B$410=A417)*ISNUMBER($AJ$11:$AJ$410))))</x:f>
      </x:c>
      <x:c r="H417" s="48" t="str">
        <x:f>IF(F417=0,"",PERCENTILE.INC(_xlfn._xlws.FILTER($AJ$11:$AJ$410,($B$11:$B$410=A417)*ISNUMBER($AJ$11:$AJ$410)),0.9))</x:f>
      </x:c>
      <x:c r="I417" s="48" t="str">
        <x:f>IF(F417=0,"",IFERROR(MEDIAN(_xlfn._xlws.FILTER($AH$11:$AH$410,($B$11:$B$410=A417)*ISNUMBER($AH$11:$AH$410))),""))</x:f>
      </x:c>
      <x:c r="J417" s="48" t="str">
        <x:f>IF(C417=0,"",MAXIFS($V$11:$V$410,$B$11:$B$410,A417,$AP$11:$AP$410,"Válido*"))</x:f>
      </x:c>
      <x:c r="K417" s="48" t="str">
        <x:f>IF(C417=0,"",B417-J417)</x:f>
      </x:c>
      <x:c r="L417" s="49" t="n">
        <x:f>COUNTIFS($B$11:$B$410,A417,$AQ$11:$AQ$410,"Completa")</x:f>
        <x:v>0</x:v>
      </x:c>
      <x:c r="M417" s="50" t="str">
        <x:f>IF(COUNTIF($B$11:$B$410,A417)=0,"",COUNTIFS($B$11:$B$410,A417,$AS$11:$AS$410,"Completa")/COUNTIF($B$11:$B$410,A417))</x:f>
      </x:c>
      <x:c r="N417" s="49" t="n">
        <x:f>COUNTIFS($B$11:$B$410,A417,$AT$11:$AT$410,"&lt;&gt;Sem alerta",$AT$11:$AT$410,"&lt;&gt;")</x:f>
        <x:v>0</x:v>
      </x:c>
      <x:c r="O417" s="43" t="str">
        <x:f>IF(F417=0,"Sem observações",IF(F417&lt;30,"LT_pedido em coleta",IF(C417&lt;30,"LT_gatilho em coleta/qualificar E0",IF(M417&lt;0.95,"Amostra mínima; revisar contexto",IF(MIN(C417,F417)&lt;50,"Base/mediana suficiente; p90 de baixa confiança","Base e p90 com amostra-alvo")))))</x:f>
        <x:v>Sem observações</x:v>
      </x:c>
      <x:c r="P417" s="43" t="str">
        <x:v>Censo consecutivo confirmado?</x:v>
      </x:c>
      <x:c r="Q417" s="43" t="str">
        <x:v>Não</x:v>
      </x:c>
      <x:c r="R417" s="43" t="str">
        <x:v>Sim</x:v>
      </x:c>
    </x:row>
    <x:row r="418">
      <x:c r="A418" s="43" t="str">
        <x:v>Embu das Artes</x:v>
      </x:c>
      <x:c r="B418" s="48" t="n">
        <x:v>33</x:v>
      </x:c>
      <x:c r="C418" s="49" t="n">
        <x:f>COUNTIFS($B$11:$B$410,A418,$AP$11:$AP$410,"Válido*")</x:f>
        <x:v>0</x:v>
      </x:c>
      <x:c r="D418" s="48" t="str">
        <x:f>IF(C418=0,"",MEDIAN(_xlfn._xlws.FILTER($AI$11:$AI$410,($B$11:$B$410=A418)*(LEFT($AP$11:$AP$410,6)="Válido"))))</x:f>
      </x:c>
      <x:c r="E418" s="48" t="str">
        <x:f>IF(C418=0,"",PERCENTILE.INC(_xlfn._xlws.FILTER($AI$11:$AI$410,($B$11:$B$410=A418)*(LEFT($AP$11:$AP$410,6)="Válido")),0.9))</x:f>
      </x:c>
      <x:c r="F418" s="49" t="n">
        <x:f>SUMPRODUCT(($B$11:$B$410=A418)*ISNUMBER($AJ$11:$AJ$410))</x:f>
        <x:v>0</x:v>
      </x:c>
      <x:c r="G418" s="48" t="str">
        <x:f>IF(F418=0,"",MEDIAN(_xlfn._xlws.FILTER($AJ$11:$AJ$410,($B$11:$B$410=A418)*ISNUMBER($AJ$11:$AJ$410))))</x:f>
      </x:c>
      <x:c r="H418" s="48" t="str">
        <x:f>IF(F418=0,"",PERCENTILE.INC(_xlfn._xlws.FILTER($AJ$11:$AJ$410,($B$11:$B$410=A418)*ISNUMBER($AJ$11:$AJ$410)),0.9))</x:f>
      </x:c>
      <x:c r="I418" s="48" t="str">
        <x:f>IF(F418=0,"",IFERROR(MEDIAN(_xlfn._xlws.FILTER($AH$11:$AH$410,($B$11:$B$410=A418)*ISNUMBER($AH$11:$AH$410))),""))</x:f>
      </x:c>
      <x:c r="J418" s="48" t="str">
        <x:f>IF(C418=0,"",MAXIFS($V$11:$V$410,$B$11:$B$410,A418,$AP$11:$AP$410,"Válido*"))</x:f>
      </x:c>
      <x:c r="K418" s="48" t="str">
        <x:f>IF(C418=0,"",B418-J418)</x:f>
      </x:c>
      <x:c r="L418" s="49" t="n">
        <x:f>COUNTIFS($B$11:$B$410,A418,$AQ$11:$AQ$410,"Completa")</x:f>
        <x:v>0</x:v>
      </x:c>
      <x:c r="M418" s="50" t="str">
        <x:f>IF(COUNTIF($B$11:$B$410,A418)=0,"",COUNTIFS($B$11:$B$410,A418,$AS$11:$AS$410,"Completa")/COUNTIF($B$11:$B$410,A418))</x:f>
      </x:c>
      <x:c r="N418" s="49" t="n">
        <x:f>COUNTIFS($B$11:$B$410,A418,$AT$11:$AT$410,"&lt;&gt;Sem alerta",$AT$11:$AT$410,"&lt;&gt;")</x:f>
        <x:v>0</x:v>
      </x:c>
      <x:c r="O418" s="43" t="str">
        <x:f>IF(F418=0,"Sem observações",IF(F418&lt;30,"LT_pedido em coleta",IF(C418&lt;30,"LT_gatilho em coleta/qualificar E0",IF(M418&lt;0.95,"Amostra mínima; revisar contexto",IF(MIN(C418,F418)&lt;50,"Base/mediana suficiente; p90 de baixa confiança","Base e p90 com amostra-alvo")))))</x:f>
        <x:v>Sem observações</x:v>
      </x:c>
      <x:c r="P418" s="43" t="str">
        <x:v>Leitura preliminar</x:v>
      </x:c>
      <x:c r="Q418" s="43" t="str">
        <x:f>IF(AND(Q414&gt;=4,Q415&gt;=60,Q416&gt;=8,Q417="Sim"),"Liberada","Em coleta")</x:f>
        <x:v>Em coleta</x:v>
      </x:c>
      <x:c r="R418" s="43" t="str">
        <x:v>Todos simultaneamente</x:v>
      </x:c>
    </x:row>
    <x:row r="420" ht="32" customHeight="1">
      <x:c r="A420" s="47" t="str">
        <x:v>A grade comporta 400 solicitações. A leitura preliminar exige simultaneamente amplitude ≥4 semanas, confirmação do censo consecutivo, ≥60 concluídas e ≥8 por CC. LT_pedido usa E1/E6; LT_gatilho usa E0/E6 e a qualidade de E0; Deslocamento usa E5/E6. A meta-base é 30 por centro, o ideal para p90 é 50 e a cobertura dos campos contextuais deve ser ≥95%. A fila não é somada ao ciclo RCCP.</x:v>
      </x:c>
      <x:c r="B420" s="47"/>
      <x:c r="C420" s="47"/>
      <x:c r="D420" s="47"/>
      <x:c r="E420" s="47"/>
      <x:c r="F420" s="47"/>
      <x:c r="G420" s="47"/>
      <x:c r="H420" s="47"/>
      <x:c r="I420" s="47"/>
      <x:c r="J420" s="47"/>
      <x:c r="K420" s="47"/>
      <x:c r="L420" s="47"/>
      <x:c r="M420" s="47"/>
      <x:c r="N420" s="47"/>
      <x:c r="O420" s="47"/>
      <x:c r="P420" s="47"/>
      <x:c r="Q420" s="47"/>
      <x:c r="R420" s="47"/>
      <x:c r="S420" s="47"/>
      <x:c r="T420" s="47"/>
      <x:c r="U420" s="47"/>
      <x:c r="V420" s="47"/>
      <x:c r="W420" s="47"/>
      <x:c r="X420" s="47"/>
      <x:c r="Y420" s="47"/>
      <x:c r="Z420" s="47"/>
      <x:c r="AA420" s="47"/>
      <x:c r="AB420" s="47"/>
      <x:c r="AC420" s="47"/>
      <x:c r="AD420" s="47"/>
      <x:c r="AE420" s="47"/>
      <x:c r="AF420" s="47"/>
      <x:c r="AG420" s="47"/>
      <x:c r="AH420" s="47"/>
      <x:c r="AI420" s="47"/>
      <x:c r="AJ420" s="47"/>
      <x:c r="AK420" s="47"/>
      <x:c r="AL420" s="47"/>
      <x:c r="AM420" s="47"/>
      <x:c r="AN420" s="47"/>
      <x:c r="AO420" s="47"/>
      <x:c r="AP420" s="47"/>
      <x:c r="AQ420" s="47"/>
      <x:c r="AR420" s="47"/>
      <x:c r="AS420" s="47"/>
      <x:c r="AT420" s="47"/>
    </x:row>
    <x:row r="423" ht="24" customHeight="1">
      <x:c r="A423" s="122" t="str">
        <x:v>Referência histórica do SIMUL8 — deslocamento após a partida, sem fila anterior</x:v>
      </x:c>
      <x:c r="B423" s="122"/>
      <x:c r="C423" s="122"/>
      <x:c r="D423" s="122"/>
      <x:c r="E423" s="122"/>
      <x:c r="F423" s="122"/>
      <x:c r="G423" s="122"/>
      <x:c r="H423" s="122"/>
      <x:c r="I423" s="122"/>
      <x:c r="J423" s="122"/>
    </x:row>
    <x:row r="425" ht="30" customHeight="1">
      <x:c r="A425" s="14" t="str">
        <x:v>Centro</x:v>
      </x:c>
      <x:c r="B425" s="14" t="str">
        <x:v>Matriz RCCP atual — esperado (min)</x:v>
      </x:c>
      <x:c r="C425" s="14" t="str">
        <x:v>Parâmetro esperado no SIMUL8 histórico (min)</x:v>
      </x:c>
      <x:c r="D425" s="14" t="str">
        <x:v>n primeiras pernas</x:v>
      </x:c>
      <x:c r="E425" s="14" t="str">
        <x:v>Média simulada (min)</x:v>
      </x:c>
      <x:c r="F425" s="14" t="str">
        <x:v>P50 (min)</x:v>
      </x:c>
      <x:c r="G425" s="14" t="str">
        <x:v>P90 (min)</x:v>
      </x:c>
      <x:c r="H425" s="14" t="str">
        <x:v>Mínimo (min)</x:v>
      </x:c>
      <x:c r="I425" s="14" t="str">
        <x:v>Máximo (min)</x:v>
      </x:c>
      <x:c r="J425" s="14" t="str">
        <x:v>Uso permitido</x:v>
      </x:c>
    </x:row>
    <x:row r="426">
      <x:c r="A426" s="43" t="str">
        <x:v>Pinheiros</x:v>
      </x:c>
      <x:c r="B426" s="48" t="n">
        <x:v>35</x:v>
      </x:c>
      <x:c r="C426" s="48" t="n">
        <x:v>48.33333</x:v>
      </x:c>
      <x:c r="D426" s="49" t="n">
        <x:v>241</x:v>
      </x:c>
      <x:c r="E426" s="48" t="n">
        <x:v>52.825098347582</x:v>
      </x:c>
      <x:c r="F426" s="48" t="n">
        <x:v>47.972112690972</x:v>
      </x:c>
      <x:c r="G426" s="48" t="n">
        <x:v>64.095251821622</x:v>
      </x:c>
      <x:c r="H426" s="48" t="n">
        <x:v>31.969441542198</x:v>
      </x:c>
      <x:c r="I426" s="48" t="n">
        <x:v>122.108730278589</x:v>
      </x:c>
      <x:c r="J426" s="43" t="str">
        <x:v>Referência sintética de Deslocamento; não mede LT_pedido nem LT_gatilho</x:v>
      </x:c>
    </x:row>
    <x:row r="427">
      <x:c r="A427" s="43" t="str">
        <x:v>Jabaquara</x:v>
      </x:c>
      <x:c r="B427" s="48" t="n">
        <x:v>27.66666667</x:v>
      </x:c>
      <x:c r="C427" s="48" t="n">
        <x:v>36.66667</x:v>
      </x:c>
      <x:c r="D427" s="49" t="n">
        <x:v>233</x:v>
      </x:c>
      <x:c r="E427" s="48" t="n">
        <x:v>40.917209219969</x:v>
      </x:c>
      <x:c r="F427" s="48" t="n">
        <x:v>37.272073151107</x:v>
      </x:c>
      <x:c r="G427" s="48" t="n">
        <x:v>50.754763408733</x:v>
      </x:c>
      <x:c r="H427" s="48" t="n">
        <x:v>21.252067611931</x:v>
      </x:c>
      <x:c r="I427" s="48" t="n">
        <x:v>109.765213861348</x:v>
      </x:c>
      <x:c r="J427" s="43" t="str">
        <x:v>Referência sintética de Deslocamento; não mede LT_pedido nem LT_gatilho</x:v>
      </x:c>
    </x:row>
    <x:row r="428">
      <x:c r="A428" s="43" t="str">
        <x:v>Paraisópolis</x:v>
      </x:c>
      <x:c r="B428" s="48" t="n">
        <x:v>24</x:v>
      </x:c>
      <x:c r="C428" s="48" t="n">
        <x:v>43.33333</x:v>
      </x:c>
      <x:c r="D428" s="49" t="n">
        <x:v>113</x:v>
      </x:c>
      <x:c r="E428" s="48" t="n">
        <x:v>50.853502678695</x:v>
      </x:c>
      <x:c r="F428" s="48" t="n">
        <x:v>43.487163517508</x:v>
      </x:c>
      <x:c r="G428" s="48" t="n">
        <x:v>95.205712503055</x:v>
      </x:c>
      <x:c r="H428" s="48" t="n">
        <x:v>27.206304839958</x:v>
      </x:c>
      <x:c r="I428" s="48" t="n">
        <x:v>113.138427323924</x:v>
      </x:c>
      <x:c r="J428" s="43" t="str">
        <x:v>Referência sintética de Deslocamento; não mede LT_pedido nem LT_gatilho</x:v>
      </x:c>
    </x:row>
    <x:row r="429">
      <x:c r="A429" s="43" t="str">
        <x:v>Brooklin</x:v>
      </x:c>
      <x:c r="B429" s="48" t="n">
        <x:v>16.33333333</x:v>
      </x:c>
      <x:c r="C429" s="48" t="n">
        <x:v>25.66667</x:v>
      </x:c>
      <x:c r="D429" s="49" t="n">
        <x:v>108</x:v>
      </x:c>
      <x:c r="E429" s="48" t="n">
        <x:v>30.243217235374</x:v>
      </x:c>
      <x:c r="F429" s="48" t="n">
        <x:v>26.636285255299</x:v>
      </x:c>
      <x:c r="G429" s="48" t="n">
        <x:v>36.095594829394</x:v>
      </x:c>
      <x:c r="H429" s="48" t="n">
        <x:v>13.181986268377</x:v>
      </x:c>
      <x:c r="I429" s="48" t="n">
        <x:v>96.600871819974</x:v>
      </x:c>
      <x:c r="J429" s="43" t="str">
        <x:v>Referência sintética de Deslocamento; não mede LT_pedido nem LT_gatilho</x:v>
      </x:c>
    </x:row>
    <x:row r="430">
      <x:c r="A430" s="43" t="str">
        <x:v>Embu das Artes</x:v>
      </x:c>
      <x:c r="B430" s="48" t="n">
        <x:v>42</x:v>
      </x:c>
      <x:c r="C430" s="48" t="n">
        <x:v>63.33333</x:v>
      </x:c>
      <x:c r="D430" s="49" t="n">
        <x:v>108</x:v>
      </x:c>
      <x:c r="E430" s="48" t="n">
        <x:v>72.803934248002</x:v>
      </x:c>
      <x:c r="F430" s="48" t="n">
        <x:v>66.939713597036</x:v>
      </x:c>
      <x:c r="G430" s="48" t="n">
        <x:v>115.997918459505</x:v>
      </x:c>
      <x:c r="H430" s="48" t="n">
        <x:v>41.959123162989</x:v>
      </x:c>
      <x:c r="I430" s="48" t="n">
        <x:v>143.576232381078</x:v>
      </x:c>
      <x:c r="J430" s="43" t="str">
        <x:v>Referência sintética de Deslocamento; não mede LT_pedido nem LT_gatilho</x:v>
      </x:c>
    </x:row>
    <x:row r="432" ht="48" customHeight="1">
      <x:c r="A432" s="47" t="str">
        <x:v>Fonte: Log caminhão2.xlsx e Caminhao_Log. Há 803 viagens iniciadas e 801 completas; nas 803 primeiras pernas, TempoTotalDesdeChamada = DuracaoEtapa (diferença máxima zero). O log mede apenas Deslocamento simulado após a partida, não LT_pedido nem LT_gatilho. Espera por caminhão ocupado é lead time/buffer e não deve ser somada ao ciclo de capacidade, para evitar dupla contagem.</x:v>
      </x:c>
      <x:c r="B432" s="47"/>
      <x:c r="C432" s="47"/>
      <x:c r="D432" s="47"/>
      <x:c r="E432" s="47"/>
      <x:c r="F432" s="47"/>
      <x:c r="G432" s="47"/>
      <x:c r="H432" s="47"/>
      <x:c r="I432" s="47"/>
      <x:c r="J432" s="47"/>
    </x:row>
  </x:sheetData>
  <x:mergeCells>
    <x:mergeCell ref="A1:AT1"/>
    <x:mergeCell ref="A2:AT2"/>
    <x:mergeCell ref="A420:AT420"/>
    <x:mergeCell ref="A423:J423"/>
    <x:mergeCell ref="A432:J432"/>
  </x:mergeCells>
  <x:dataValidations count="8">
    <x:dataValidation type="list" sqref="B11:B410">
      <x:formula1>"Pinheiros,Jabaquara,Paraisópolis,Brooklin,Embu das Artes"</x:formula1>
    </x:dataValidation>
    <x:dataValidation type="list" sqref="E11:E410">
      <x:formula1>"America/Sao_Paulo,UTC,A confirmar"</x:formula1>
    </x:dataValidation>
    <x:dataValidation type="list" sqref="F11:F410">
      <x:formula1>"Sistema,Mensagem,GPS,Portão,Agenda,Manual,Reconciliado"</x:formula1>
    </x:dataValidation>
    <x:dataValidation type="list" sqref="G11:G410">
      <x:formula1>"Sensor,Marcação física,Cálculo,Estimativa visual,Não observado"</x:formula1>
    </x:dataValidation>
    <x:dataValidation type="list" sqref="AA11:AA410">
      <x:formula1>"Livre,Deslocando,Carregando,Retornando,Descarregando,Fora do turno"</x:formula1>
    </x:dataValidation>
    <x:dataValidation type="list" sqref="AC11:AC410">
      <x:formula1>"FIFO,Maior ocupação,Menor margem até transbordo,Mais próximo,Programação fixa,Decisão manual"</x:formula1>
    </x:dataValidation>
    <x:dataValidation type="list" sqref="AD11:AD410">
      <x:formula1>"Não,Trânsito,Veículo indisponível,CC indisponível,Hub indisponível,Mudança de prioridade,Pedido combinado,Outro"</x:formula1>
    </x:dataValidation>
    <x:dataValidation type="list" sqref="Q417">
      <x:formula1>"Sim,Não"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26" hidden="0" customWidth="1"/>
    <x:col min="4" max="4" width="21" hidden="0" customWidth="1"/>
    <x:col min="5" max="5" width="22" hidden="0" customWidth="1"/>
    <x:col min="6" max="6" width="18" hidden="0" customWidth="1"/>
    <x:col min="7" max="7" width="24" hidden="0" customWidth="1"/>
    <x:col min="8" max="8" width="20" hidden="0" customWidth="1"/>
    <x:col min="9" max="9" width="22" hidden="0" customWidth="1"/>
    <x:col min="10" max="10" width="25" hidden="0" customWidth="1"/>
    <x:col min="11" max="11" width="18" hidden="0" customWidth="1"/>
    <x:col min="12" max="12" width="25" hidden="0" customWidth="1"/>
    <x:col min="13" max="13" width="24" hidden="0" customWidth="1"/>
  </x:cols>
  <x:sheetData>
    <x:row r="1" ht="30" customHeight="1">
      <x:c r="A1" s="4" t="str">
        <x:v>Sensibilidades RCCP — Recursos, Demanda e Gargalo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8" customHeight="1">
      <x:c r="A2" s="8" t="str">
        <x:v>Baseline oficial v15: massas e quantidades da Base Geral de Parâmetros ÷ 52 e densidades da etapa Caminhão fornecidas em 19/08/2026. Comparações preservam o baseline e testam eficiência, frota e crescimento de demanda.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4" ht="30" customHeight="1">
      <x:c r="A4" s="14" t="str">
        <x:v>Cenário</x:v>
      </x:c>
      <x:c r="B4" s="14" t="str">
        <x:v>Base das visitas</x:v>
      </x:c>
      <x:c r="C4" s="14" t="str">
        <x:v>Base da massa</x:v>
      </x:c>
      <x:c r="D4" s="14" t="str">
        <x:v>Demanda Transporte (kg/sem)</x:v>
      </x:c>
      <x:c r="E4" s="14" t="str">
        <x:v>Capacidade Transporte (kg/sem)</x:v>
      </x:c>
      <x:c r="F4" s="14" t="str">
        <x:v>Utilização Transporte</x:v>
      </x:c>
      <x:c r="G4" s="14" t="str">
        <x:v>CC mais ocupado</x:v>
      </x:c>
      <x:c r="H4" s="14" t="str">
        <x:v>Utilização maior CC</x:v>
      </x:c>
      <x:c r="I4" s="14" t="str">
        <x:v>Massa total Hub (kg/sem)</x:v>
      </x:c>
      <x:c r="J4" s="14" t="str">
        <x:v>Carga conhecida Hub (op-min/sem)</x:v>
      </x:c>
      <x:c r="K4" s="14" t="str">
        <x:v>Utilização Hub</x:v>
      </x:c>
      <x:c r="L4" s="14" t="str">
        <x:v>Capacidade equivalente Hub (kg/sem)</x:v>
      </x:c>
      <x:c r="M4" s="14" t="str">
        <x:v>Gargalo indicativo</x:v>
      </x:c>
    </x:row>
    <x:row r="5">
      <x:c r="A5" s="43" t="str">
        <x:v>Baseline oficial v15 — Base Geral ÷ 52</x:v>
      </x:c>
      <x:c r="B5" s="43" t="str">
        <x:v>Quantidade oficial ÷ 52</x:v>
      </x:c>
      <x:c r="C5" s="43" t="str">
        <x:v>Base Geral oficial ÷ 52</x:v>
      </x:c>
      <x:c r="D5" s="48" t="n">
        <x:v>7354.157692307692</x:v>
      </x:c>
      <x:c r="E5" s="48" t="n">
        <x:v>10152.960730505827</x:v>
      </x:c>
      <x:c r="F5" s="50" t="n">
        <x:v>0.7243362687507708</x:v>
      </x:c>
      <x:c r="G5" s="43" t="str">
        <x:v>Jabaquara</x:v>
      </x:c>
      <x:c r="H5" s="50" t="n">
        <x:v>0.1574695059869915</x:v>
      </x:c>
      <x:c r="I5" s="48" t="n">
        <x:v>7636.151923076923</x:v>
      </x:c>
      <x:c r="J5" s="48" t="n">
        <x:v>2888.370142152814</x:v>
      </x:c>
      <x:c r="K5" s="50" t="n">
        <x:v>0.1637398039769169</x:v>
      </x:c>
      <x:c r="L5" s="48" t="n">
        <x:v>46635.892663908555</x:v>
      </x:c>
      <x:c r="M5" s="43" t="str">
        <x:v>Transporte</x:v>
      </x:c>
    </x:row>
    <x:row r="6">
      <x:c r="A6" s="43" t="str">
        <x:v>Checagem — cobertura oficial anual equivale a 52 semanas</x:v>
      </x:c>
      <x:c r="B6" s="43" t="str">
        <x:v>Checagem da cobertura anual (52)</x:v>
      </x:c>
      <x:c r="C6" s="43" t="str">
        <x:v>Base Geral oficial ÷ 52</x:v>
      </x:c>
      <x:c r="D6" s="48" t="n">
        <x:v>7354.157692307692</x:v>
      </x:c>
      <x:c r="E6" s="48" t="n">
        <x:v>10152.960730505827</x:v>
      </x:c>
      <x:c r="F6" s="50" t="n">
        <x:v>0.7243362687507708</x:v>
      </x:c>
      <x:c r="G6" s="43" t="str">
        <x:v>Jabaquara</x:v>
      </x:c>
      <x:c r="H6" s="50" t="n">
        <x:v>0.1574695059869915</x:v>
      </x:c>
      <x:c r="I6" s="48" t="n">
        <x:v>7636.151923076923</x:v>
      </x:c>
      <x:c r="J6" s="48" t="n">
        <x:v>2888.370142152814</x:v>
      </x:c>
      <x:c r="K6" s="50" t="n">
        <x:v>0.1637398039769169</x:v>
      </x:c>
      <x:c r="L6" s="48" t="n">
        <x:v>46635.892663908555</x:v>
      </x:c>
      <x:c r="M6" s="43" t="str">
        <x:v>Transporte</x:v>
      </x:c>
    </x:row>
    <x:row r="7">
      <x:c r="A7" s="43" t="str">
        <x:v>Sensibilidade histórica — eficiências de 85%</x:v>
      </x:c>
      <x:c r="B7" s="43" t="str">
        <x:v>Quantidade oficial ÷ 52</x:v>
      </x:c>
      <x:c r="C7" s="43" t="str">
        <x:v>Base Geral oficial ÷ 52</x:v>
      </x:c>
      <x:c r="D7" s="48" t="n">
        <x:v>7354.157692307692</x:v>
      </x:c>
      <x:c r="E7" s="48" t="n">
        <x:v>8306.967870413859</x:v>
      </x:c>
      <x:c r="F7" s="50" t="n">
        <x:v>0.88529988402872</x:v>
      </x:c>
      <x:c r="G7" s="43" t="str">
        <x:v>Jabaquara</x:v>
      </x:c>
      <x:c r="H7" s="50" t="n">
        <x:v>0.18525824233763707</x:v>
      </x:c>
      <x:c r="I7" s="48" t="n">
        <x:v>7636.151923076923</x:v>
      </x:c>
      <x:c r="J7" s="48" t="n">
        <x:v>2888.370142152814</x:v>
      </x:c>
      <x:c r="K7" s="50" t="n">
        <x:v>0.1926350635022552</x:v>
      </x:c>
      <x:c r="L7" s="48" t="n">
        <x:v>39640.508764322265</x:v>
      </x:c>
      <x:c r="M7" s="43" t="str">
        <x:v>Transporte</x:v>
      </x:c>
    </x:row>
    <x:row r="8">
      <x:c r="A8" s="43" t="str">
        <x:v>Sensibilidade — dois caminhões</x:v>
      </x:c>
      <x:c r="B8" s="43" t="str">
        <x:v>Quantidade oficial ÷ 52</x:v>
      </x:c>
      <x:c r="C8" s="43" t="str">
        <x:v>Base Geral oficial ÷ 52</x:v>
      </x:c>
      <x:c r="D8" s="48" t="n">
        <x:v>7354.157692307692</x:v>
      </x:c>
      <x:c r="E8" s="48" t="n">
        <x:v>20305.921461011654</x:v>
      </x:c>
      <x:c r="F8" s="50" t="n">
        <x:v>0.3621681343753854</x:v>
      </x:c>
      <x:c r="G8" s="43" t="str">
        <x:v>Jabaquara</x:v>
      </x:c>
      <x:c r="H8" s="50" t="n">
        <x:v>0.1574695059869915</x:v>
      </x:c>
      <x:c r="I8" s="48" t="n">
        <x:v>7636.151923076923</x:v>
      </x:c>
      <x:c r="J8" s="48" t="n">
        <x:v>2888.370142152814</x:v>
      </x:c>
      <x:c r="K8" s="50" t="n">
        <x:v>0.1637398039769169</x:v>
      </x:c>
      <x:c r="L8" s="48" t="n">
        <x:v>46635.892663908555</x:v>
      </x:c>
      <x:c r="M8" s="43" t="str">
        <x:v>Transporte</x:v>
      </x:c>
    </x:row>
    <x:row r="9">
      <x:c r="A9" s="43" t="str">
        <x:v>Sensibilidade — demanda e chegadas +20%</x:v>
      </x:c>
      <x:c r="B9" s="43" t="str">
        <x:v>Quantidade oficial ÷ 52</x:v>
      </x:c>
      <x:c r="C9" s="43" t="str">
        <x:v>Base Geral oficial ÷ 52</x:v>
      </x:c>
      <x:c r="D9" s="48" t="n">
        <x:v>8824.989230769232</x:v>
      </x:c>
      <x:c r="E9" s="48" t="n">
        <x:v>10152.96073050583</x:v>
      </x:c>
      <x:c r="F9" s="50" t="n">
        <x:v>0.8692035225009249</x:v>
      </x:c>
      <x:c r="G9" s="43" t="str">
        <x:v>Jabaquara</x:v>
      </x:c>
      <x:c r="H9" s="50" t="n">
        <x:v>0.1889634071843898</x:v>
      </x:c>
      <x:c r="I9" s="48" t="n">
        <x:v>9163.382307692309</x:v>
      </x:c>
      <x:c r="J9" s="48" t="n">
        <x:v>3466.0441705833764</x:v>
      </x:c>
      <x:c r="K9" s="50" t="n">
        <x:v>0.19648776477230026</x:v>
      </x:c>
      <x:c r="L9" s="48" t="n">
        <x:v>46635.89266390857</x:v>
      </x:c>
      <x:c r="M9" s="43" t="str">
        <x:v>Transporte</x:v>
      </x:c>
    </x:row>
    <x:row r="11" ht="32" customHeight="1">
      <x:c r="A11" s="47" t="str">
        <x:v>Leitura: o baseline divide as quantidades oficiais de chegadas por 52 e usa as massas da Base Geral por material/centro também divididas por 52. A checagem da cobertura anual coincide com o baseline; as demais linhas testam eficiência, frota e crescimento de demanda.</x:v>
      </x:c>
      <x:c r="B11" s="47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</x:row>
    <x:row r="14" ht="30" customHeight="1">
      <x:c r="A14" s="14" t="str">
        <x:v>Unidade</x:v>
      </x:c>
      <x:c r="B14" s="14" t="str">
        <x:v>Visitas/sem — checagem</x:v>
      </x:c>
      <x:c r="C14" s="14" t="str">
        <x:v>Visitas/sem — baseline</x:v>
      </x:c>
      <x:c r="D14" s="14" t="str">
        <x:v>Utilização — checagem</x:v>
      </x:c>
      <x:c r="E14" s="14" t="str">
        <x:v>Utilização — baseline</x:v>
      </x:c>
      <x:c r="F14" s="14" t="str">
        <x:v>Variação (p.p.)</x:v>
      </x:c>
      <x:c r="G14" s="14" t="str">
        <x:v>Implicação</x:v>
      </x:c>
    </x:row>
    <x:row r="15">
      <x:c r="A15" s="43" t="str">
        <x:v>Pinheiros</x:v>
      </x:c>
      <x:c r="B15" s="48" t="n">
        <x:v>131.34615384615384</x:v>
      </x:c>
      <x:c r="C15" s="48" t="n">
        <x:v>131.34615384615384</x:v>
      </x:c>
      <x:c r="D15" s="50" t="n">
        <x:v>0.12515498501131508</x:v>
      </x:c>
      <x:c r="E15" s="50" t="n">
        <x:v>0.12515498501131508</x:v>
      </x:c>
      <x:c r="F15" s="78" t="n">
        <x:v>0</x:v>
      </x:c>
      <x:c r="G15" s="43" t="str">
        <x:v>Coincide com o baseline oficial de 52 semanas</x:v>
      </x:c>
    </x:row>
    <x:row r="16">
      <x:c r="A16" s="43" t="str">
        <x:v>Jabaquara</x:v>
      </x:c>
      <x:c r="B16" s="48" t="n">
        <x:v>168.32692307692307</x:v>
      </x:c>
      <x:c r="C16" s="48" t="n">
        <x:v>168.32692307692307</x:v>
      </x:c>
      <x:c r="D16" s="50" t="n">
        <x:v>0.1574695059869915</x:v>
      </x:c>
      <x:c r="E16" s="50" t="n">
        <x:v>0.1574695059869915</x:v>
      </x:c>
      <x:c r="F16" s="78" t="n">
        <x:v>0</x:v>
      </x:c>
      <x:c r="G16" s="43" t="str">
        <x:v>Coincide com o baseline oficial de 52 semanas</x:v>
      </x:c>
    </x:row>
    <x:row r="17">
      <x:c r="A17" s="43" t="str">
        <x:v>Paraisópolis</x:v>
      </x:c>
      <x:c r="B17" s="48" t="n">
        <x:v>13.903846153846153</x:v>
      </x:c>
      <x:c r="C17" s="48" t="n">
        <x:v>13.903846153846153</x:v>
      </x:c>
      <x:c r="D17" s="50" t="n">
        <x:v>0.030940503235932268</x:v>
      </x:c>
      <x:c r="E17" s="50" t="n">
        <x:v>0.030940503235932268</x:v>
      </x:c>
      <x:c r="F17" s="78" t="n">
        <x:v>0</x:v>
      </x:c>
      <x:c r="G17" s="43" t="str">
        <x:v>Coincide com o baseline oficial de 52 semanas</x:v>
      </x:c>
    </x:row>
    <x:row r="18">
      <x:c r="A18" s="43" t="str">
        <x:v>Brooklin</x:v>
      </x:c>
      <x:c r="B18" s="48" t="n">
        <x:v>65.32692307692308</x:v>
      </x:c>
      <x:c r="C18" s="48" t="n">
        <x:v>65.32692307692308</x:v>
      </x:c>
      <x:c r="D18" s="50" t="n">
        <x:v>0.06592058131042237</x:v>
      </x:c>
      <x:c r="E18" s="50" t="n">
        <x:v>0.06592058131042237</x:v>
      </x:c>
      <x:c r="F18" s="78" t="n">
        <x:v>0</x:v>
      </x:c>
      <x:c r="G18" s="43" t="str">
        <x:v>Coincide com o baseline oficial de 52 semanas</x:v>
      </x:c>
    </x:row>
    <x:row r="19">
      <x:c r="A19" s="43" t="str">
        <x:v>Embu das Artes</x:v>
      </x:c>
      <x:c r="B19" s="48" t="n">
        <x:v>32.40384615384615</x:v>
      </x:c>
      <x:c r="C19" s="48" t="n">
        <x:v>32.40384615384615</x:v>
      </x:c>
      <x:c r="D19" s="50" t="n">
        <x:v>0.03001316457349431</x:v>
      </x:c>
      <x:c r="E19" s="50" t="n">
        <x:v>0.03001316457349431</x:v>
      </x:c>
      <x:c r="F19" s="78" t="n">
        <x:v>0</x:v>
      </x:c>
      <x:c r="G19" s="43" t="str">
        <x:v>Coincide com o baseline oficial de 52 semanas</x:v>
      </x:c>
    </x:row>
    <x:row r="20">
      <x:c r="A20" s="43" t="str">
        <x:v>Santo Amaro direto / Hub</x:v>
      </x:c>
      <x:c r="B20" s="48" t="n">
        <x:v>12.596153846153847</x:v>
      </x:c>
      <x:c r="C20" s="48" t="n">
        <x:v>12.596153846153847</x:v>
      </x:c>
      <x:c r="D20" s="50" t="n">
        <x:v>0.1637398039769169</x:v>
      </x:c>
      <x:c r="E20" s="50" t="n">
        <x:v>0.1637398039769169</x:v>
      </x:c>
      <x:c r="F20" s="78" t="n">
        <x:v>0</x:v>
      </x:c>
      <x:c r="G20" s="43" t="str">
        <x:v>Coincide com o baseline; cada visita direta consome 4 min e não passa pela triagem das cargas vindas dos CCs</x:v>
      </x:c>
    </x:row>
    <x:row r="23" ht="30" customHeight="1">
      <x:c r="A23" s="14" t="str">
        <x:v>Unidade</x:v>
      </x:c>
      <x:c r="B23" s="14" t="str">
        <x:v>Baseline Base Geral (kg/ano)</x:v>
      </x:c>
      <x:c r="C23" s="14" t="str">
        <x:v>Perfil oficial — 3 famílias (kg)</x:v>
      </x:c>
      <x:c r="D23" s="14" t="str">
        <x:v>Diferença de reconciliação</x:v>
      </x:c>
      <x:c r="E23" s="14" t="str">
        <x:v>Perfil oficial ÷ 52 (kg/sem)</x:v>
      </x:c>
      <x:c r="F23" s="14" t="str">
        <x:v>Perfil oficial ÷ cobertura (kg/sem)</x:v>
      </x:c>
      <x:c r="G23" s="14" t="str">
        <x:v>Cobertura (semanas)</x:v>
      </x:c>
    </x:row>
    <x:row r="24">
      <x:c r="A24" s="43" t="str">
        <x:v>Pinheiros</x:v>
      </x:c>
      <x:c r="B24" s="48" t="n">
        <x:v>147173.14</x:v>
      </x:c>
      <x:c r="C24" s="48" t="n">
        <x:v>147173.14</x:v>
      </x:c>
      <x:c r="D24" s="50" t="n">
        <x:v>0</x:v>
      </x:c>
      <x:c r="E24" s="48" t="n">
        <x:v>2830.2526923076925</x:v>
      </x:c>
      <x:c r="F24" s="48" t="n">
        <x:v>2830.2526923076925</x:v>
      </x:c>
      <x:c r="G24" s="48" t="n">
        <x:v>52</x:v>
      </x:c>
    </x:row>
    <x:row r="25">
      <x:c r="A25" s="43" t="str">
        <x:v>Jabaquara</x:v>
      </x:c>
      <x:c r="B25" s="48" t="n">
        <x:v>109932.89</x:v>
      </x:c>
      <x:c r="C25" s="48" t="n">
        <x:v>109932.89</x:v>
      </x:c>
      <x:c r="D25" s="50" t="n">
        <x:v>0</x:v>
      </x:c>
      <x:c r="E25" s="48" t="n">
        <x:v>2114.0940384615383</x:v>
      </x:c>
      <x:c r="F25" s="48" t="n">
        <x:v>2114.0940384615383</x:v>
      </x:c>
      <x:c r="G25" s="48" t="n">
        <x:v>52</x:v>
      </x:c>
    </x:row>
    <x:row r="26">
      <x:c r="A26" s="43" t="str">
        <x:v>Paraisópolis</x:v>
      </x:c>
      <x:c r="B26" s="48" t="n">
        <x:v>23807.45</x:v>
      </x:c>
      <x:c r="C26" s="48" t="n">
        <x:v>23807.45</x:v>
      </x:c>
      <x:c r="D26" s="50" t="n">
        <x:v>0</x:v>
      </x:c>
      <x:c r="E26" s="48" t="n">
        <x:v>457.8355769230769</x:v>
      </x:c>
      <x:c r="F26" s="48" t="n">
        <x:v>457.8355769230769</x:v>
      </x:c>
      <x:c r="G26" s="48" t="n">
        <x:v>52</x:v>
      </x:c>
    </x:row>
    <x:row r="27">
      <x:c r="A27" s="43" t="str">
        <x:v>Brooklin</x:v>
      </x:c>
      <x:c r="B27" s="48" t="n">
        <x:v>19129.190000000002</x:v>
      </x:c>
      <x:c r="C27" s="48" t="n">
        <x:v>19129.190000000002</x:v>
      </x:c>
      <x:c r="D27" s="50" t="n">
        <x:v>0</x:v>
      </x:c>
      <x:c r="E27" s="48" t="n">
        <x:v>367.8690384615385</x:v>
      </x:c>
      <x:c r="F27" s="48" t="n">
        <x:v>367.8690384615385</x:v>
      </x:c>
      <x:c r="G27" s="48" t="n">
        <x:v>52</x:v>
      </x:c>
    </x:row>
    <x:row r="28">
      <x:c r="A28" s="43" t="str">
        <x:v>Embu das Artes</x:v>
      </x:c>
      <x:c r="B28" s="48" t="n">
        <x:v>82373.53</x:v>
      </x:c>
      <x:c r="C28" s="48" t="n">
        <x:v>82373.53</x:v>
      </x:c>
      <x:c r="D28" s="50" t="n">
        <x:v>0</x:v>
      </x:c>
      <x:c r="E28" s="48" t="n">
        <x:v>1584.106346153846</x:v>
      </x:c>
      <x:c r="F28" s="48" t="n">
        <x:v>1584.106346153846</x:v>
      </x:c>
      <x:c r="G28" s="48" t="n">
        <x:v>52</x:v>
      </x:c>
    </x:row>
    <x:row r="29">
      <x:c r="A29" s="43" t="str">
        <x:v>Santo Amaro direto</x:v>
      </x:c>
      <x:c r="B29" s="48" t="n">
        <x:v>14663.7</x:v>
      </x:c>
      <x:c r="C29" s="48" t="n">
        <x:v>14663.699999999999</x:v>
      </x:c>
      <x:c r="D29" s="50" t="n">
        <x:v>-1.1102230246251565e-16</x:v>
      </x:c>
      <x:c r="E29" s="48" t="n">
        <x:v>281.99423076923074</x:v>
      </x:c>
      <x:c r="F29" s="48" t="n">
        <x:v>281.99423076923074</x:v>
      </x:c>
      <x:c r="G29" s="48" t="n">
        <x:v>52</x:v>
      </x:c>
    </x:row>
    <x:row r="31" ht="32" customHeight="1">
      <x:c r="A31" s="47" t="str">
        <x:v>Fonte: Base Geral de Parâmetros.xlsx, Volumes e Mixing, ano-base 2025. Método reproduzível: 2. Arquivos para Rodar o Simulador/rccp-sensitivity-audit.cjs. Escopo da massa: papelão, plástico e longa vida.</x:v>
      </x:c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</x:row>
  </x:sheetData>
  <x:mergeCells>
    <x:mergeCell ref="A1:M1"/>
    <x:mergeCell ref="A2:M2"/>
    <x:mergeCell ref="A11:M11"/>
    <x:mergeCell ref="A31:M3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38" hidden="0" customWidth="1"/>
    <x:col min="4" max="4" width="18" hidden="0" customWidth="1"/>
    <x:col min="5" max="5" width="30" hidden="0" customWidth="1"/>
    <x:col min="6" max="6" width="38" hidden="0" customWidth="1"/>
    <x:col min="7" max="7" width="42" hidden="0" customWidth="1"/>
    <x:col min="8" max="8" width="15" hidden="0" customWidth="1"/>
    <x:col min="9" max="9" width="30" hidden="0" customWidth="1"/>
  </x:cols>
  <x:sheetData>
    <x:row r="1" ht="30" customHeight="1">
      <x:c r="A1" s="4" t="str">
        <x:v>Fontes e Tratamentos de Dados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Registro de onde o dado veio, como foi tratado e qual limitação deve acompanhar sua interpretação.</x:v>
      </x:c>
      <x:c r="B2" s="8"/>
      <x:c r="C2" s="8"/>
      <x:c r="D2" s="8"/>
      <x:c r="E2" s="8"/>
      <x:c r="F2" s="8"/>
      <x:c r="G2" s="8"/>
      <x:c r="H2" s="8"/>
      <x:c r="I2" s="8"/>
    </x:row>
    <x:row r="3" ht="30" customHeight="1">
      <x:c r="A3" s="14" t="str">
        <x:v>ID</x:v>
      </x:c>
      <x:c r="B3" s="14" t="str">
        <x:v>Arquivo/Documento</x:v>
      </x:c>
      <x:c r="C3" s="14" t="str">
        <x:v>Aba/Seção</x:v>
      </x:c>
      <x:c r="D3" s="14" t="str">
        <x:v>Período</x:v>
      </x:c>
      <x:c r="E3" s="14" t="str">
        <x:v>Uso no RCCP</x:v>
      </x:c>
      <x:c r="F3" s="14" t="str">
        <x:v>Tratamento aplicado</x:v>
      </x:c>
      <x:c r="G3" s="14" t="str">
        <x:v>Limitação/qualidade</x:v>
      </x:c>
      <x:c r="H3" s="14" t="str">
        <x:v>Status</x:v>
      </x:c>
      <x:c r="I3" s="14" t="str">
        <x:v>Aplicado em</x:v>
      </x:c>
    </x:row>
    <x:row r="4">
      <x:c r="A4" s="43" t="str">
        <x:v>F-001</x:v>
      </x:c>
      <x:c r="B4" s="43" t="str">
        <x:v>Ajuste_distribuicoes_entradas_SIMUL8_prova_densidade_todos_v2.xlsx</x:v>
      </x:c>
      <x:c r="C4" s="43" t="str">
        <x:v>Base anual, densidades e validação pós-ajuste</x:v>
      </x:c>
      <x:c r="D4" s="43" t="str">
        <x:v>2025/modelo</x:v>
      </x:c>
      <x:c r="E4" s="43" t="str">
        <x:v>Densidades e demanda histórica calibrada</x:v>
      </x:c>
      <x:c r="F4" s="43" t="str">
        <x:v>Fonte-base da primeira versão; massas substituídas pela Base Geral oficial</x:v>
      </x:c>
      <x:c r="G4" s="43" t="str">
        <x:v>Referência histórica; as densidades vigentes foram substituídas pela tabela fornecida em 19/08/2026</x:v>
      </x:c>
      <x:c r="H4" s="43" t="str">
        <x:v>Referência</x:v>
      </x:c>
      <x:c r="I4" s="43" t="str">
        <x:v>Densidades; histórico de demanda</x:v>
      </x:c>
    </x:row>
    <x:row r="5">
      <x:c r="A5" s="43" t="str">
        <x:v>F-002</x:v>
      </x:c>
      <x:c r="B5" s="43" t="str">
        <x:v>Analise_Completa_Modelo_Pos_Shift_com_Viagens.xlsx</x:v>
      </x:c>
      <x:c r="C5" s="43" t="str">
        <x:v>Resumos de entrada, caminhão e viagens</x:v>
      </x:c>
      <x:c r="D5" s="43" t="str">
        <x:v>Modelo validado</x:v>
      </x:c>
      <x:c r="E5" s="43" t="str">
        <x:v>Indicadores históricos de transporte</x:v>
      </x:c>
      <x:c r="F5" s="43" t="str">
        <x:v>Usado como evidência de validação</x:v>
      </x:c>
      <x:c r="G5" s="43" t="str">
        <x:v>Não substitui a nova parametrização por rota</x:v>
      </x:c>
      <x:c r="H5" s="43" t="str">
        <x:v>Referência</x:v>
      </x:c>
      <x:c r="I5" s="43" t="str">
        <x:v>Registro metodológico</x:v>
      </x:c>
    </x:row>
    <x:row r="6">
      <x:c r="A6" s="43" t="str">
        <x:v>F-003</x:v>
      </x:c>
      <x:c r="B6" s="43" t="str">
        <x:v>Calculo_Capacidades_Simples_TCC.xlsx</x:v>
      </x:c>
      <x:c r="C6" s="43" t="str">
        <x:v>Painel de capacidades</x:v>
      </x:c>
      <x:c r="D6" s="43" t="str">
        <x:v>2025/modelo</x:v>
      </x:c>
      <x:c r="E6" s="43" t="str">
        <x:v>Dias operacionais e cálculo-base</x:v>
      </x:c>
      <x:c r="F6" s="43" t="str">
        <x:v>Usado para rastrear premissas de capacidade</x:v>
      </x:c>
      <x:c r="G6" s="43" t="str">
        <x:v>Possui referências de caminho antigas</x:v>
      </x:c>
      <x:c r="H6" s="43" t="str">
        <x:v>Referência</x:v>
      </x:c>
      <x:c r="I6" s="43" t="str">
        <x:v>Cenário Base</x:v>
      </x:c>
    </x:row>
    <x:row r="7">
      <x:c r="A7" s="43" t="str">
        <x:v>F-004</x:v>
      </x:c>
      <x:c r="B7" s="43" t="str">
        <x:v>Matrizes de Roteirização e Distribuição Triangular (Com Fórmulas).xlsx</x:v>
      </x:c>
      <x:c r="C7" s="43" t="str">
        <x:v>Matriz de distâncias, tempos e distribuição triangular</x:v>
      </x:c>
      <x:c r="D7" s="43" t="str">
        <x:v>28/07/2026</x:v>
      </x:c>
      <x:c r="E7" s="43" t="str">
        <x:v>Fonte original de rota</x:v>
      </x:c>
      <x:c r="F7" s="43" t="str">
        <x:v>Auditada; original preservada</x:v>
      </x:c>
      <x:c r="G7" s="43" t="str">
        <x:v>Cinco células de distância foram gravadas como data</x:v>
      </x:c>
      <x:c r="H7" s="43" t="str">
        <x:v>Substituída</x:v>
      </x:c>
      <x:c r="I7" s="43" t="str">
        <x:v>Auditoria de rota</x:v>
      </x:c>
    </x:row>
    <x:row r="8">
      <x:c r="A8" s="43" t="str">
        <x:v>F-005</x:v>
      </x:c>
      <x:c r="B8" s="43" t="str">
        <x:v>Matrizes de Roteirização e Distribuição Triangular (Corrigida).xlsx</x:v>
      </x:c>
      <x:c r="C8" s="43" t="str">
        <x:v>Matriz de Roteirização e Dist</x:v>
      </x:c>
      <x:c r="D8" s="43" t="str">
        <x:v>28/07/2026</x:v>
      </x:c>
      <x:c r="E8" s="43" t="str">
        <x:v>Histórico de rotas, distâncias e fórmulas triangulares</x:v>
      </x:c>
      <x:c r="F8" s="43" t="str">
        <x:v>Valores de distância restaurados e fórmulas verificadas</x:v>
      </x:c>
      <x:c r="G8" s="43" t="str">
        <x:v>A Base Geral oficial passou a ser a fonte vigente dos mesmos parâmetros de transporte</x:v>
      </x:c>
      <x:c r="H8" s="43" t="str">
        <x:v>Referência</x:v>
      </x:c>
      <x:c r="I8" s="43" t="str">
        <x:v>Auditoria histórica de rotas</x:v>
      </x:c>
    </x:row>
    <x:row r="9">
      <x:c r="A9" s="43" t="str">
        <x:v>F-006</x:v>
      </x:c>
      <x:c r="B9" s="43" t="str">
        <x:v>Análise de Roteirização - Distribuição Triangular Logística.docx</x:v>
      </x:c>
      <x:c r="C9" s="43" t="str">
        <x:v>Resultados numéricos consolidados</x:v>
      </x:c>
      <x:c r="D9" s="43" t="str">
        <x:v>28/07/2026</x:v>
      </x:c>
      <x:c r="E9" s="43" t="str">
        <x:v>Cenários de tempo por rota</x:v>
      </x:c>
      <x:c r="F9" s="43" t="str">
        <x:v>Tempos triangulares usados como referência</x:v>
      </x:c>
      <x:c r="G9" s="43" t="str">
        <x:v>Desvios-padrão apresentados não batem com a fórmula triangular</x:v>
      </x:c>
      <x:c r="H9" s="43" t="str">
        <x:v>Referência</x:v>
      </x:c>
      <x:c r="I9" s="43" t="str">
        <x:v>Rotas</x:v>
      </x:c>
    </x:row>
    <x:row r="10">
      <x:c r="A10" s="43" t="str">
        <x:v>F-007</x:v>
      </x:c>
      <x:c r="B10" s="43" t="str">
        <x:v>Diagrama de Processo - Green Mining V2.pdf</x:v>
      </x:c>
      <x:c r="C10" s="43" t="str">
        <x:v>BPMN do processo</x:v>
      </x:c>
      <x:c r="D10" s="43" t="str">
        <x:v>28/07/2026</x:v>
      </x:c>
      <x:c r="E10" s="43" t="str">
        <x:v>Separação de etapas operacionais</x:v>
      </x:c>
      <x:c r="F10" s="43" t="str">
        <x:v>Usado para definir início/fim do ciclo e revisado visualmente em 31/07/2026</x:v>
      </x:c>
      <x:c r="G10" s="43" t="str">
        <x:v>Contém identificar, separar, pesar, receber, estocar e solicitar coleta, mas não explicita registro, prensagem local nem participação do operador do centro no carregamento</x:v>
      </x:c>
      <x:c r="H10" s="43" t="str">
        <x:v>Ativo</x:v>
      </x:c>
      <x:c r="I10" s="43" t="str">
        <x:v>Centros de Coleta; Tempos Operacionais; metodologia</x:v>
      </x:c>
    </x:row>
    <x:row r="11">
      <x:c r="A11" s="43" t="str">
        <x:v>F-008</x:v>
      </x:c>
      <x:c r="B11" s="43" t="str">
        <x:v>Conversa de projeto</x:v>
      </x:c>
      <x:c r="C11" s="43" t="str">
        <x:v>Decisões, tempos, fardos, expedição e escopo confirmados</x:v>
      </x:c>
      <x:c r="D11" s="43" t="str">
        <x:v>28–31/07/2026</x:v>
      </x:c>
      <x:c r="E11" s="43" t="str">
        <x:v>Frota, jornada, regras de atendimento, escopo as-is, operações, prensagem, centros de coleta e expedição</x:v>
      </x:c>
      <x:c r="F11" s="43" t="str">
        <x:v>Registrado como informado pelo usuário</x:v>
      </x:c>
      <x:c r="G11" s="43" t="str">
        <x:v>Sem histórico real das etapas; validar por elicitação estruturada dos operadores</x:v>
      </x:c>
      <x:c r="H11" s="43" t="str">
        <x:v>Ativo</x:v>
      </x:c>
      <x:c r="I11" s="43" t="str">
        <x:v>Cenário Base; Centros de Coleta; Prensagem; Expedição; Validação Operadores; Decisões</x:v>
      </x:c>
    </x:row>
    <x:row r="12">
      <x:c r="A12" s="43" t="str">
        <x:v>F-009</x:v>
      </x:c>
      <x:c r="B12" s="43" t="str">
        <x:v>Base_Chegadas.xlsx</x:v>
      </x:c>
      <x:c r="C12" s="43" t="str">
        <x:v>Consolidado histórico</x:v>
      </x:c>
      <x:c r="D12" s="43" t="str">
        <x:v>2022–2025</x:v>
      </x:c>
      <x:c r="E12" s="43" t="str">
        <x:v>Fonte bruta usada em versões anteriores do perfil de visitas</x:v>
      </x:c>
      <x:c r="F12" s="43" t="str">
        <x:v>Preservada apenas como trilha histórica; os valores vigentes vieram da Base Geral de Parâmetros</x:v>
      </x:c>
      <x:c r="G12" s="43" t="str">
        <x:v>Não regenerar o baseline v15 por esta fonte</x:v>
      </x:c>
      <x:c r="H12" s="43" t="str">
        <x:v>Referência</x:v>
      </x:c>
      <x:c r="I12" s="43" t="str">
        <x:v>Histórico de chegadas</x:v>
      </x:c>
    </x:row>
    <x:row r="13">
      <x:c r="A13" s="43" t="str">
        <x:v>F-010</x:v>
      </x:c>
      <x:c r="B13" s="43" t="str">
        <x:v>Dashboard_Chegadas.html e tratamento_base_dashboard_tcc.docx</x:v>
      </x:c>
      <x:c r="C13" s="43" t="str">
        <x:v>Distribuição de chegadas por centro, dia e horário</x:v>
      </x:c>
      <x:c r="D13" s="43" t="str">
        <x:v>Base histórica</x:v>
      </x:c>
      <x:c r="E13" s="43" t="str">
        <x:v>Evidência exploratória de concentração de entradas</x:v>
      </x:c>
      <x:c r="F13" s="43" t="str">
        <x:v>Usar somente após reconciliação de chegada, centro, data e faixa horária</x:v>
      </x:c>
      <x:c r="G13" s="43" t="str">
        <x:v>Evento por Destino + Família + DataHora não equivale a visita ou coleta; ainda não programa viagens</x:v>
      </x:c>
      <x:c r="H13" s="43" t="str">
        <x:v>Pendente</x:v>
      </x:c>
      <x:c r="I13" s="43" t="str">
        <x:v>Programação futura por centro/dia/horário</x:v>
      </x:c>
    </x:row>
    <x:row r="14">
      <x:c r="A14" s="43" t="str">
        <x:v>F-011</x:v>
      </x:c>
      <x:c r="B14" s="43" t="str">
        <x:v>Auditoria de Base_Chegadas e Dashboard</x:v>
      </x:c>
      <x:c r="C14" s="43" t="str">
        <x:v>Registro metodológico §7.1.1 e Documento Mestre §24.2</x:v>
      </x:c>
      <x:c r="D14" s="43" t="str">
        <x:v>28/07/2026</x:v>
      </x:c>
      <x:c r="E14" s="43" t="str">
        <x:v>Qualidade e limite de uso das fontes históricas</x:v>
      </x:c>
      <x:c r="F14" s="43" t="str">
        <x:v>Preservada como auditoria de uma versão superada</x:v>
      </x:c>
      <x:c r="G14" s="43" t="str">
        <x:v>A Base Geral de Parâmetros é a fonte vigente; o dashboard não é agenda de caminhão</x:v>
      </x:c>
      <x:c r="H14" s="43" t="str">
        <x:v>Referência</x:v>
      </x:c>
      <x:c r="I14" s="43" t="str">
        <x:v>Governança; histórico</x:v>
      </x:c>
    </x:row>
    <x:row r="15">
      <x:c r="A15" s="43" t="str">
        <x:v>F-012</x:v>
      </x:c>
      <x:c r="B15" s="43" t="str">
        <x:v>TCC - PMN01 - V2.docx e capturas SIMUL8</x:v>
      </x:c>
      <x:c r="C15" s="43" t="str">
        <x:v>Descrição histórica de recursos e processo</x:v>
      </x:c>
      <x:c r="D15" s="43" t="str">
        <x:v>Histórico/modelo</x:v>
      </x:c>
      <x:c r="E15" s="43" t="str">
        <x:v>Referência de processo, estoques e recursos</x:v>
      </x:c>
      <x:c r="F15" s="43" t="str">
        <x:v>Confrontado com o cenário atual para evitar mistura de fotografias</x:v>
      </x:c>
      <x:c r="G15" s="43" t="str">
        <x:v>Registra uma frota histórica diferente do cenário atual; requer período explícito</x:v>
      </x:c>
      <x:c r="H15" s="43" t="str">
        <x:v>Referência</x:v>
      </x:c>
      <x:c r="I15" s="43" t="str">
        <x:v>Mapa As-Is; Validação Operadores</x:v>
      </x:c>
    </x:row>
    <x:row r="16">
      <x:c r="A16" s="43" t="str">
        <x:v>F-013</x:v>
      </x:c>
      <x:c r="B16" s="43" t="str">
        <x:v>Ajuste_distribuicoes_entradas_SIMUL8_prova_densidade_todos_v2.xlsx</x:v>
      </x:c>
      <x:c r="C16" s="43" t="str">
        <x:v>Pesos_Densidades!A1:H19; Prova_Densidade_Todos!A8:T26</x:v>
      </x:c>
      <x:c r="D16" s="43" t="str">
        <x:v>2025/calibrado</x:v>
      </x:c>
      <x:c r="E16" s="43" t="str">
        <x:v>Densidades aparentes históricas por centro/material</x:v>
      </x:c>
      <x:c r="F16" s="43" t="str">
        <x:v>Fonte anterior preservada para comparação</x:v>
      </x:c>
      <x:c r="G16" s="43" t="str">
        <x:v>Substituída pela tabela da etapa Caminhão fornecida em 19/08/2026</x:v>
      </x:c>
      <x:c r="H16" s="43" t="str">
        <x:v>Referência</x:v>
      </x:c>
      <x:c r="I16" s="43" t="str">
        <x:v>Histórico de densidades</x:v>
      </x:c>
    </x:row>
    <x:row r="17">
      <x:c r="A17" s="43" t="str">
        <x:v>F-014</x:v>
      </x:c>
      <x:c r="B17" s="43" t="str">
        <x:v>Conversa de projeto, 31/07/2026</x:v>
      </x:c>
      <x:c r="C17" s="43" t="str">
        <x:v>Capacidade dos Centros de Coleta</x:v>
      </x:c>
      <x:c r="D17" s="43" t="str">
        <x:v>31/07/2026</x:v>
      </x:c>
      <x:c r="E17" s="43" t="str">
        <x:v>Jornada, equipe, tempos, estoque, carregamento e cenário futuro de prensa; gatilho somente operacional</x:v>
      </x:c>
      <x:c r="F17" s="43" t="str">
        <x:v>Valores confirmados parametrizados; prensa local removida do as-is; monitoramento visual zerado como carga; gatilho removido da calculadora em 01/08/2026</x:v>
      </x:c>
      <x:c r="G17" s="43" t="str">
        <x:v>Lead time, gatilho e picos permanecem relevantes somente para validação dinâmica no SIMUL8</x:v>
      </x:c>
      <x:c r="H17" s="43" t="str">
        <x:v>Ativo</x:v>
      </x:c>
      <x:c r="I17" s="43" t="str">
        <x:v>Cenário Base; Centros de Coleta; Mapa As-Is; Decisões</x:v>
      </x:c>
    </x:row>
    <x:row r="18">
      <x:c r="A18" s="43" t="str">
        <x:v>F-015</x:v>
      </x:c>
      <x:c r="B18" s="43" t="str">
        <x:v>arrival-profile-2025.js + Base Geral de Parâmetros.xlsx</x:v>
      </x:c>
      <x:c r="C18" s="43" t="str">
        <x:v>Volumes e Mixing; schema arrival-profile-v3</x:v>
      </x:c>
      <x:c r="D18" s="43" t="str">
        <x:v>2025</x:v>
      </x:c>
      <x:c r="E18" s="43" t="str">
        <x:v>Quantidades anuais e frequência semanal por centro/material e Santo Amaro direto</x:v>
      </x:c>
      <x:c r="F18" s="43" t="str">
        <x:v>Somar as quantidades oficiais por unidade e dividir por 52 semanas; massas por unidade/material no mesmo perfil</x:v>
      </x:c>
      <x:c r="G18" s="43" t="str">
        <x:v>Não contém distribuição temporal intradiária; não usar como agenda de caminhão</x:v>
      </x:c>
      <x:c r="H18" s="43" t="str">
        <x:v>Ativo</x:v>
      </x:c>
      <x:c r="I18" s="43" t="str">
        <x:v>Centros de Coleta; Hub; perfil de chegadas</x:v>
      </x:c>
    </x:row>
    <x:row r="19">
      <x:c r="A19" s="43" t="str">
        <x:v>F-016</x:v>
      </x:c>
      <x:c r="B19" s="43" t="str">
        <x:v>Simulação/Validação final.S8</x:v>
      </x:c>
      <x:c r="C19" s="43" t="str">
        <x:v>Calendários, densidades e variáveis globais decodificados; SHA-256 76836354aa6f…</x:v>
      </x:c>
      <x:c r="D19" s="43" t="str">
        <x:v>Modelo histórico</x:v>
      </x:c>
      <x:c r="E19" s="43" t="str">
        <x:v>Evidência histórica</x:v>
      </x:c>
      <x:c r="F19" s="43" t="str">
        <x:v>O modelo histórico continha políticas, alocações e densidades hoje substituídas</x:v>
      </x:c>
      <x:c r="G19" s="43" t="str">
        <x:v>Não usar como fonte dos números do baseline v15</x:v>
      </x:c>
      <x:c r="H19" s="43" t="str">
        <x:v>Referência</x:v>
      </x:c>
      <x:c r="I19" s="43" t="str">
        <x:v>Histórico; Decisões</x:v>
      </x:c>
    </x:row>
    <x:row r="20">
      <x:c r="A20" s="43" t="str">
        <x:v>F-017</x:v>
      </x:c>
      <x:c r="B20" s="43" t="str">
        <x:v>Conversa de projeto, 31/07/2026</x:v>
      </x:c>
      <x:c r="C20" s="43" t="str">
        <x:v>Eficiências independentes</x:v>
      </x:c>
      <x:c r="D20" s="43" t="str">
        <x:v>31/07/2026</x:v>
      </x:c>
      <x:c r="E20" s="43" t="str">
        <x:v>Transporte, Centros de Coleta e Hub</x:v>
      </x:c>
      <x:c r="F20" s="43" t="str">
        <x:v>Criados três parâmetros independentes; a Base Geral posterior fixou 100% para todos</x:v>
      </x:c>
      <x:c r="G20" s="43" t="str">
        <x:v>Os 85% iniciais são históricos e não integram o baseline v15</x:v>
      </x:c>
      <x:c r="H20" s="43" t="str">
        <x:v>Referência</x:v>
      </x:c>
      <x:c r="I20" s="43" t="str">
        <x:v>Decisões</x:v>
      </x:c>
    </x:row>
    <x:row r="21">
      <x:c r="A21" s="43" t="str">
        <x:v>F-018</x:v>
      </x:c>
      <x:c r="B21" s="43" t="str">
        <x:v>Log caminhão2.xlsx</x:v>
      </x:c>
      <x:c r="C21" s="43" t="str">
        <x:v>3.210 linhas; 803 viagens iniciadas e 801 completas</x:v>
      </x:c>
      <x:c r="D21" s="43" t="str">
        <x:v>SIMUL8 histórico</x:v>
      </x:c>
      <x:c r="E21" s="43" t="str">
        <x:v>Referência sintética de deslocamento e diagnóstico da ausência de lead time real</x:v>
      </x:c>
      <x:c r="F21" s="43" t="str">
        <x:v>Filtrar EtapaCod=1 e comparar DuracaoEtapa com TempoTotalDesdeChamada por centro; excluir as duas viagens de cauda de análises de ciclo completo</x:v>
      </x:c>
      <x:c r="G21" s="43" t="str">
        <x:v>As duas medidas são iguais nas 803 primeiras pernas; os parâmetros esperados do SIMUL8 histórico também diferem da matriz RCCP atual. Não é observação de campo nem mede pedido→chegada</x:v>
      </x:c>
      <x:c r="H21" s="43" t="str">
        <x:v>Referência</x:v>
      </x:c>
      <x:c r="I21" s="43" t="str">
        <x:v>Medição Lead Time; metodologia</x:v>
      </x:c>
    </x:row>
    <x:row r="22">
      <x:c r="A22" s="43" t="str">
        <x:v>F-019</x:v>
      </x:c>
      <x:c r="B22" s="43" t="str">
        <x:v>Medição prospectiva E0–E12</x:v>
      </x:c>
      <x:c r="C22" s="43" t="str">
        <x:v>Aba Medição Lead Time; 400 linhas + resumo por centro</x:v>
      </x:c>
      <x:c r="D22" s="43" t="str">
        <x:v>A coletar</x:v>
      </x:c>
      <x:c r="E22" s="43" t="str">
        <x:v>Separar LT_gatilho, LT_pedido e Deslocamento; calibrar fila, carregamento e proteção do estoque no SIMUL8</x:v>
      </x:c>
      <x:c r="F22" s="43" t="str">
        <x:v>Uma linha por request_id; E0 classificado como observado, calculado ou estimado; piloto ≥2 semanas e ≥20 pedidos; leitura preliminar somente com ≥4 semanas, ≥60 concluídos e ≥8 por CC; base por centro ≥30, ideal de 50 para p90</x:v>
      </x:c>
      <x:c r="G22" s="43" t="str">
        <x:v>Instrumento incorporado à planilha auditável; espera por caminhão ocupado não é somada ao ciclo RCCP</x:v>
      </x:c>
      <x:c r="H22" s="43" t="str">
        <x:v>Pendente</x:v>
      </x:c>
      <x:c r="I22" s="43" t="str">
        <x:v>Medição Lead Time; validação SIMUL8</x:v>
      </x:c>
    </x:row>
    <x:row r="23">
      <x:c r="A23" s="43" t="str">
        <x:v>F-020</x:v>
      </x:c>
      <x:c r="B23" s="43" t="str">
        <x:v>Base Geral de Parâmetros.xlsx</x:v>
      </x:c>
      <x:c r="C23" s="43" t="str">
        <x:v>Matriz de Transporte; fronteira RCCP/SIMUL8</x:v>
      </x:c>
      <x:c r="D23" s="43" t="str">
        <x:v>12/08/2026</x:v>
      </x:c>
      <x:c r="E23" s="43" t="str">
        <x:v>Tempos triangulares, matriz de deslocamento e políticas vigentes</x:v>
      </x:c>
      <x:c r="F23" s="43" t="str">
        <x:v>Média da matriz ponderada pela massa = 32,781161 min/sentido; com as densidades vigentes, a capacidade pondera ciclos pelas viagens equivalentes e usa 30,132480 min/sentido</x:v>
      </x:c>
      <x:c r="G23" s="43" t="str">
        <x:v>Políticas e sensibilidades agregadas são tratadas na calculadora; sequência evento a evento permanece no SIMUL8</x:v>
      </x:c>
      <x:c r="H23" s="43" t="str">
        <x:v>Ativo</x:v>
      </x:c>
      <x:c r="I23" s="43" t="str">
        <x:v>Cenário Base; Rotas; Ciclos e Capacidade; Decisões</x:v>
      </x:c>
    </x:row>
    <x:row r="24">
      <x:c r="A24" s="43" t="str">
        <x:v>F-021</x:v>
      </x:c>
      <x:c r="B24" s="43" t="str">
        <x:v>Tabela 1 e Base_Chegadas.xlsx</x:v>
      </x:c>
      <x:c r="C24" s="43" t="str">
        <x:v>Santo Amaro direto; seleção 2025</x:v>
      </x:c>
      <x:c r="D24" s="43" t="str">
        <x:v>2025/histórico</x:v>
      </x:c>
      <x:c r="E24" s="43" t="str">
        <x:v>Massa direta usada no baseline anterior</x:v>
      </x:c>
      <x:c r="F24" s="43" t="str">
        <x:v>Referência superada pela Base Geral de Parâmetros</x:v>
      </x:c>
      <x:c r="G24" s="43" t="str">
        <x:v>Não usar os 12.584,25 kg/ano no baseline v13</x:v>
      </x:c>
      <x:c r="H24" s="43" t="str">
        <x:v>Referência</x:v>
      </x:c>
      <x:c r="I24" s="43" t="str">
        <x:v>Decisões</x:v>
      </x:c>
    </x:row>
    <x:row r="25">
      <x:c r="A25" s="43" t="str">
        <x:v>F-022</x:v>
      </x:c>
      <x:c r="B25" s="43" t="str">
        <x:v>Base Geral de Parâmetros.xlsx</x:v>
      </x:c>
      <x:c r="C25" s="43" t="str">
        <x:v>Parameters; Volumes e Mixing; Capacity Methodology; demais abas</x:v>
      </x:c>
      <x:c r="D25" s="43" t="str">
        <x:v>Versão oficial de 12/08/2026</x:v>
      </x:c>
      <x:c r="E25" s="43" t="str">
        <x:v>Fonte oficial das massas, quantidades e demais parâmetros do baseline v15, exceto densidades aparentes</x:v>
      </x:c>
      <x:c r="F25" s="43" t="str">
        <x:v>Parâmetros transcritos para baseline, perfil de chegadas, fórmulas, interface e documentação</x:v>
      </x:c>
      <x:c r="G25" s="43" t="str">
        <x:v>As densidades aparentes vigentes têm fonte separada, registrada em F-024</x:v>
      </x:c>
      <x:c r="H25" s="43" t="str">
        <x:v>Ativo</x:v>
      </x:c>
      <x:c r="I25" s="43" t="str">
        <x:v>Todas as abas do dicionário; calculadora v15</x:v>
      </x:c>
    </x:row>
    <x:row r="26">
      <x:c r="A26" s="43" t="str">
        <x:v>F-023</x:v>
      </x:c>
      <x:c r="B26" s="43" t="str">
        <x:v>rccp-sensitivity-audit.cjs</x:v>
      </x:c>
      <x:c r="C26" s="43" t="str">
        <x:v>Sensibilidades reproduzidas no motor rccp-model.js</x:v>
      </x:c>
      <x:c r="D26" s="43" t="str">
        <x:v>2025 / semana RCCP</x:v>
      </x:c>
      <x:c r="E26" s="43" t="str">
        <x:v>Reproduzir o baseline oficial e testar eficiência, frota e crescimento de demanda</x:v>
      </x:c>
      <x:c r="F26" s="43" t="str">
        <x:v>Baseline = massas e quantidades anuais oficiais por centro/material ÷ 52; recalcular Transporte, CCs, Hub e gargalo em cada cenário nomeado</x:v>
      </x:c>
      <x:c r="G26" s="43" t="str">
        <x:v>Sensibilidades não substituem o cenário-base oficial</x:v>
      </x:c>
      <x:c r="H26" s="43" t="str">
        <x:v>Ativo</x:v>
      </x:c>
      <x:c r="I26" s="43" t="str">
        <x:v>Sensibilidades RCCP; metodologia; decisões</x:v>
      </x:c>
    </x:row>
    <x:row r="27">
      <x:c r="A27" s="43" t="str">
        <x:v>F-024</x:v>
      </x:c>
      <x:c r="B27" s="43" t="str">
        <x:v>Tabela de densidades aparentes da etapa Caminhão</x:v>
      </x:c>
      <x:c r="C27" s="43" t="str">
        <x:v>18 combinações centro/material</x:v>
      </x:c>
      <x:c r="D27" s="43" t="str">
        <x:v>19/08/2026</x:v>
      </x:c>
      <x:c r="E27" s="43" t="str">
        <x:v>Densidades aparentes vigentes por centro e material</x:v>
      </x:c>
      <x:c r="F27" s="43" t="str">
        <x:v>Transcrição direta para o baseline; Embu das Artes/Plástico = 0 com massa zero; peso de 1 m³ recalculado pela média harmônica ponderada</x:v>
      </x:c>
      <x:c r="G27" s="43" t="str">
        <x:v>Tabela fornecida pelo usuário; unidade operacional kg/m³</x:v>
      </x:c>
      <x:c r="H27" s="43" t="str">
        <x:v>Ativo</x:v>
      </x:c>
      <x:c r="I27" s="43" t="str">
        <x:v>Densidades; Centros de Coleta; Ciclos e Capacidade; calculadora v15</x:v>
      </x:c>
    </x:row>
  </x:sheetData>
  <x:mergeCells>
    <x:mergeCell ref="A1:I1"/>
    <x:mergeCell ref="A2:I2"/>
  </x:mergeCells>
  <x:dataValidations count="1">
    <x:dataValidation type="list" sqref="H4:H27">
      <x:formula1>"Ativo,Referência,Pendente,Substituída"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34" hidden="0" customWidth="1"/>
    <x:col min="4" max="4" width="46" hidden="0" customWidth="1"/>
    <x:col min="5" max="5" width="39" hidden="0" customWidth="1"/>
    <x:col min="6" max="6" width="24" hidden="0" customWidth="1"/>
    <x:col min="7" max="7" width="13" hidden="0" customWidth="1"/>
    <x:col min="8" max="8" width="28" hidden="0" customWidth="1"/>
  </x:cols>
  <x:sheetData>
    <x:row r="1" ht="30" customHeight="1">
      <x:c r="A1" s="4" t="str">
        <x:v>Registro de Decisões do Modelo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Decisões de escopo e premissas que alteram a interpretação da capacidade.</x:v>
      </x:c>
      <x:c r="B2" s="8"/>
      <x:c r="C2" s="8"/>
      <x:c r="D2" s="8"/>
      <x:c r="E2" s="8"/>
      <x:c r="F2" s="8"/>
      <x:c r="G2" s="8"/>
      <x:c r="H2" s="8"/>
    </x:row>
    <x:row r="3" ht="30" customHeight="1">
      <x:c r="A3" s="14" t="str">
        <x:v>ID</x:v>
      </x:c>
      <x:c r="B3" s="14" t="str">
        <x:v>Data</x:v>
      </x:c>
      <x:c r="C3" s="14" t="str">
        <x:v>Decisão</x:v>
      </x:c>
      <x:c r="D3" s="14" t="str">
        <x:v>Racional/Contexto</x:v>
      </x:c>
      <x:c r="E3" s="14" t="str">
        <x:v>Impacto no cálculo</x:v>
      </x:c>
      <x:c r="F3" s="14" t="str">
        <x:v>Fonte</x:v>
      </x:c>
      <x:c r="G3" s="14" t="str">
        <x:v>Status</x:v>
      </x:c>
      <x:c r="H3" s="14" t="str">
        <x:v>Próxima revisão</x:v>
      </x:c>
    </x:row>
    <x:row r="4">
      <x:c r="A4" s="43" t="str">
        <x:v>D-001</x:v>
      </x:c>
      <x:c r="B4" s="52" t="n">
        <x:v>46231.625</x:v>
      </x:c>
      <x:c r="C4" s="43" t="str">
        <x:v>Módulo inicial somente Centro de Coleta → Hub</x:v>
      </x:c>
      <x:c r="D4" s="43" t="str">
        <x:v>O transporte foi desenvolvido primeiro para tornar os cálculos rastreáveis.</x:v>
      </x:c>
      <x:c r="E4" s="43" t="str">
        <x:v>Resultado atual representa transporte direto, não a capacidade total.</x:v>
      </x:c>
      <x:c r="F4" s="43" t="str">
        <x:v>Conversa de projeto</x:v>
      </x:c>
      <x:c r="G4" s="43" t="str">
        <x:v>Substituída</x:v>
      </x:c>
      <x:c r="H4" s="43" t="str">
        <x:v>Escopo as-is ponta a ponta</x:v>
      </x:c>
    </x:row>
    <x:row r="5">
      <x:c r="A5" s="43" t="str">
        <x:v>D-002</x:v>
      </x:c>
      <x:c r="B5" s="52" t="n">
        <x:v>46231.625</x:v>
      </x:c>
      <x:c r="C5" s="43" t="str">
        <x:v>Uma origem por viagem</x:v>
      </x:c>
      <x:c r="D5" s="43" t="str">
        <x:v>Consolidação de centros será cenário posterior.</x:v>
      </x:c>
      <x:c r="E5" s="43" t="str">
        <x:v>Não combinar coletas no cenário-base.</x:v>
      </x:c>
      <x:c r="F5" s="43" t="str">
        <x:v>Base Geral de Parâmetros</x:v>
      </x:c>
      <x:c r="G5" s="43" t="str">
        <x:v>Ativa</x:v>
      </x:c>
      <x:c r="H5" s="43" t="str">
        <x:v>Cenário de consolidação</x:v>
      </x:c>
    </x:row>
    <x:row r="6">
      <x:c r="A6" s="43" t="str">
        <x:v>D-003</x:v>
      </x:c>
      <x:c r="B6" s="52" t="n">
        <x:v>46231.625</x:v>
      </x:c>
      <x:c r="C6" s="43" t="str">
        <x:v>Exigir que a viagem termine dentro da janela</x:v>
      </x:c>
      <x:c r="D6" s="43" t="str">
        <x:v>Premissa inicial anterior à confirmação sobre a última viagem do dia.</x:v>
      </x:c>
      <x:c r="E6" s="43" t="str">
        <x:v>Foi substituída: a viagem pode terminar depois do fechamento se tiver começado antes.</x:v>
      </x:c>
      <x:c r="F6" s="43" t="str">
        <x:v>Conversa de projeto</x:v>
      </x:c>
      <x:c r="G6" s="43" t="str">
        <x:v>Substituída</x:v>
      </x:c>
      <x:c r="H6" s="43" t="str">
        <x:v>Ver D-047</x:v>
      </x:c>
    </x:row>
    <x:row r="7">
      <x:c r="A7" s="43" t="str">
        <x:v>D-004</x:v>
      </x:c>
      <x:c r="B7" s="52" t="n">
        <x:v>46231.625</x:v>
      </x:c>
      <x:c r="C7" s="43" t="str">
        <x:v>Um caminhão ativo</x:v>
      </x:c>
      <x:c r="D7" s="43" t="str">
        <x:v>Segundo caminhão será alternativa, não capacidade existente.</x:v>
      </x:c>
      <x:c r="E7" s="43" t="str">
        <x:v>Frota-base = 1.</x:v>
      </x:c>
      <x:c r="F7" s="43" t="str">
        <x:v>Base Geral de Parâmetros</x:v>
      </x:c>
      <x:c r="G7" s="43" t="str">
        <x:v>Ativa</x:v>
      </x:c>
      <x:c r="H7" s="43" t="str">
        <x:v>Teste de expansão</x:v>
      </x:c>
    </x:row>
    <x:row r="8">
      <x:c r="A8" s="43" t="str">
        <x:v>D-005</x:v>
      </x:c>
      <x:c r="B8" s="52" t="n">
        <x:v>46234.791666666664</x:v>
      </x:c>
      <x:c r="C8" s="43" t="str">
        <x:v>Usar 480 min/dia para caminhão e motorista</x:v>
      </x:c>
      <x:c r="D8" s="43" t="str">
        <x:v>A presença 08h–17h soma 540 min, com pausa exclusiva confirmada de 60 min.</x:v>
      </x:c>
      <x:c r="E8" s="43" t="str">
        <x:v>O Transporte usa 480 min/dia útil; CCs e Hub preservam 540 min por almoço revezado. A eficiência continua aplicada uma única vez às partidas nominais.</x:v>
      </x:c>
      <x:c r="F8" s="43" t="str">
        <x:v>Base Geral de Parâmetros</x:v>
      </x:c>
      <x:c r="G8" s="43" t="str">
        <x:v>Ativa</x:v>
      </x:c>
      <x:c r="H8" s="43" t="str">
        <x:v>Validar aderência da pausa em campo</x:v>
      </x:c>
    </x:row>
    <x:row r="9">
      <x:c r="A9" s="43" t="str">
        <x:v>D-006</x:v>
      </x:c>
      <x:c r="B9" s="52" t="n">
        <x:v>46231.625</x:v>
      </x:c>
      <x:c r="C9" s="43" t="str">
        <x:v>Eficiência única de 85%</x:v>
      </x:c>
      <x:c r="D9" s="43" t="str">
        <x:v>A primeira versão tinha uma eficiência geral aplicada ao módulo de transporte.</x:v>
      </x:c>
      <x:c r="E9" s="43" t="str">
        <x:v>Substituída por três eficiências independentes em 31/07/2026.</x:v>
      </x:c>
      <x:c r="F9" s="43" t="str">
        <x:v>Conversa de projeto</x:v>
      </x:c>
      <x:c r="G9" s="43" t="str">
        <x:v>Substituída</x:v>
      </x:c>
      <x:c r="H9" s="43" t="str">
        <x:v>Ver D-033</x:v>
      </x:c>
    </x:row>
    <x:row r="10">
      <x:c r="A10" s="43" t="str">
        <x:v>D-007</x:v>
      </x:c>
      <x:c r="B10" s="52" t="n">
        <x:v>46231.625</x:v>
      </x:c>
      <x:c r="C10" s="43" t="str">
        <x:v>Usar valor esperado triangular como trânsito-base</x:v>
      </x:c>
      <x:c r="D10" s="43" t="str">
        <x:v>Considera a margem de incerteza dos deslocamentos.</x:v>
      </x:c>
      <x:c r="E10" s="43" t="str">
        <x:v>Usa E=(a+c+b)/3 em cada rota.</x:v>
      </x:c>
      <x:c r="F10" s="43" t="str">
        <x:v>Base Geral de Parâmetros</x:v>
      </x:c>
      <x:c r="G10" s="43" t="str">
        <x:v>Ativa</x:v>
      </x:c>
      <x:c r="H10" s="43" t="str">
        <x:v>Comparar com cenário provável</x:v>
      </x:c>
    </x:row>
    <x:row r="11">
      <x:c r="A11" s="43" t="str">
        <x:v>D-008</x:v>
      </x:c>
      <x:c r="B11" s="52" t="n">
        <x:v>46231.625</x:v>
      </x:c>
      <x:c r="C11" s="43" t="str">
        <x:v>Sem espera habitual no centro</x:v>
      </x:c>
      <x:c r="D11" s="43" t="str">
        <x:v>Caminhão inicia o carregamento imediatamente.</x:v>
      </x:c>
      <x:c r="E11" s="43" t="str">
        <x:v>Espera no centro = 0 min.</x:v>
      </x:c>
      <x:c r="F11" s="43" t="str">
        <x:v>Base Geral de Parâmetros</x:v>
      </x:c>
      <x:c r="G11" s="43" t="str">
        <x:v>Ativa</x:v>
      </x:c>
      <x:c r="H11" s="43" t="str">
        <x:v>Validar por centro/horário</x:v>
      </x:c>
    </x:row>
    <x:row r="12">
      <x:c r="A12" s="43" t="str">
        <x:v>D-009</x:v>
      </x:c>
      <x:c r="B12" s="52" t="n">
        <x:v>46231.625</x:v>
      </x:c>
      <x:c r="C12" s="43" t="str">
        <x:v>Carregamento por centro</x:v>
      </x:c>
      <x:c r="D12" s="43" t="str">
        <x:v>Pinheiros tem tempo menor.</x:v>
      </x:c>
      <x:c r="E12" s="43" t="str">
        <x:v>20 min em Pinheiros; 30 min nos demais.</x:v>
      </x:c>
      <x:c r="F12" s="43" t="str">
        <x:v>Base Geral de Parâmetros</x:v>
      </x:c>
      <x:c r="G12" s="43" t="str">
        <x:v>Ativa</x:v>
      </x:c>
      <x:c r="H12" s="43" t="str">
        <x:v>Validar em campo</x:v>
      </x:c>
    </x:row>
    <x:row r="13">
      <x:c r="A13" s="43" t="str">
        <x:v>D-010</x:v>
      </x:c>
      <x:c r="B13" s="52" t="n">
        <x:v>46231.625</x:v>
      </x:c>
      <x:c r="C13" s="43" t="str">
        <x:v>Sem espera habitual no hub</x:v>
      </x:c>
      <x:c r="D13" s="43" t="str">
        <x:v>Não costuma existir fila antes da descarga.</x:v>
      </x:c>
      <x:c r="E13" s="43" t="str">
        <x:v>Espera no hub = 0 min.</x:v>
      </x:c>
      <x:c r="F13" s="43" t="str">
        <x:v>Base Geral de Parâmetros</x:v>
      </x:c>
      <x:c r="G13" s="43" t="str">
        <x:v>Ativa</x:v>
      </x:c>
      <x:c r="H13" s="43" t="str">
        <x:v>Validar em picos</x:v>
      </x:c>
    </x:row>
    <x:row r="14">
      <x:c r="A14" s="43" t="str">
        <x:v>D-011</x:v>
      </x:c>
      <x:c r="B14" s="52" t="n">
        <x:v>46231.625</x:v>
      </x:c>
      <x:c r="C14" s="43" t="str">
        <x:v>Descarregamento de 30 min</x:v>
      </x:c>
      <x:c r="D14" s="43" t="str">
        <x:v>Duração comum às origens no cenário-base oficial.</x:v>
      </x:c>
      <x:c r="E14" s="43" t="str">
        <x:v>30 min por viagem no Hub, com três pessoas.</x:v>
      </x:c>
      <x:c r="F14" s="43" t="str">
        <x:v>Base Geral de Parâmetros</x:v>
      </x:c>
      <x:c r="G14" s="43" t="str">
        <x:v>Ativa</x:v>
      </x:c>
      <x:c r="H14" s="43" t="str">
        <x:v>Validar por carga</x:v>
      </x:c>
    </x:row>
    <x:row r="15">
      <x:c r="A15" s="43" t="str">
        <x:v>D-012</x:v>
      </x:c>
      <x:c r="B15" s="52" t="n">
        <x:v>46231.625</x:v>
      </x:c>
      <x:c r="C15" s="43" t="str">
        <x:v>Criar matriz corrigida de roteirização</x:v>
      </x:c>
      <x:c r="D15" s="43" t="str">
        <x:v>Campos de distância estavam como datas no arquivo original.</x:v>
      </x:c>
      <x:c r="E15" s="43" t="str">
        <x:v>A cópia corrigida foi superada pela matriz incorporada à Base Geral oficial.</x:v>
      </x:c>
      <x:c r="F15" s="43" t="str">
        <x:v>Auditoria do projeto</x:v>
      </x:c>
      <x:c r="G15" s="43" t="str">
        <x:v>Substituída</x:v>
      </x:c>
      <x:c r="H15" s="43" t="str">
        <x:v>Ver D-058</x:v>
      </x:c>
    </x:row>
    <x:row r="16">
      <x:c r="A16" s="43" t="str">
        <x:v>D-013</x:v>
      </x:c>
      <x:c r="B16" s="52" t="n">
        <x:v>46231.625</x:v>
      </x:c>
      <x:c r="C16" s="43" t="str">
        <x:v>Usar ponderações agregadas coerentes com a unidade</x:v>
      </x:c>
      <x:c r="D16" s="43" t="str">
        <x:v>A matriz deve ter um tempo médio rastreável, enquanto a capacidade depende do número de viagens gerado pelo volume.</x:v>
      </x:c>
      <x:c r="E16" s="43" t="str">
        <x:v>Reportar 32,781161 min/sentido ponderados pela massa e usar 30,132480 min/sentido na ponderação por viagens equivalentes do ciclo de capacidade.</x:v>
      </x:c>
      <x:c r="F16" s="43" t="str">
        <x:v>Base Geral de Parâmetros + densidades vigentes</x:v>
      </x:c>
      <x:c r="G16" s="43" t="str">
        <x:v>Ativa</x:v>
      </x:c>
      <x:c r="H16" s="43" t="str">
        <x:v>Revisar se o mix ou as densidades mudarem</x:v>
      </x:c>
    </x:row>
    <x:row r="17">
      <x:c r="A17" s="43" t="str">
        <x:v>D-014</x:v>
      </x:c>
      <x:c r="B17" s="52" t="n">
        <x:v>46231.625</x:v>
      </x:c>
      <x:c r="C17" s="43" t="str">
        <x:v>Reservar a programação minuto a minuto ao SIMUL8</x:v>
      </x:c>
      <x:c r="D17" s="43" t="str">
        <x:v>Filas, sequência, localização do caminhão e o encadeamento real de múltiplos centros são dinâmica discreta.</x:v>
      </x:c>
      <x:c r="E17" s="43" t="str">
        <x:v>A calculadora conserva políticas, médias e sensibilidades agregadas, inclusive uma alternativa multi-CC; a agenda explícita será validada no SIMUL8.</x:v>
      </x:c>
      <x:c r="F17" s="43" t="str">
        <x:v>Conversa de projeto</x:v>
      </x:c>
      <x:c r="G17" s="43" t="str">
        <x:v>Ativa</x:v>
      </x:c>
      <x:c r="H17" s="43" t="str">
        <x:v>Cenário futuro de coleta multi-CC</x:v>
      </x:c>
    </x:row>
    <x:row r="18">
      <x:c r="A18" s="43" t="str">
        <x:v>D-015</x:v>
      </x:c>
      <x:c r="B18" s="52" t="n">
        <x:v>46231.625</x:v>
      </x:c>
      <x:c r="C18" s="43" t="str">
        <x:v>Construir a capacidade as-is ponta a ponta</x:v>
      </x:c>
      <x:c r="D18" s="43" t="str">
        <x:v>A análise abrange entrada, transporte, processamento no Hub e expedição.</x:v>
      </x:c>
      <x:c r="E18" s="43" t="str">
        <x:v>Expor demanda, capacidade, folga e utilização em unidades adequadas para Transporte, CC e Hub.</x:v>
      </x:c>
      <x:c r="F18" s="43" t="str">
        <x:v>Conversa de projeto</x:v>
      </x:c>
      <x:c r="G18" s="43" t="str">
        <x:v>Ativa</x:v>
      </x:c>
      <x:c r="H18" s="43" t="str">
        <x:v>Validar em conjunto com o SIMUL8</x:v>
      </x:c>
    </x:row>
    <x:row r="19">
      <x:c r="A19" s="43" t="str">
        <x:v>D-016</x:v>
      </x:c>
      <x:c r="B19" s="52" t="n">
        <x:v>46231.625</x:v>
      </x:c>
      <x:c r="C19" s="43" t="str">
        <x:v>Usar validação estruturada com operadores</x:v>
      </x:c>
      <x:c r="D19" s="43" t="str">
        <x:v>Não há histórico real registrado das coletas ou das etapas internas.</x:v>
      </x:c>
      <x:c r="E19" s="43" t="str">
        <x:v>Valores informados terão definição, faixa plausível, confiança e status; não serão classificados como medidos.</x:v>
      </x:c>
      <x:c r="F19" s="43" t="str">
        <x:v>Conversa de projeto</x:v>
      </x:c>
      <x:c r="G19" s="43" t="str">
        <x:v>Ativa</x:v>
      </x:c>
      <x:c r="H19" s="43" t="str">
        <x:v>Após eventual coleta de tempos em campo</x:v>
      </x:c>
    </x:row>
    <x:row r="20">
      <x:c r="A20" s="43" t="str">
        <x:v>D-017</x:v>
      </x:c>
      <x:c r="B20" s="52" t="n">
        <x:v>46231.625</x:v>
      </x:c>
      <x:c r="C20" s="43" t="str">
        <x:v>Adiar qualquer uso do SIMUL8 até fechar todos os detalhes</x:v>
      </x:c>
      <x:c r="D20" s="43" t="str">
        <x:v>Entendimento inicial anterior à definição da fronteira entre ferramentas.</x:v>
      </x:c>
      <x:c r="E20" s="43" t="str">
        <x:v>Substituída: o RCCP calcula o agregado e o SIMUL8 valida a dinâmica quando os cenários estiverem prontos.</x:v>
      </x:c>
      <x:c r="F20" s="43" t="str">
        <x:v>Conversa de projeto</x:v>
      </x:c>
      <x:c r="G20" s="43" t="str">
        <x:v>Substituída</x:v>
      </x:c>
      <x:c r="H20" s="43" t="str">
        <x:v>Ver D-046</x:v>
      </x:c>
    </x:row>
    <x:row r="21">
      <x:c r="A21" s="43" t="str">
        <x:v>D-018</x:v>
      </x:c>
      <x:c r="B21" s="52" t="n">
        <x:v>46231.625</x:v>
      </x:c>
      <x:c r="C21" s="43" t="str">
        <x:v>Reconciliar a fotografia operacional da frota</x:v>
      </x:c>
      <x:c r="D21" s="43" t="str">
        <x:v>O TCC histórico e o cenário atual registram quantidades diferentes de caminhões.</x:v>
      </x:c>
      <x:c r="E21" s="43" t="str">
        <x:v>A plataforma deve selecionar período, frota e escala antes de comparar capacidade.</x:v>
      </x:c>
      <x:c r="F21" s="43" t="str">
        <x:v>TCC - PMN01 - V2.docx + conversa de projeto</x:v>
      </x:c>
      <x:c r="G21" s="43" t="str">
        <x:v>Pendente</x:v>
      </x:c>
      <x:c r="H21" s="43" t="str">
        <x:v>Confirmação da fotografia as-is</x:v>
      </x:c>
    </x:row>
    <x:row r="22">
      <x:c r="A22" s="43" t="str">
        <x:v>D-019</x:v>
      </x:c>
      <x:c r="B22" s="52" t="n">
        <x:v>46233.625</x:v>
      </x:c>
      <x:c r="C22" s="43" t="str">
        <x:v>Recebimento no hub: uma entrada e duas pessoas</x:v>
      </x:c>
      <x:c r="D22" s="43" t="str">
        <x:v>Configuração anterior do recebimento.</x:v>
      </x:c>
      <x:c r="E22" s="43" t="str">
        <x:v>Substituída pelo baseline v13: descarga com 3 pessoas por 30 min e triagem adicional com carga zero.</x:v>
      </x:c>
      <x:c r="F22" s="43" t="str">
        <x:v>Conversa de projeto</x:v>
      </x:c>
      <x:c r="G22" s="43" t="str">
        <x:v>Substituída</x:v>
      </x:c>
      <x:c r="H22" s="43" t="str">
        <x:v>Ver D-058</x:v>
      </x:c>
    </x:row>
    <x:row r="23">
      <x:c r="A23" s="43" t="str">
        <x:v>D-020</x:v>
      </x:c>
      <x:c r="B23" s="52" t="n">
        <x:v>46246.625</x:v>
      </x:c>
      <x:c r="C23" s="43" t="str">
        <x:v>Tratar a equipe do hub como recurso compartilhado</x:v>
      </x:c>
      <x:c r="D23" s="43" t="str">
        <x:v>A Base Geral confirma 6 pessoas no Hub.</x:v>
      </x:c>
      <x:c r="E23" s="43" t="str">
        <x:v>O RCCP soma descarga, movimentação, prensagem, atendimento direto e expedição no orçamento semanal da equipe; a triagem das cargas vindas dos CCs inicia ativa com 0 min/carga.</x:v>
      </x:c>
      <x:c r="F23" s="43" t="str">
        <x:v>Base Geral de Parâmetros</x:v>
      </x:c>
      <x:c r="G23" s="43" t="str">
        <x:v>Ativa</x:v>
      </x:c>
      <x:c r="H23" s="43" t="str">
        <x:v>Validar divisão típica de tempo e prioridade</x:v>
      </x:c>
    </x:row>
    <x:row r="24">
      <x:c r="A24" s="43" t="str">
        <x:v>D-021</x:v>
      </x:c>
      <x:c r="B24" s="52" t="n">
        <x:v>46234.791666666664</x:v>
      </x:c>
      <x:c r="C24" s="43" t="str">
        <x:v>Jornada do Hub com almoço revezado</x:v>
      </x:c>
      <x:c r="D24" s="43" t="str">
        <x:v>A equipe compartilhada atua das 08h às 17h; o almoço é revezado para não parar coletivamente a operação.</x:v>
      </x:c>
      <x:c r="E24" s="43" t="str">
        <x:v>A janela do Hub é de 540 min/dia sem redução coletiva. O Transporte usa 480 min/dia conforme seu calendário oficial.</x:v>
      </x:c>
      <x:c r="F24" s="43" t="str">
        <x:v>Base Geral de Parâmetros</x:v>
      </x:c>
      <x:c r="G24" s="43" t="str">
        <x:v>Ativa</x:v>
      </x:c>
      <x:c r="H24" s="43" t="str">
        <x:v>Confirmar divisão típica da equipe</x:v>
      </x:c>
    </x:row>
    <x:row r="25">
      <x:c r="A25" s="43" t="str">
        <x:v>D-022</x:v>
      </x:c>
      <x:c r="B25" s="52" t="n">
        <x:v>46232.625</x:v>
      </x:c>
      <x:c r="C25" s="43" t="str">
        <x:v>Triagem em 10 min por carga sem perdas</x:v>
      </x:c>
      <x:c r="D25" s="43" t="str">
        <x:v>Configuração anterior.</x:v>
      </x:c>
      <x:c r="E25" s="43" t="str">
        <x:v>Substituída: a triagem adicional inicia em 0 min/carga no baseline v13.</x:v>
      </x:c>
      <x:c r="F25" s="43" t="str">
        <x:v>Conversa de projeto</x:v>
      </x:c>
      <x:c r="G25" s="43" t="str">
        <x:v>Substituída</x:v>
      </x:c>
      <x:c r="H25" s="43" t="str">
        <x:v>Ver D-059</x:v>
      </x:c>
    </x:row>
    <x:row r="26">
      <x:c r="A26" s="43" t="str">
        <x:v>D-023</x:v>
      </x:c>
      <x:c r="B26" s="52" t="n">
        <x:v>46246.625</x:v>
      </x:c>
      <x:c r="C26" s="43" t="str">
        <x:v>Movimentação por material até a prensa</x:v>
      </x:c>
      <x:c r="D26" s="43" t="str">
        <x:v>A Base Geral diferencia o tempo de movimentação por família.</x:v>
      </x:c>
      <x:c r="E26" s="43" t="str">
        <x:v>Usar 10 min/fardo para papelão e 5 min/fardo para plástico e longa vida; prensagem usa 20/8/8 min.</x:v>
      </x:c>
      <x:c r="F26" s="43" t="str">
        <x:v>Base Geral de Parâmetros</x:v>
      </x:c>
      <x:c r="G26" s="43" t="str">
        <x:v>Ativa</x:v>
      </x:c>
      <x:c r="H26" s="43" t="str">
        <x:v>Cronometrar em campo</x:v>
      </x:c>
    </x:row>
    <x:row r="27">
      <x:c r="A27" s="43" t="str">
        <x:v>D-024</x:v>
      </x:c>
      <x:c r="B27" s="52" t="n">
        <x:v>46232.625</x:v>
      </x:c>
      <x:c r="C27" s="43" t="str">
        <x:v>Seis prensas flexíveis por família</x:v>
      </x:c>
      <x:c r="D27" s="43" t="str">
        <x:v>Premissa inicial: o Hub possui quatro prensas pequenas e duas grandes; todas atendem todas as famílias de materiais.</x:v>
      </x:c>
      <x:c r="E27" s="43" t="str">
        <x:v>Não usar flexibilidade total no cenário as-is; esta premissa foi substituída pela especialização física informada em 30/07/2026.</x:v>
      </x:c>
      <x:c r="F27" s="43" t="str">
        <x:v>Conversa de projeto</x:v>
      </x:c>
      <x:c r="G27" s="43" t="str">
        <x:v>Substituída</x:v>
      </x:c>
      <x:c r="H27" s="43" t="str">
        <x:v>Manter apenas como histórico de decisão</x:v>
      </x:c>
    </x:row>
    <x:row r="28">
      <x:c r="A28" s="43" t="str">
        <x:v>D-025</x:v>
      </x:c>
      <x:c r="B28" s="52" t="n">
        <x:v>46233.625</x:v>
      </x:c>
      <x:c r="C28" s="43" t="str">
        <x:v>Especializar prensas por material e registrar fardos</x:v>
      </x:c>
      <x:c r="D28" s="43" t="str">
        <x:v>Duas prensas grandes atendem exclusivamente papelão; quatro pequenas são compartilhadas por plástico e longa vida. Peso, volume e tempos de fardo são oficiais por material.</x:v>
      </x:c>
      <x:c r="E28" s="43" t="str">
        <x:v>Calcular limites por minutos-máquina e pelo orçamento semanal da equipe compartilhada. Plástico e longa vida compartilham o mesmo limite e não podem ter capacidades somadas; a sequência diária permanece no SIMUL8.</x:v>
      </x:c>
      <x:c r="F28" s="43" t="str">
        <x:v>Base Geral de Parâmetros</x:v>
      </x:c>
      <x:c r="G28" s="43" t="str">
        <x:v>Ativa</x:v>
      </x:c>
      <x:c r="H28" s="43" t="str">
        <x:v>Validar ciclos completos em campo, alocação diária, retirada e paradas</x:v>
      </x:c>
    </x:row>
    <x:row r="29">
      <x:c r="A29" s="43" t="str">
        <x:v>D-026</x:v>
      </x:c>
      <x:c r="B29" s="52" t="n">
        <x:v>46246.625</x:v>
      </x:c>
      <x:c r="C29" s="43" t="str">
        <x:v>Uma pessoa por prensa e uma prensa por pessoa</x:v>
      </x:c>
      <x:c r="D29" s="43" t="str">
        <x:v>O Hub dispõe de 6 pessoas e 6 prensas físicas.</x:v>
      </x:c>
      <x:c r="E29" s="43" t="str">
        <x:v>O teto instantâneo é 6 prensas quando toda a equipe está livre; disponibilidade semanal = 17.640 min-pessoa a 100%.</x:v>
      </x:c>
      <x:c r="F29" s="43" t="str">
        <x:v>Base Geral de Parâmetros</x:v>
      </x:c>
      <x:c r="G29" s="43" t="str">
        <x:v>Ativa</x:v>
      </x:c>
      <x:c r="H29" s="43" t="str">
        <x:v>Validar disponibilidade semanal e duração dos ciclos</x:v>
      </x:c>
    </x:row>
    <x:row r="30">
      <x:c r="A30" s="43" t="str">
        <x:v>D-027</x:v>
      </x:c>
      <x:c r="B30" s="52" t="n">
        <x:v>46246.625</x:v>
      </x:c>
      <x:c r="C30" s="43" t="str">
        <x:v>Equivalência entre batelada e fardo</x:v>
      </x:c>
      <x:c r="D30" s="43" t="str">
        <x:v>Cada batelada movimentada corresponde a um fardo no cálculo agregado.</x:v>
      </x:c>
      <x:c r="E30" s="43" t="str">
        <x:v>Usar 10 min por fardo de papelão e 5 min por fardo de plástico/longa vida antes da prensagem.</x:v>
      </x:c>
      <x:c r="F30" s="43" t="str">
        <x:v>Base Geral de Parâmetros</x:v>
      </x:c>
      <x:c r="G30" s="43" t="str">
        <x:v>Ativa</x:v>
      </x:c>
      <x:c r="H30" s="43" t="str">
        <x:v>Revisar somente se o processo mudar</x:v>
      </x:c>
    </x:row>
    <x:row r="31">
      <x:c r="A31" s="43" t="str">
        <x:v>D-028</x:v>
      </x:c>
      <x:c r="B31" s="52" t="n">
        <x:v>46246.625</x:v>
      </x:c>
      <x:c r="C31" s="43" t="str">
        <x:v>Expedir por quantidade mínima de fardos, sem limitar o veículo parceiro</x:v>
      </x:c>
      <x:c r="D31" s="43" t="str">
        <x:v>Acionar em 32 fardos de papelão, 19 de plástico ou 54 de longa vida; carregamento de 30 min com 6 pessoas.</x:v>
      </x:c>
      <x:c r="E31" s="43" t="str">
        <x:v>Massas efetivas por retirada = 6.400/1.900/6.480 kg; a frequência equivalente alimenta o orçamento do Hub.</x:v>
      </x:c>
      <x:c r="F31" s="43" t="str">
        <x:v>Base Geral de Parâmetros</x:v>
      </x:c>
      <x:c r="G31" s="43" t="str">
        <x:v>Ativa</x:v>
      </x:c>
      <x:c r="H31" s="43" t="str">
        <x:v>Confirmado para o baseline; cronometrar em campo</x:v>
      </x:c>
    </x:row>
    <x:row r="32">
      <x:c r="A32" s="43" t="str">
        <x:v>D-029</x:v>
      </x:c>
      <x:c r="B32" s="52" t="n">
        <x:v>46234.625</x:v>
      </x:c>
      <x:c r="C32" s="43" t="str">
        <x:v>Tratar cada Centro de Coleta como módulo próprio de capacidade</x:v>
      </x:c>
      <x:c r="D32" s="43" t="str">
        <x:v>A fronteira anterior reconhecia os centros no fluxo, mas não exigia o cálculo local.</x:v>
      </x:c>
      <x:c r="E32" s="43" t="str">
        <x:v>A capacidade integrada inclui recepção, pesagem, registro, segregação, estoque, carregamento e baixa por centro; o gatilho fica no SIMUL8 e a prensagem local não faz parte do as-is.</x:v>
      </x:c>
      <x:c r="F32" s="43" t="str">
        <x:v>Conversa de projeto</x:v>
      </x:c>
      <x:c r="G32" s="43" t="str">
        <x:v>Ativa</x:v>
      </x:c>
      <x:c r="H32" s="43" t="str">
        <x:v>Validar picos e lead time</x:v>
      </x:c>
    </x:row>
    <x:row r="33">
      <x:c r="A33" s="43" t="str">
        <x:v>D-030</x:v>
      </x:c>
      <x:c r="B33" s="52" t="n">
        <x:v>46246.625</x:v>
      </x:c>
      <x:c r="C33" s="43" t="str">
        <x:v>Contabilizar dois operadores do centro no carregamento</x:v>
      </x:c>
      <x:c r="D33" s="43" t="str">
        <x:v>Dois operadores locais ajudam a carregar o caminhão.</x:v>
      </x:c>
      <x:c r="E33" s="43" t="str">
        <x:v>Os 20/30 min permanecem uma única duração física no ciclo e consomem dois operadores locais simultaneamente.</x:v>
      </x:c>
      <x:c r="F33" s="43" t="str">
        <x:v>Base Geral de Parâmetros</x:v>
      </x:c>
      <x:c r="G33" s="43" t="str">
        <x:v>Ativa</x:v>
      </x:c>
      <x:c r="H33" s="43" t="str">
        <x:v>Validar participação do motorista, equipamentos e atividades incluídas</x:v>
      </x:c>
    </x:row>
    <x:row r="34">
      <x:c r="A34" s="43" t="str">
        <x:v>D-031</x:v>
      </x:c>
      <x:c r="B34" s="52" t="n">
        <x:v>46234.625</x:v>
      </x:c>
      <x:c r="C34" s="43" t="str">
        <x:v>Prensagem local possivelmente existente</x:v>
      </x:c>
      <x:c r="D34" s="43" t="str">
        <x:v>Interpretação provisória anterior à confirmação operacional.</x:v>
      </x:c>
      <x:c r="E34" s="43" t="str">
        <x:v>Substituída: nenhum CC possui prensa no as-is.</x:v>
      </x:c>
      <x:c r="F34" s="43" t="str">
        <x:v>Conversa de projeto + revisão do BPMN</x:v>
      </x:c>
      <x:c r="G34" s="43" t="str">
        <x:v>Substituída</x:v>
      </x:c>
      <x:c r="H34" s="43" t="str">
        <x:v>Ver D-036</x:v>
      </x:c>
    </x:row>
    <x:row r="35">
      <x:c r="A35" s="43" t="str">
        <x:v>D-032</x:v>
      </x:c>
      <x:c r="B35" s="52" t="n">
        <x:v>46237.054814814815</x:v>
      </x:c>
      <x:c r="C35" s="43" t="str">
        <x:v>Usar calendário semanal seg–sáb sem descontos</x:v>
      </x:c>
      <x:c r="D35" s="43" t="str">
        <x:v>Todas as unidades e o Hub operam seg–sex 08–17 e sábado 08–12; o baseline não desconta feriados, fechamentos ou paradas.</x:v>
      </x:c>
      <x:c r="E35" s="43" t="str">
        <x:v>Recursos contínuos usam 2.940 min/semana; Transporte conta partidas nominais por tipo de dia, aplica eficiência ao total semanal e arredonda para viagens inteiras.</x:v>
      </x:c>
      <x:c r="F35" s="43" t="str">
        <x:v>Base Geral de Parâmetros</x:v>
      </x:c>
      <x:c r="G35" s="43" t="str">
        <x:v>Ativa</x:v>
      </x:c>
      <x:c r="H35" s="43" t="str">
        <x:v>Validar em campo apenas aderência de jornadas e tempos</x:v>
      </x:c>
    </x:row>
    <x:row r="36">
      <x:c r="A36" s="43" t="str">
        <x:v>D-033</x:v>
      </x:c>
      <x:c r="B36" s="52" t="n">
        <x:v>46234.791666666664</x:v>
      </x:c>
      <x:c r="C36" s="43" t="str">
        <x:v>Separar eficiência de Transporte, CC e Hub</x:v>
      </x:c>
      <x:c r="D36" s="43" t="str">
        <x:v>Os grupos têm perdas e disponibilidade próprias; o baseline oficial fixa 100% nos três.</x:v>
      </x:c>
      <x:c r="E36" s="43" t="str">
        <x:v>Cada eficiência reduz somente a disponibilidade do próprio grupo, uma vez; no Hub, o mesmo parâmetro é aplicado uma vez às disponibilidades da equipe e das prensas. Tempos de tarefa não são alterados e eficiências não são multiplicadas entre módulos.</x:v>
      </x:c>
      <x:c r="F36" s="43" t="str">
        <x:v>Base Geral de Parâmetros</x:v>
      </x:c>
      <x:c r="G36" s="43" t="str">
        <x:v>Ativa</x:v>
      </x:c>
      <x:c r="H36" s="43" t="str">
        <x:v>Validar percentuais alternativos como sensibilidade</x:v>
      </x:c>
    </x:row>
    <x:row r="37">
      <x:c r="A37" s="43" t="str">
        <x:v>D-034</x:v>
      </x:c>
      <x:c r="B37" s="52" t="n">
        <x:v>46246.625</x:v>
      </x:c>
      <x:c r="C37" s="43" t="str">
        <x:v>Ciclo local de 4 min por visita física</x:v>
      </x:c>
      <x:c r="D37" s="43" t="str">
        <x:v>Recepção 0,5 min, pesagem 0,5, registro 1 e segregação/armazenagem 2.</x:v>
      </x:c>
      <x:c r="E37" s="43" t="str">
        <x:v>Carga humana = chegadas oficiais ÷ 52 × 4 min. Equipe: 2/2/2/2/3 nos cinco CCs.</x:v>
      </x:c>
      <x:c r="F37" s="43" t="str">
        <x:v>Base Geral de Parâmetros</x:v>
      </x:c>
      <x:c r="G37" s="43" t="str">
        <x:v>Ativa</x:v>
      </x:c>
      <x:c r="H37" s="43" t="str">
        <x:v>Validar filas, tara e indisponibilidade</x:v>
      </x:c>
    </x:row>
    <x:row r="38">
      <x:c r="A38" s="43" t="str">
        <x:v>D-035</x:v>
      </x:c>
      <x:c r="B38" s="52" t="n">
        <x:v>46234.791666666664</x:v>
      </x:c>
      <x:c r="C38" s="43" t="str">
        <x:v>Gatilho histórico de 80%</x:v>
      </x:c>
      <x:c r="D38" s="43" t="str">
        <x:v>Regra anterior de 12 m³.</x:v>
      </x:c>
      <x:c r="E38" s="43" t="str">
        <x:v>Substituída pelo gatilho oficial de 15 m³, ainda fora do throughput RCCP.</x:v>
      </x:c>
      <x:c r="F38" s="43" t="str">
        <x:v>Conversa de projeto</x:v>
      </x:c>
      <x:c r="G38" s="43" t="str">
        <x:v>Substituída</x:v>
      </x:c>
      <x:c r="H38" s="43" t="str">
        <x:v>Ver D-058</x:v>
      </x:c>
    </x:row>
    <x:row r="39">
      <x:c r="A39" s="43" t="str">
        <x:v>D-036</x:v>
      </x:c>
      <x:c r="B39" s="52" t="n">
        <x:v>46234.791666666664</x:v>
      </x:c>
      <x:c r="C39" s="43" t="str">
        <x:v>Sem prensa nos CCs as-is; prensa pequena futura para todos os materiais</x:v>
      </x:c>
      <x:c r="D39" s="43" t="str">
        <x:v>Nenhum centro possui prensa atualmente; no cenário futuro, a prensa pequena deverá atender todos os materiais.</x:v>
      </x:c>
      <x:c r="E39" s="43" t="str">
        <x:v>Zero capacidade de prensagem local no baseline; aplicação a todos os materiais confirmada, com alternativa bloqueada até validar o as-is.</x:v>
      </x:c>
      <x:c r="F39" s="43" t="str">
        <x:v>Conversa de projeto</x:v>
      </x:c>
      <x:c r="G39" s="43" t="str">
        <x:v>Ativa</x:v>
      </x:c>
      <x:c r="H39" s="43" t="str">
        <x:v>Depois: definir centro/localização, ciclo, fardo, equipe e estoque</x:v>
      </x:c>
    </x:row>
    <x:row r="40">
      <x:c r="A40" s="43" t="str">
        <x:v>D-037</x:v>
      </x:c>
      <x:c r="B40" s="52" t="n">
        <x:v>46246.625</x:v>
      </x:c>
      <x:c r="C40" s="43" t="str">
        <x:v>Tratar os 493 m³ do Hub como estoque compartilhado</x:v>
      </x:c>
      <x:c r="D40" s="43" t="str">
        <x:v>A Base Geral não define divisão fixa entre material solto e fardos.</x:v>
      </x:c>
      <x:c r="E40" s="43" t="str">
        <x:v>As coberturas de soltos e fardos usam os mesmos 493 m³ em leituras isoladas; não somar nem interpretar simultaneamente.</x:v>
      </x:c>
      <x:c r="F40" s="43" t="str">
        <x:v>Base Geral de Parâmetros</x:v>
      </x:c>
      <x:c r="G40" s="43" t="str">
        <x:v>Ativa</x:v>
      </x:c>
      <x:c r="H40" s="43" t="str">
        <x:v>Validar empilhamento, área útil e cadência de retirada</x:v>
      </x:c>
    </x:row>
    <x:row r="41">
      <x:c r="A41" s="43" t="str">
        <x:v>D-038</x:v>
      </x:c>
      <x:c r="B41" s="52" t="n">
        <x:v>46234.791666666664</x:v>
      </x:c>
      <x:c r="C41" s="43" t="str">
        <x:v>Estimar visita física por sessão de 5 min</x:v>
      </x:c>
      <x:c r="D41" s="43" t="str">
        <x:v>Hipótese exploratória anterior à confirmação do grão da base.</x:v>
      </x:c>
      <x:c r="E41" s="43" t="str">
        <x:v>Substituída: cada registro Local válido e em escopo representa uma visita.</x:v>
      </x:c>
      <x:c r="F41" s="43" t="str">
        <x:v>Auditoria Base_Chegadas 2025</x:v>
      </x:c>
      <x:c r="G41" s="43" t="str">
        <x:v>Substituída</x:v>
      </x:c>
      <x:c r="H41" s="43" t="str">
        <x:v>Ver D-042</x:v>
      </x:c>
    </x:row>
    <x:row r="42">
      <x:c r="A42" s="43" t="str">
        <x:v>D-039</x:v>
      </x:c>
      <x:c r="B42" s="52" t="n">
        <x:v>46234.791666666664</x:v>
      </x:c>
      <x:c r="C42" s="43" t="str">
        <x:v>Bloquear o RCCP até medir lead time completo</x:v>
      </x:c>
      <x:c r="D42" s="43" t="str">
        <x:v>O log não separa todos os componentes de fila e solicitação.</x:v>
      </x:c>
      <x:c r="E42" s="43" t="str">
        <x:v>Substituída: o RCCP usa a matriz agregada; lead time E0–E12 calibra apenas a dinâmica no SIMUL8.</x:v>
      </x:c>
      <x:c r="F42" s="43" t="str">
        <x:v>Auditoria + decisão de escopo</x:v>
      </x:c>
      <x:c r="G42" s="43" t="str">
        <x:v>Substituída</x:v>
      </x:c>
      <x:c r="H42" s="43" t="str">
        <x:v>Ver D-046</x:v>
      </x:c>
    </x:row>
    <x:row r="43">
      <x:c r="A43" s="43" t="str">
        <x:v>D-040</x:v>
      </x:c>
      <x:c r="B43" s="52" t="n">
        <x:v>46234.791666666664</x:v>
      </x:c>
      <x:c r="C43" s="43" t="str">
        <x:v>Usar o perfil v1 por sessões</x:v>
      </x:c>
      <x:c r="D43" s="43" t="str">
        <x:v>Versão anterior do perfil reproduzível.</x:v>
      </x:c>
      <x:c r="E43" s="43" t="str">
        <x:v>Substituída pelo arrival-profile-v2 com uma visita por registro e mesma base/fuso.</x:v>
      </x:c>
      <x:c r="F43" s="43" t="str">
        <x:v>Perfil reproduzível</x:v>
      </x:c>
      <x:c r="G43" s="43" t="str">
        <x:v>Substituída</x:v>
      </x:c>
      <x:c r="H43" s="43" t="str">
        <x:v>Ver D-042</x:v>
      </x:c>
    </x:row>
    <x:row r="44">
      <x:c r="A44" s="43" t="str">
        <x:v>D-041</x:v>
      </x:c>
      <x:c r="B44" s="52" t="n">
        <x:v>46234.791666666664</x:v>
      </x:c>
      <x:c r="C44" s="43" t="str">
        <x:v>Construir scheduler automático dentro da calculadora</x:v>
      </x:c>
      <x:c r="D44" s="43" t="str">
        <x:v>Hipótese anterior à fronteira atual das ferramentas.</x:v>
      </x:c>
      <x:c r="E44" s="43" t="str">
        <x:v>Substituída: o scheduler histórico fica isolado; eventos discretos e roteamento são responsabilidade do SIMUL8.</x:v>
      </x:c>
      <x:c r="F44" s="43" t="str">
        <x:v>Revisão do modelo</x:v>
      </x:c>
      <x:c r="G44" s="43" t="str">
        <x:v>Substituída</x:v>
      </x:c>
      <x:c r="H44" s="43" t="str">
        <x:v>Ver D-046</x:v>
      </x:c>
    </x:row>
    <x:row r="45">
      <x:c r="A45" s="43" t="str">
        <x:v>D-042</x:v>
      </x:c>
      <x:c r="B45" s="52" t="n">
        <x:v>46246.625</x:v>
      </x:c>
      <x:c r="C45" s="43" t="str">
        <x:v>Usar a quantidade oficial de chegadas por centro e material</x:v>
      </x:c>
      <x:c r="D45" s="43" t="str">
        <x:v>A Base Geral fornece as quantidades anuais consolidadas.</x:v>
      </x:c>
      <x:c r="E45" s="43" t="str">
        <x:v>Somar por unidade e dividir por 52; total = 22.043 chegadas, sendo 21.388 nos CCs e 655 diretas.</x:v>
      </x:c>
      <x:c r="F45" s="43" t="str">
        <x:v>Base Geral de Parâmetros + perfil v3</x:v>
      </x:c>
      <x:c r="G45" s="43" t="str">
        <x:v>Ativa</x:v>
      </x:c>
      <x:c r="H45" s="43" t="str">
        <x:v>Revisar somente quando a base oficial mudar</x:v>
      </x:c>
    </x:row>
    <x:row r="46">
      <x:c r="A46" s="43" t="str">
        <x:v>D-043</x:v>
      </x:c>
      <x:c r="B46" s="52" t="n">
        <x:v>46234.791666666664</x:v>
      </x:c>
      <x:c r="C46" s="43" t="str">
        <x:v>Usar densidade aparente por CC e material</x:v>
      </x:c>
      <x:c r="D46" s="43" t="str">
        <x:v>O modelo exige uma densidade específica para cada uma das 18 combinações centro/material; Embu das Artes/Plástico fica desativado com massa e densidade zero.</x:v>
      </x:c>
      <x:c r="E46" s="43" t="str">
        <x:v>Volume do CC e capacidade do Transporte usam diretamente as densidades específicas por material, sem escala global.</x:v>
      </x:c>
      <x:c r="F46" s="43" t="str">
        <x:v>Tabela da etapa Caminhão — 19/08/2026</x:v>
      </x:c>
      <x:c r="G46" s="43" t="str">
        <x:v>Ativa</x:v>
      </x:c>
      <x:c r="H46" s="43" t="str">
        <x:v>Testar sensibilidade de densidade e limite de peso</x:v>
      </x:c>
    </x:row>
    <x:row r="47">
      <x:c r="A47" s="43" t="str">
        <x:v>D-044</x:v>
      </x:c>
      <x:c r="B47" s="52" t="n">
        <x:v>46234.791666666664</x:v>
      </x:c>
      <x:c r="C47" s="43" t="str">
        <x:v>Monitoramento visual não limita a capacidade</x:v>
      </x:c>
      <x:c r="D47" s="43" t="str">
        <x:v>Operadores acompanham o estoque de forma estimada, sem medição estruturada contínua.</x:v>
      </x:c>
      <x:c r="E47" s="43" t="str">
        <x:v>Carga do monitoramento = 0 op-min; o espaço permanece como cobertura física e o gatilho é tratado somente como regra operacional no SIMUL8.</x:v>
      </x:c>
      <x:c r="F47" s="43" t="str">
        <x:v>Conversa de projeto</x:v>
      </x:c>
      <x:c r="G47" s="43" t="str">
        <x:v>Ativa</x:v>
      </x:c>
      <x:c r="H47" s="43" t="str">
        <x:v>Revisar se surgir rotina formal de inventário</x:v>
      </x:c>
    </x:row>
    <x:row r="48">
      <x:c r="A48" s="43" t="str">
        <x:v>D-045</x:v>
      </x:c>
      <x:c r="B48" s="52" t="n">
        <x:v>46246.625</x:v>
      </x:c>
      <x:c r="C48" s="43" t="str">
        <x:v>Fixar políticas agregadas de coleta</x:v>
      </x:c>
      <x:c r="D48" s="43" t="str">
        <x:v>A Base Geral confirma prioridade e critério de carga.</x:v>
      </x:c>
      <x:c r="E48" s="43" t="str">
        <x:v>Priorizar maior ocupação; carregar o material de maior volume que couber; ciclo Hub → um CC → Hub.</x:v>
      </x:c>
      <x:c r="F48" s="43" t="str">
        <x:v>Base Geral de Parâmetros</x:v>
      </x:c>
      <x:c r="G48" s="43" t="str">
        <x:v>Ativa</x:v>
      </x:c>
      <x:c r="H48" s="43" t="str">
        <x:v>Validar sequência no SIMUL8</x:v>
      </x:c>
    </x:row>
    <x:row r="49">
      <x:c r="A49" s="43" t="str">
        <x:v>D-046</x:v>
      </x:c>
      <x:c r="B49" s="52" t="n">
        <x:v>46234.791666666664</x:v>
      </x:c>
      <x:c r="C49" s="43" t="str">
        <x:v>Definir a ferramenta como calculadora RCCP agregada</x:v>
      </x:c>
      <x:c r="D49" s="43" t="str">
        <x:v>O objetivo é planejar capacidade, carga, folga e cenários sem substituir o SIMUL8.</x:v>
      </x:c>
      <x:c r="E49" s="43" t="str">
        <x:v>A calculadora trata tempos médios, demanda, pessoas, eficiência, volume, estoque e sensibilidades agregadas de rota; o SIMUL8 trata filas, sequenciamento, roteamento detalhado e eventos.</x:v>
      </x:c>
      <x:c r="F49" s="43" t="str">
        <x:v>Conversa de projeto</x:v>
      </x:c>
      <x:c r="G49" s="43" t="str">
        <x:v>Ativa</x:v>
      </x:c>
      <x:c r="H49" s="43" t="str">
        <x:v>Usar SIMUL8 para validação dos cenários</x:v>
      </x:c>
    </x:row>
    <x:row r="50">
      <x:c r="A50" s="43" t="str">
        <x:v>D-047</x:v>
      </x:c>
      <x:c r="B50" s="52" t="n">
        <x:v>46234.791666666664</x:v>
      </x:c>
      <x:c r="C50" s="43" t="str">
        <x:v>Permitir terminar a viagem após o fechamento</x:v>
      </x:c>
      <x:c r="D50" s="43" t="str">
        <x:v>Regra anterior que contava uma partida iniciada antes do fechamento mesmo quando o ciclo terminava depois da janela.</x:v>
      </x:c>
      <x:c r="E50" s="43" t="str">
        <x:v>Substituída: contar somente ciclos completos com piso por tipo de dia e aplicar a eficiência uma vez ao total semanal.</x:v>
      </x:c>
      <x:c r="F50" s="43" t="str">
        <x:v>Conversa de projeto</x:v>
      </x:c>
      <x:c r="G50" s="43" t="str">
        <x:v>Substituída</x:v>
      </x:c>
      <x:c r="H50" s="43" t="str">
        <x:v>Regra vigente incorporada ao modelo v14</x:v>
      </x:c>
    </x:row>
    <x:row r="51">
      <x:c r="A51" s="43" t="str">
        <x:v>D-048</x:v>
      </x:c>
      <x:c r="B51" s="52" t="n">
        <x:v>46237.054814814815</x:v>
      </x:c>
      <x:c r="C51" s="43" t="str">
        <x:v>Triagem adicional de cargas externas</x:v>
      </x:c>
      <x:c r="D51" s="43" t="str">
        <x:v>Configuração anterior de 10 min e 1 pessoa.</x:v>
      </x:c>
      <x:c r="E51" s="43" t="str">
        <x:v>Substituída: o baseline atual mantém 1 pessoa de referência, mas inicia em 0 min/carga.</x:v>
      </x:c>
      <x:c r="F51" s="43" t="str">
        <x:v>Conversa de projeto</x:v>
      </x:c>
      <x:c r="G51" s="43" t="str">
        <x:v>Substituída</x:v>
      </x:c>
      <x:c r="H51" s="43" t="str">
        <x:v>Ver D-059</x:v>
      </x:c>
    </x:row>
    <x:row r="52">
      <x:c r="A52" s="43" t="str">
        <x:v>D-049</x:v>
      </x:c>
      <x:c r="B52" s="52" t="n">
        <x:v>46234.791666666664</x:v>
      </x:c>
      <x:c r="C52" s="43" t="str">
        <x:v>Expor capacidade individual dos três grupos</x:v>
      </x:c>
      <x:c r="D52" s="43" t="str">
        <x:v>Uma utilização isolada não responde como a capacidade foi obtida.</x:v>
      </x:c>
      <x:c r="E52" s="43" t="str">
        <x:v>Transporte em kg/sem; CC em visitas/sem e op-min; Hub em kg/sem equivalente limitado por equipe/prensas, op-min e limites de prensa, com folga e utilização; estoque é cobertura/buffer.</x:v>
      </x:c>
      <x:c r="F52" s="43" t="str">
        <x:v>Revisão da calculadora</x:v>
      </x:c>
      <x:c r="G52" s="43" t="str">
        <x:v>Ativa</x:v>
      </x:c>
      <x:c r="H52" s="43" t="str">
        <x:v>Validar leitura com os operadores</x:v>
      </x:c>
    </x:row>
    <x:row r="53">
      <x:c r="A53" s="43" t="str">
        <x:v>D-050</x:v>
      </x:c>
      <x:c r="B53" s="52" t="n">
        <x:v>46234.791666666664</x:v>
      </x:c>
      <x:c r="C53" s="43" t="str">
        <x:v>Manter a demanda direta calibrada até reconciliar a base</x:v>
      </x:c>
      <x:c r="D53" s="43" t="str">
        <x:v>Decisão provisória anterior que preservava 14.398,10 kg/ano de Santo Amaro direto.</x:v>
      </x:c>
      <x:c r="E53" s="43" t="str">
        <x:v>Substituída: a Tabela 1 determinou 12.584,25 kg/ano e passou a ser a linha-base.</x:v>
      </x:c>
      <x:c r="F53" s="43" t="str">
        <x:v>Base calibrada de 2025 + Base_Chegadas</x:v>
      </x:c>
      <x:c r="G53" s="43" t="str">
        <x:v>Substituída</x:v>
      </x:c>
      <x:c r="H53" s="43" t="str">
        <x:v>Ver D-055</x:v>
      </x:c>
    </x:row>
    <x:row r="54">
      <x:c r="A54" s="43" t="str">
        <x:v>D-051</x:v>
      </x:c>
      <x:c r="B54" s="52" t="n">
        <x:v>46235.625</x:v>
      </x:c>
      <x:c r="C54" s="43" t="str">
        <x:v>Fixar o baseline anual e nomear sensibilidades alternativas</x:v>
      </x:c>
      <x:c r="D54" s="43" t="str">
        <x:v>Decisão anterior que mantinha as massas calibradas divergentes da seleção transacional.</x:v>
      </x:c>
      <x:c r="E54" s="43" t="str">
        <x:v>Substituída para a demanda: as massas da Tabela 1 foram promovidas ao baseline; visitas all-family e sensibilidades de cobertura permanecem.</x:v>
      </x:c>
      <x:c r="F54" s="43" t="str">
        <x:v>Base_Chegadas + rccp-sensitivity-audit.cjs + conversa de projeto</x:v>
      </x:c>
      <x:c r="G54" s="43" t="str">
        <x:v>Substituída</x:v>
      </x:c>
      <x:c r="H54" s="43" t="str">
        <x:v>Ver D-055</x:v>
      </x:c>
    </x:row>
    <x:row r="55">
      <x:c r="A55" s="43" t="str">
        <x:v>D-052</x:v>
      </x:c>
      <x:c r="B55" s="52" t="n">
        <x:v>46234.791666666664</x:v>
      </x:c>
      <x:c r="C55" s="43" t="str">
        <x:v>Não somar a fila do caminhão ao ciclo RCCP</x:v>
      </x:c>
      <x:c r="D55" s="43" t="str">
        <x:v>O log histórico mede somente Deslocamento após a partida; espera por caminhão ocupado já emerge da utilização e da fila.</x:v>
      </x:c>
      <x:c r="E55" s="43" t="str">
        <x:v>Usar LT_pedido como indicador de resposta, LT_gatilho como proteção do estoque com qualidade de E0 e Deslocamento como possível componente médio da rota. Somente tempo que ocupe de fato caminhão/motorista disponível entra no ciclo; fila e sequência permanecem no SIMUL8.</x:v>
      </x:c>
      <x:c r="F55" s="43" t="str">
        <x:v>Auditoria Log caminhão2.xlsx + fronteira RCCP/SIMUL8</x:v>
      </x:c>
      <x:c r="G55" s="43" t="str">
        <x:v>Ativa</x:v>
      </x:c>
      <x:c r="H55" s="43" t="str">
        <x:v>Calibrar com a aba Medição Lead Time</x:v>
      </x:c>
    </x:row>
    <x:row r="56">
      <x:c r="A56" s="43" t="str">
        <x:v>D-053</x:v>
      </x:c>
      <x:c r="B56" s="52" t="n">
        <x:v>46234.791666666664</x:v>
      </x:c>
      <x:c r="C56" s="43" t="str">
        <x:v>Editar o mix percentual de chegada por unidade</x:v>
      </x:c>
      <x:c r="D56" s="43" t="str">
        <x:v>O mix altera densidade aparente, volume, viagens equivalentes e processamento no Hub, mas não deve alterar a massa total informada da unidade.</x:v>
      </x:c>
      <x:c r="E56" s="43" t="str">
        <x:v>Cada um dos cinco CCs e Santo Amaro direto recebe percentuais de papelão, plástico e longa vida; soma obrigatória de 100,00% com tolerância de ±0,05 p.p.</x:v>
      </x:c>
      <x:c r="F56" s="43" t="str">
        <x:v>Conversa de projeto + calculadora v7</x:v>
      </x:c>
      <x:c r="G56" s="43" t="str">
        <x:v>Ativa</x:v>
      </x:c>
      <x:c r="H56" s="43" t="str">
        <x:v>Validar novos mixes como cenários</x:v>
      </x:c>
    </x:row>
    <x:row r="57">
      <x:c r="A57" s="43" t="str">
        <x:v>D-054</x:v>
      </x:c>
      <x:c r="B57" s="52" t="n">
        <x:v>46237.054814814815</x:v>
      </x:c>
      <x:c r="C57" s="43" t="str">
        <x:v>Anualizar somente a capacidade por dias trabalhados</x:v>
      </x:c>
      <x:c r="D57" s="43" t="str">
        <x:v>O baseline usa 312 dias/ano = 52 semanas × 6 dias, sem descontos, preservando cinco dias úteis mais sábado.</x:v>
      </x:c>
      <x:c r="E57" s="43" t="str">
        <x:v>Capacidade anual = capacidade semanal × dias trabalhados/6; demanda anual permanece a massa ou quantidade anual oficial; folga anual = capacidade anualizada − demanda anual fixa.</x:v>
      </x:c>
      <x:c r="F57" s="43" t="str">
        <x:v>Base Geral de Parâmetros</x:v>
      </x:c>
      <x:c r="G57" s="43" t="str">
        <x:v>Ativa</x:v>
      </x:c>
      <x:c r="H57" s="43" t="str">
        <x:v>Campo editável para cenários; não altera demanda semanal nem o mix 5+1</x:v>
      </x:c>
    </x:row>
    <x:row r="58">
      <x:c r="A58" s="43" t="str">
        <x:v>D-055</x:v>
      </x:c>
      <x:c r="B58" s="52" t="n">
        <x:v>46237.054814814815</x:v>
      </x:c>
      <x:c r="C58" s="43" t="str">
        <x:v>Promover a Tabela 1 ao baseline anterior</x:v>
      </x:c>
      <x:c r="D58" s="43" t="str">
        <x:v>Baseline v12 de 395.000,45 kg/ano.</x:v>
      </x:c>
      <x:c r="E58" s="43" t="str">
        <x:v>Substituída pela Base Geral oficial com 397.079,90 kg/ano.</x:v>
      </x:c>
      <x:c r="F58" s="43" t="str">
        <x:v>Tabela 1 + Base_Chegadas</x:v>
      </x:c>
      <x:c r="G58" s="43" t="str">
        <x:v>Substituída</x:v>
      </x:c>
      <x:c r="H58" s="43" t="str">
        <x:v>Ver D-058</x:v>
      </x:c>
    </x:row>
    <x:row r="59">
      <x:c r="A59" s="43" t="str">
        <x:v>D-056</x:v>
      </x:c>
      <x:c r="B59" s="52" t="n">
        <x:v>46246.625</x:v>
      </x:c>
      <x:c r="C59" s="43" t="str">
        <x:v>Tornar chegadas semanais um cenário editável</x:v>
      </x:c>
      <x:c r="D59" s="43" t="str">
        <x:v>A quantidade oficial por centro/material é a evidência inicial.</x:v>
      </x:c>
      <x:c r="E59" s="43" t="str">
        <x:v>Os cinco CCs e Santo Amaro direto iniciam em quantidade oficial ÷ 52; a edição afeta somente a carga local.</x:v>
      </x:c>
      <x:c r="F59" s="43" t="str">
        <x:v>Base Geral de Parâmetros + perfil v3</x:v>
      </x:c>
      <x:c r="G59" s="43" t="str">
        <x:v>Ativa</x:v>
      </x:c>
      <x:c r="H59" s="43" t="str">
        <x:v>Preservar massa, mix e Transporte ao editar visitas</x:v>
      </x:c>
    </x:row>
    <x:row r="60">
      <x:c r="A60" s="43" t="str">
        <x:v>D-057</x:v>
      </x:c>
      <x:c r="B60" s="52" t="n">
        <x:v>46246.625</x:v>
      </x:c>
      <x:c r="C60" s="43" t="str">
        <x:v>Calcular automaticamente o peso de 1 m³ do mix de Transporte</x:v>
      </x:c>
      <x:c r="D60" s="43" t="str">
        <x:v>O resultado deve acompanhar o mix externo e a matriz vigente de densidades.</x:v>
      </x:c>
      <x:c r="E60" s="43" t="str">
        <x:v>Peso de 1 m³ = 1 ÷ Σ(participação mássica no mix externo ÷ densidade específica).</x:v>
      </x:c>
      <x:c r="F60" s="43" t="str">
        <x:v>Base Geral de Parâmetros + modelo v15</x:v>
      </x:c>
      <x:c r="G60" s="43" t="str">
        <x:v>Ativa</x:v>
      </x:c>
      <x:c r="H60" s="43" t="str">
        <x:v>Santo Amaro direto não integra o Transporte CC → Hub</x:v>
      </x:c>
    </x:row>
    <x:row r="61">
      <x:c r="A61" s="43" t="str">
        <x:v>D-058</x:v>
      </x:c>
      <x:c r="B61" s="52" t="n">
        <x:v>46246.625</x:v>
      </x:c>
      <x:c r="C61" s="43" t="str">
        <x:v>Adotar a Base Geral de Parâmetros como fonte oficial do baseline v13</x:v>
      </x:c>
      <x:c r="D61" s="43" t="str">
        <x:v>A versão oficial atualizou calendários, recursos, chegadas, massas, armazenamento, prensagem, expedição e políticas, preservando temporariamente densidades anteriores.</x:v>
      </x:c>
      <x:c r="E61" s="43" t="str">
        <x:v>A regra permanece para massas e demais parâmetros; a exceção temporária das densidades foi substituída em 19/08/2026.</x:v>
      </x:c>
      <x:c r="F61" s="43" t="str">
        <x:v>Base Geral de Parâmetros.xlsx</x:v>
      </x:c>
      <x:c r="G61" s="43" t="str">
        <x:v>Substituída</x:v>
      </x:c>
      <x:c r="H61" s="43" t="str">
        <x:v>Ver D-060</x:v>
      </x:c>
    </x:row>
    <x:row r="62">
      <x:c r="A62" s="43" t="str">
        <x:v>D-059</x:v>
      </x:c>
      <x:c r="B62" s="52" t="n">
        <x:v>46246.625</x:v>
      </x:c>
      <x:c r="C62" s="43" t="str">
        <x:v>Manter a triagem de cargas vindas dos CCs disponível para cenários</x:v>
      </x:c>
      <x:c r="D62" s="43" t="str">
        <x:v>O baseline continua com carga de triagem igual a zero, mas o controle precisa permanecer utilizável.</x:v>
      </x:c>
      <x:c r="E62" s="43" t="str">
        <x:v>Iniciar a triagem marcada, com 0 min/carga e 1 pessoa de referência; somente tempos maiores que zero consomem capacidade.</x:v>
      </x:c>
      <x:c r="F62" s="43" t="str">
        <x:v>Solicitação do usuário — 12/08/2026</x:v>
      </x:c>
      <x:c r="G62" s="43" t="str">
        <x:v>Ativa</x:v>
      </x:c>
      <x:c r="H62" s="43" t="str">
        <x:v>Validar cenários alternativos conforme necessário</x:v>
      </x:c>
    </x:row>
    <x:row r="63">
      <x:c r="A63" s="43" t="str">
        <x:v>D-060</x:v>
      </x:c>
      <x:c r="B63" s="52" t="n">
        <x:v>46253.625</x:v>
      </x:c>
      <x:c r="C63" s="43" t="str">
        <x:v>Parametrizar as densidades aparentes da etapa Caminhão</x:v>
      </x:c>
      <x:c r="D63" s="43" t="str">
        <x:v>O usuário forneceu uma matriz vigente com 18 combinações de centro e material.</x:v>
      </x:c>
      <x:c r="E63" s="43" t="str">
        <x:v>Substituir a matriz anterior, recalcular volumes, viagens, capacidade e utilização; preservar integralmente massas, chegadas e mixing de entrada.</x:v>
      </x:c>
      <x:c r="F63" s="43" t="str">
        <x:v>Tabela fornecida pelo usuário — 19/08/2026</x:v>
      </x:c>
      <x:c r="G63" s="43" t="str">
        <x:v>Ativa</x:v>
      </x:c>
      <x:c r="H63" s="43" t="str">
        <x:v>Revisar somente se uma nova matriz for fornecida</x:v>
      </x:c>
    </x:row>
  </x:sheetData>
  <x:mergeCells>
    <x:mergeCell ref="A1:H1"/>
    <x:mergeCell ref="A2:H2"/>
  </x:mergeCells>
  <x:dataValidations count="1">
    <x:dataValidation type="list" sqref="G4:G63">
      <x:formula1>"Ativa,Substituída,Pendente"</x:formula1>
    </x:dataValidation>
  </x:dataValidations>
  <x:pageMargins left="0.7" right="0.7" top="0.75" bottom="0.75" header="0.3" footer="0.3"/>
</x:worksheet>
</file>